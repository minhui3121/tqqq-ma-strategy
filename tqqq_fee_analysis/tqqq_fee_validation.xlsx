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a73e6c0cb10437/Desktop/"/>
    </mc:Choice>
  </mc:AlternateContent>
  <xr:revisionPtr revIDLastSave="133" documentId="8_{33525CE6-A935-406F-A8DB-F673C27FCD41}" xr6:coauthVersionLast="47" xr6:coauthVersionMax="47" xr10:uidLastSave="{3E983C07-D9CB-4B5A-BDF1-0DE6FBD8FF4C}"/>
  <bookViews>
    <workbookView xWindow="-120" yWindow="-120" windowWidth="29040" windowHeight="15720" xr2:uid="{FD07EBC1-87CC-4E34-B7FB-5075647FFFB2}"/>
  </bookViews>
  <sheets>
    <sheet name="tqqq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9" i="1" l="1"/>
  <c r="D248" i="1" s="1"/>
  <c r="D247" i="1" s="1"/>
  <c r="D246" i="1" s="1"/>
  <c r="D245" i="1" s="1"/>
  <c r="D244" i="1" s="1"/>
  <c r="D243" i="1" s="1"/>
  <c r="D242" i="1" s="1"/>
  <c r="D241" i="1" s="1"/>
  <c r="D240" i="1" s="1"/>
  <c r="D239" i="1" s="1"/>
  <c r="D238" i="1" s="1"/>
  <c r="D237" i="1" s="1"/>
  <c r="D236" i="1" s="1"/>
  <c r="D235" i="1" s="1"/>
  <c r="D234" i="1" s="1"/>
  <c r="D233" i="1" s="1"/>
  <c r="D232" i="1" s="1"/>
  <c r="D231" i="1" s="1"/>
  <c r="D230" i="1" s="1"/>
  <c r="D229" i="1" s="1"/>
  <c r="D228" i="1" s="1"/>
  <c r="D227" i="1" s="1"/>
  <c r="D226" i="1" s="1"/>
  <c r="D225" i="1" s="1"/>
  <c r="D224" i="1" s="1"/>
  <c r="D223" i="1" s="1"/>
  <c r="D222" i="1" s="1"/>
  <c r="D221" i="1" s="1"/>
  <c r="D220" i="1" s="1"/>
  <c r="D219" i="1" s="1"/>
  <c r="D218" i="1" s="1"/>
  <c r="D217" i="1" s="1"/>
  <c r="D216" i="1" s="1"/>
  <c r="D215" i="1" s="1"/>
  <c r="D214" i="1" s="1"/>
  <c r="D213" i="1" s="1"/>
  <c r="D212" i="1" s="1"/>
  <c r="D211" i="1" s="1"/>
  <c r="D210" i="1" s="1"/>
  <c r="D209" i="1" s="1"/>
  <c r="D208" i="1" s="1"/>
  <c r="D207" i="1" s="1"/>
  <c r="D206" i="1" s="1"/>
  <c r="D205" i="1" s="1"/>
  <c r="D204" i="1" s="1"/>
  <c r="D203" i="1" s="1"/>
  <c r="D202" i="1" s="1"/>
  <c r="D201" i="1" s="1"/>
  <c r="D200" i="1" s="1"/>
  <c r="D199" i="1" s="1"/>
  <c r="D198" i="1" s="1"/>
  <c r="D197" i="1" s="1"/>
  <c r="D196" i="1" s="1"/>
  <c r="D195" i="1" s="1"/>
  <c r="D194" i="1" s="1"/>
  <c r="D193" i="1" s="1"/>
  <c r="D192" i="1" s="1"/>
  <c r="D191" i="1" s="1"/>
  <c r="D190" i="1" s="1"/>
  <c r="D189" i="1" s="1"/>
  <c r="D188" i="1" s="1"/>
  <c r="D187" i="1" s="1"/>
  <c r="D186" i="1" s="1"/>
  <c r="D185" i="1" s="1"/>
  <c r="D184" i="1" s="1"/>
  <c r="D183" i="1" s="1"/>
  <c r="D182" i="1" s="1"/>
  <c r="D181" i="1" s="1"/>
  <c r="D180" i="1" s="1"/>
  <c r="D179" i="1" s="1"/>
  <c r="D178" i="1" s="1"/>
  <c r="D177" i="1" s="1"/>
  <c r="D176" i="1" s="1"/>
  <c r="D175" i="1" s="1"/>
  <c r="D174" i="1" s="1"/>
  <c r="D173" i="1" s="1"/>
  <c r="D172" i="1" s="1"/>
  <c r="D171" i="1" s="1"/>
  <c r="D170" i="1" s="1"/>
  <c r="D169" i="1" s="1"/>
  <c r="D168" i="1" s="1"/>
  <c r="D167" i="1" s="1"/>
  <c r="D166" i="1" s="1"/>
  <c r="D165" i="1" s="1"/>
  <c r="D164" i="1" s="1"/>
  <c r="D163" i="1" s="1"/>
  <c r="D162" i="1" s="1"/>
  <c r="D161" i="1" s="1"/>
  <c r="D160" i="1" s="1"/>
  <c r="D159" i="1" s="1"/>
  <c r="D158" i="1" s="1"/>
  <c r="D157" i="1" s="1"/>
  <c r="D156" i="1" s="1"/>
  <c r="D155" i="1" s="1"/>
  <c r="D154" i="1" s="1"/>
  <c r="D153" i="1" s="1"/>
  <c r="D152" i="1" s="1"/>
  <c r="D151" i="1" s="1"/>
  <c r="D150" i="1" s="1"/>
  <c r="D149" i="1" s="1"/>
  <c r="D148" i="1" s="1"/>
  <c r="D147" i="1" s="1"/>
  <c r="D146" i="1" s="1"/>
  <c r="D145" i="1" s="1"/>
  <c r="D144" i="1" s="1"/>
  <c r="D143" i="1" s="1"/>
  <c r="D142" i="1" s="1"/>
  <c r="D141" i="1" s="1"/>
  <c r="D140" i="1" s="1"/>
  <c r="D139" i="1" s="1"/>
  <c r="D138" i="1" s="1"/>
  <c r="D137" i="1" s="1"/>
  <c r="D136" i="1" s="1"/>
  <c r="D135" i="1" s="1"/>
  <c r="D134" i="1" s="1"/>
  <c r="D133" i="1" s="1"/>
  <c r="D132" i="1" s="1"/>
  <c r="D131" i="1" s="1"/>
  <c r="D130" i="1" s="1"/>
  <c r="D129" i="1" s="1"/>
  <c r="D128" i="1" s="1"/>
  <c r="D127" i="1" s="1"/>
  <c r="D126" i="1" s="1"/>
  <c r="D125" i="1" s="1"/>
  <c r="D124" i="1" s="1"/>
  <c r="D123" i="1" s="1"/>
  <c r="D122" i="1" s="1"/>
  <c r="D121" i="1" s="1"/>
  <c r="D120" i="1" s="1"/>
  <c r="D119" i="1" s="1"/>
  <c r="D118" i="1" s="1"/>
  <c r="D117" i="1" s="1"/>
  <c r="D116" i="1" s="1"/>
  <c r="D115" i="1" s="1"/>
  <c r="D114" i="1" s="1"/>
  <c r="D113" i="1" s="1"/>
  <c r="D112" i="1" s="1"/>
  <c r="D111" i="1" s="1"/>
  <c r="D110" i="1" s="1"/>
  <c r="D109" i="1" s="1"/>
  <c r="D108" i="1" s="1"/>
  <c r="D107" i="1" s="1"/>
  <c r="D106" i="1" s="1"/>
  <c r="D105" i="1" s="1"/>
  <c r="D104" i="1" s="1"/>
  <c r="D103" i="1" s="1"/>
  <c r="D102" i="1" s="1"/>
  <c r="D101" i="1" s="1"/>
  <c r="D100" i="1" s="1"/>
  <c r="D99" i="1" s="1"/>
  <c r="D98" i="1" s="1"/>
  <c r="D97" i="1" s="1"/>
  <c r="D96" i="1" s="1"/>
  <c r="D95" i="1" s="1"/>
  <c r="D94" i="1" s="1"/>
  <c r="D93" i="1" s="1"/>
  <c r="D92" i="1" s="1"/>
  <c r="D91" i="1" s="1"/>
  <c r="D90" i="1" s="1"/>
  <c r="D89" i="1" s="1"/>
  <c r="D88" i="1" s="1"/>
  <c r="D87" i="1" s="1"/>
  <c r="D86" i="1" s="1"/>
  <c r="D85" i="1" s="1"/>
  <c r="D84" i="1" s="1"/>
  <c r="D83" i="1" s="1"/>
  <c r="D82" i="1" s="1"/>
  <c r="D81" i="1" s="1"/>
  <c r="D80" i="1" s="1"/>
  <c r="D79" i="1" s="1"/>
  <c r="D78" i="1" s="1"/>
  <c r="D77" i="1" s="1"/>
  <c r="D76" i="1" s="1"/>
  <c r="D75" i="1" s="1"/>
  <c r="D74" i="1" s="1"/>
  <c r="D73" i="1" s="1"/>
  <c r="D72" i="1" s="1"/>
  <c r="D71" i="1" s="1"/>
  <c r="D70" i="1" s="1"/>
  <c r="D69" i="1" s="1"/>
  <c r="D68" i="1" s="1"/>
  <c r="D67" i="1" s="1"/>
  <c r="D66" i="1" s="1"/>
  <c r="D65" i="1" s="1"/>
  <c r="D64" i="1" s="1"/>
  <c r="D63" i="1" s="1"/>
  <c r="D62" i="1" s="1"/>
  <c r="D61" i="1" s="1"/>
  <c r="D60" i="1" s="1"/>
  <c r="D59" i="1" s="1"/>
  <c r="D58" i="1" s="1"/>
  <c r="D57" i="1" s="1"/>
  <c r="D56" i="1" s="1"/>
  <c r="D55" i="1" s="1"/>
  <c r="D54" i="1" s="1"/>
  <c r="D53" i="1" s="1"/>
  <c r="D52" i="1" s="1"/>
  <c r="D51" i="1" s="1"/>
  <c r="D50" i="1" s="1"/>
  <c r="D49" i="1" s="1"/>
  <c r="D48" i="1" s="1"/>
  <c r="D47" i="1" s="1"/>
  <c r="D46" i="1" s="1"/>
  <c r="D45" i="1" s="1"/>
  <c r="D44" i="1" s="1"/>
  <c r="D43" i="1" s="1"/>
  <c r="D42" i="1" s="1"/>
  <c r="D41" i="1" s="1"/>
  <c r="D40" i="1" s="1"/>
  <c r="D39" i="1" s="1"/>
  <c r="D38" i="1" s="1"/>
  <c r="D37" i="1" s="1"/>
  <c r="D36" i="1" s="1"/>
  <c r="D35" i="1" s="1"/>
  <c r="D34" i="1" s="1"/>
  <c r="D33" i="1" s="1"/>
  <c r="D32" i="1" s="1"/>
  <c r="D31" i="1" s="1"/>
  <c r="D30" i="1" s="1"/>
  <c r="D29" i="1" s="1"/>
  <c r="D28" i="1" s="1"/>
  <c r="D27" i="1" s="1"/>
  <c r="D26" i="1" s="1"/>
  <c r="D25" i="1" s="1"/>
  <c r="D24" i="1" s="1"/>
  <c r="D23" i="1" s="1"/>
  <c r="D22" i="1" s="1"/>
  <c r="D21" i="1" s="1"/>
  <c r="D20" i="1" s="1"/>
  <c r="D19" i="1" s="1"/>
  <c r="D18" i="1" s="1"/>
  <c r="D17" i="1" s="1"/>
  <c r="D16" i="1" s="1"/>
  <c r="D15" i="1" s="1"/>
  <c r="D14" i="1" s="1"/>
  <c r="D13" i="1" s="1"/>
  <c r="D12" i="1" s="1"/>
  <c r="D11" i="1" s="1"/>
  <c r="D10" i="1" s="1"/>
  <c r="D9" i="1" s="1"/>
  <c r="D8" i="1" s="1"/>
  <c r="D7" i="1" s="1"/>
  <c r="D6" i="1" s="1"/>
  <c r="D5" i="1" s="1"/>
  <c r="D4" i="1" s="1"/>
  <c r="D3" i="1" s="1"/>
  <c r="D2" i="1" s="1"/>
  <c r="D250" i="1"/>
  <c r="D501" i="1"/>
  <c r="D500" i="1" s="1"/>
  <c r="D499" i="1" s="1"/>
  <c r="D498" i="1" s="1"/>
  <c r="D497" i="1" s="1"/>
  <c r="D496" i="1" s="1"/>
  <c r="D495" i="1" s="1"/>
  <c r="D494" i="1" s="1"/>
  <c r="D493" i="1" s="1"/>
  <c r="D492" i="1" s="1"/>
  <c r="D491" i="1" s="1"/>
  <c r="D490" i="1" s="1"/>
  <c r="D489" i="1" s="1"/>
  <c r="D488" i="1" s="1"/>
  <c r="D487" i="1" s="1"/>
  <c r="D486" i="1" s="1"/>
  <c r="D485" i="1" s="1"/>
  <c r="D484" i="1" s="1"/>
  <c r="D483" i="1" s="1"/>
  <c r="D482" i="1" s="1"/>
  <c r="D481" i="1" s="1"/>
  <c r="D480" i="1" s="1"/>
  <c r="D479" i="1" s="1"/>
  <c r="D478" i="1" s="1"/>
  <c r="D477" i="1" s="1"/>
  <c r="D476" i="1" s="1"/>
  <c r="D475" i="1" s="1"/>
  <c r="D474" i="1" s="1"/>
  <c r="D473" i="1" s="1"/>
  <c r="D472" i="1" s="1"/>
  <c r="D471" i="1" s="1"/>
  <c r="D470" i="1" s="1"/>
  <c r="D469" i="1" s="1"/>
  <c r="D468" i="1" s="1"/>
  <c r="D467" i="1" s="1"/>
  <c r="D466" i="1" s="1"/>
  <c r="D465" i="1" s="1"/>
  <c r="D464" i="1" s="1"/>
  <c r="D463" i="1" s="1"/>
  <c r="D462" i="1" s="1"/>
  <c r="D461" i="1" s="1"/>
  <c r="D460" i="1" s="1"/>
  <c r="D459" i="1" s="1"/>
  <c r="D458" i="1" s="1"/>
  <c r="D457" i="1" s="1"/>
  <c r="D456" i="1" s="1"/>
  <c r="D455" i="1" s="1"/>
  <c r="D454" i="1" s="1"/>
  <c r="D453" i="1" s="1"/>
  <c r="D452" i="1" s="1"/>
  <c r="D451" i="1" s="1"/>
  <c r="D450" i="1" s="1"/>
  <c r="D449" i="1" s="1"/>
  <c r="D448" i="1" s="1"/>
  <c r="D447" i="1" s="1"/>
  <c r="D446" i="1" s="1"/>
  <c r="D445" i="1" s="1"/>
  <c r="D444" i="1" s="1"/>
  <c r="D443" i="1" s="1"/>
  <c r="D442" i="1" s="1"/>
  <c r="D441" i="1" s="1"/>
  <c r="D440" i="1" s="1"/>
  <c r="D439" i="1" s="1"/>
  <c r="D438" i="1" s="1"/>
  <c r="D437" i="1" s="1"/>
  <c r="D436" i="1" s="1"/>
  <c r="D435" i="1" s="1"/>
  <c r="D434" i="1" s="1"/>
  <c r="D433" i="1" s="1"/>
  <c r="D432" i="1" s="1"/>
  <c r="D431" i="1" s="1"/>
  <c r="D430" i="1" s="1"/>
  <c r="D429" i="1" s="1"/>
  <c r="D428" i="1" s="1"/>
  <c r="D427" i="1" s="1"/>
  <c r="D426" i="1" s="1"/>
  <c r="D425" i="1" s="1"/>
  <c r="D424" i="1" s="1"/>
  <c r="D423" i="1" s="1"/>
  <c r="D422" i="1" s="1"/>
  <c r="D421" i="1" s="1"/>
  <c r="D420" i="1" s="1"/>
  <c r="D419" i="1" s="1"/>
  <c r="D418" i="1" s="1"/>
  <c r="D417" i="1" s="1"/>
  <c r="D416" i="1" s="1"/>
  <c r="D415" i="1" s="1"/>
  <c r="D414" i="1" s="1"/>
  <c r="D413" i="1" s="1"/>
  <c r="D412" i="1" s="1"/>
  <c r="D411" i="1" s="1"/>
  <c r="D410" i="1" s="1"/>
  <c r="D409" i="1" s="1"/>
  <c r="D408" i="1" s="1"/>
  <c r="D407" i="1" s="1"/>
  <c r="D406" i="1" s="1"/>
  <c r="D405" i="1" s="1"/>
  <c r="D404" i="1" s="1"/>
  <c r="D403" i="1" s="1"/>
  <c r="D402" i="1" s="1"/>
  <c r="D401" i="1" s="1"/>
  <c r="D400" i="1" s="1"/>
  <c r="D399" i="1" s="1"/>
  <c r="D398" i="1" s="1"/>
  <c r="D397" i="1" s="1"/>
  <c r="D396" i="1" s="1"/>
  <c r="D395" i="1" s="1"/>
  <c r="D394" i="1" s="1"/>
  <c r="D393" i="1" s="1"/>
  <c r="D392" i="1" s="1"/>
  <c r="D391" i="1" s="1"/>
  <c r="D390" i="1" s="1"/>
  <c r="D389" i="1" s="1"/>
  <c r="D388" i="1" s="1"/>
  <c r="D387" i="1" s="1"/>
  <c r="D386" i="1" s="1"/>
  <c r="D385" i="1" s="1"/>
  <c r="D384" i="1" s="1"/>
  <c r="D383" i="1" s="1"/>
  <c r="D382" i="1" s="1"/>
  <c r="D381" i="1" s="1"/>
  <c r="D380" i="1" s="1"/>
  <c r="D379" i="1" s="1"/>
  <c r="D378" i="1" s="1"/>
  <c r="D377" i="1" s="1"/>
  <c r="D376" i="1" s="1"/>
  <c r="D375" i="1" s="1"/>
  <c r="D374" i="1" s="1"/>
  <c r="D373" i="1" s="1"/>
  <c r="D372" i="1" s="1"/>
  <c r="D371" i="1" s="1"/>
  <c r="D370" i="1" s="1"/>
  <c r="D369" i="1" s="1"/>
  <c r="D368" i="1" s="1"/>
  <c r="D367" i="1" s="1"/>
  <c r="D366" i="1" s="1"/>
  <c r="D365" i="1" s="1"/>
  <c r="D364" i="1" s="1"/>
  <c r="D363" i="1" s="1"/>
  <c r="D362" i="1" s="1"/>
  <c r="D361" i="1" s="1"/>
  <c r="D360" i="1" s="1"/>
  <c r="D359" i="1" s="1"/>
  <c r="D358" i="1" s="1"/>
  <c r="D357" i="1" s="1"/>
  <c r="D356" i="1" s="1"/>
  <c r="D355" i="1" s="1"/>
  <c r="D354" i="1" s="1"/>
  <c r="D353" i="1" s="1"/>
  <c r="D352" i="1" s="1"/>
  <c r="D351" i="1" s="1"/>
  <c r="D350" i="1" s="1"/>
  <c r="D349" i="1" s="1"/>
  <c r="D348" i="1" s="1"/>
  <c r="D347" i="1" s="1"/>
  <c r="D346" i="1" s="1"/>
  <c r="D345" i="1" s="1"/>
  <c r="D344" i="1" s="1"/>
  <c r="D343" i="1" s="1"/>
  <c r="D342" i="1" s="1"/>
  <c r="D341" i="1" s="1"/>
  <c r="D340" i="1" s="1"/>
  <c r="D339" i="1" s="1"/>
  <c r="D338" i="1" s="1"/>
  <c r="D337" i="1" s="1"/>
  <c r="D336" i="1" s="1"/>
  <c r="D335" i="1" s="1"/>
  <c r="D334" i="1" s="1"/>
  <c r="D333" i="1" s="1"/>
  <c r="D332" i="1" s="1"/>
  <c r="D331" i="1" s="1"/>
  <c r="D330" i="1" s="1"/>
  <c r="D329" i="1" s="1"/>
  <c r="D328" i="1" s="1"/>
  <c r="D327" i="1" s="1"/>
  <c r="D326" i="1" s="1"/>
  <c r="D325" i="1" s="1"/>
  <c r="D324" i="1" s="1"/>
  <c r="D323" i="1" s="1"/>
  <c r="D322" i="1" s="1"/>
  <c r="D321" i="1" s="1"/>
  <c r="D320" i="1" s="1"/>
  <c r="D319" i="1" s="1"/>
  <c r="D318" i="1" s="1"/>
  <c r="D317" i="1" s="1"/>
  <c r="D316" i="1" s="1"/>
  <c r="D315" i="1" s="1"/>
  <c r="D314" i="1" s="1"/>
  <c r="D313" i="1" s="1"/>
  <c r="D312" i="1" s="1"/>
  <c r="D311" i="1" s="1"/>
  <c r="D310" i="1" s="1"/>
  <c r="D309" i="1" s="1"/>
  <c r="D308" i="1" s="1"/>
  <c r="D307" i="1" s="1"/>
  <c r="D306" i="1" s="1"/>
  <c r="D305" i="1" s="1"/>
  <c r="D304" i="1" s="1"/>
  <c r="D303" i="1" s="1"/>
  <c r="D302" i="1" s="1"/>
  <c r="D301" i="1" s="1"/>
  <c r="D300" i="1" s="1"/>
  <c r="D299" i="1" s="1"/>
  <c r="D298" i="1" s="1"/>
  <c r="D297" i="1" s="1"/>
  <c r="D296" i="1" s="1"/>
  <c r="D295" i="1" s="1"/>
  <c r="D294" i="1" s="1"/>
  <c r="D293" i="1" s="1"/>
  <c r="D292" i="1" s="1"/>
  <c r="D291" i="1" s="1"/>
  <c r="D290" i="1" s="1"/>
  <c r="D289" i="1" s="1"/>
  <c r="D288" i="1" s="1"/>
  <c r="D287" i="1" s="1"/>
  <c r="D286" i="1" s="1"/>
  <c r="D285" i="1" s="1"/>
  <c r="D284" i="1" s="1"/>
  <c r="D283" i="1" s="1"/>
  <c r="D282" i="1" s="1"/>
  <c r="D281" i="1" s="1"/>
  <c r="D280" i="1" s="1"/>
  <c r="D279" i="1" s="1"/>
  <c r="D278" i="1" s="1"/>
  <c r="D277" i="1" s="1"/>
  <c r="D276" i="1" s="1"/>
  <c r="D275" i="1" s="1"/>
  <c r="D274" i="1" s="1"/>
  <c r="D273" i="1" s="1"/>
  <c r="D272" i="1" s="1"/>
  <c r="D271" i="1" s="1"/>
  <c r="D270" i="1" s="1"/>
  <c r="D269" i="1" s="1"/>
  <c r="D268" i="1" s="1"/>
  <c r="D267" i="1" s="1"/>
  <c r="D266" i="1" s="1"/>
  <c r="D265" i="1" s="1"/>
  <c r="D264" i="1" s="1"/>
  <c r="D263" i="1" s="1"/>
  <c r="D262" i="1" s="1"/>
  <c r="D261" i="1" s="1"/>
  <c r="D260" i="1" s="1"/>
  <c r="D259" i="1" s="1"/>
  <c r="D258" i="1" s="1"/>
  <c r="D257" i="1" s="1"/>
  <c r="D256" i="1" s="1"/>
  <c r="D255" i="1" s="1"/>
  <c r="D254" i="1" s="1"/>
  <c r="D253" i="1" s="1"/>
  <c r="D252" i="1" s="1"/>
  <c r="D502" i="1"/>
  <c r="D751" i="1"/>
  <c r="D750" i="1" s="1"/>
  <c r="D749" i="1" s="1"/>
  <c r="D748" i="1" s="1"/>
  <c r="D747" i="1" s="1"/>
  <c r="D746" i="1" s="1"/>
  <c r="D745" i="1" s="1"/>
  <c r="D744" i="1" s="1"/>
  <c r="D743" i="1" s="1"/>
  <c r="D742" i="1" s="1"/>
  <c r="D741" i="1" s="1"/>
  <c r="D740" i="1" s="1"/>
  <c r="D739" i="1" s="1"/>
  <c r="D738" i="1" s="1"/>
  <c r="D737" i="1" s="1"/>
  <c r="D736" i="1" s="1"/>
  <c r="D735" i="1" s="1"/>
  <c r="D734" i="1" s="1"/>
  <c r="D733" i="1" s="1"/>
  <c r="D732" i="1" s="1"/>
  <c r="D731" i="1" s="1"/>
  <c r="D730" i="1" s="1"/>
  <c r="D729" i="1" s="1"/>
  <c r="D728" i="1" s="1"/>
  <c r="D727" i="1" s="1"/>
  <c r="D726" i="1" s="1"/>
  <c r="D725" i="1" s="1"/>
  <c r="D724" i="1" s="1"/>
  <c r="D723" i="1" s="1"/>
  <c r="D722" i="1" s="1"/>
  <c r="D721" i="1" s="1"/>
  <c r="D720" i="1" s="1"/>
  <c r="D719" i="1" s="1"/>
  <c r="D718" i="1" s="1"/>
  <c r="D717" i="1" s="1"/>
  <c r="D716" i="1" s="1"/>
  <c r="D715" i="1" s="1"/>
  <c r="D714" i="1" s="1"/>
  <c r="D713" i="1" s="1"/>
  <c r="D712" i="1" s="1"/>
  <c r="D711" i="1" s="1"/>
  <c r="D710" i="1" s="1"/>
  <c r="D709" i="1" s="1"/>
  <c r="D708" i="1" s="1"/>
  <c r="D707" i="1" s="1"/>
  <c r="D706" i="1" s="1"/>
  <c r="D705" i="1" s="1"/>
  <c r="D704" i="1" s="1"/>
  <c r="D703" i="1" s="1"/>
  <c r="D702" i="1" s="1"/>
  <c r="D701" i="1" s="1"/>
  <c r="D700" i="1" s="1"/>
  <c r="D699" i="1" s="1"/>
  <c r="D698" i="1" s="1"/>
  <c r="D697" i="1" s="1"/>
  <c r="D696" i="1" s="1"/>
  <c r="D695" i="1" s="1"/>
  <c r="D694" i="1" s="1"/>
  <c r="D693" i="1" s="1"/>
  <c r="D692" i="1" s="1"/>
  <c r="D691" i="1" s="1"/>
  <c r="D690" i="1" s="1"/>
  <c r="D689" i="1" s="1"/>
  <c r="D688" i="1" s="1"/>
  <c r="D687" i="1" s="1"/>
  <c r="D686" i="1" s="1"/>
  <c r="D685" i="1" s="1"/>
  <c r="D684" i="1" s="1"/>
  <c r="D683" i="1" s="1"/>
  <c r="D682" i="1" s="1"/>
  <c r="D681" i="1" s="1"/>
  <c r="D680" i="1" s="1"/>
  <c r="D679" i="1" s="1"/>
  <c r="D678" i="1" s="1"/>
  <c r="D677" i="1" s="1"/>
  <c r="D676" i="1" s="1"/>
  <c r="D675" i="1" s="1"/>
  <c r="D674" i="1" s="1"/>
  <c r="D673" i="1" s="1"/>
  <c r="D672" i="1" s="1"/>
  <c r="D671" i="1" s="1"/>
  <c r="D670" i="1" s="1"/>
  <c r="D669" i="1" s="1"/>
  <c r="D668" i="1" s="1"/>
  <c r="D667" i="1" s="1"/>
  <c r="D666" i="1" s="1"/>
  <c r="D665" i="1" s="1"/>
  <c r="D664" i="1" s="1"/>
  <c r="D663" i="1" s="1"/>
  <c r="D662" i="1" s="1"/>
  <c r="D661" i="1" s="1"/>
  <c r="D660" i="1" s="1"/>
  <c r="D659" i="1" s="1"/>
  <c r="D658" i="1" s="1"/>
  <c r="D657" i="1" s="1"/>
  <c r="D656" i="1" s="1"/>
  <c r="D655" i="1" s="1"/>
  <c r="D654" i="1" s="1"/>
  <c r="D653" i="1" s="1"/>
  <c r="D652" i="1" s="1"/>
  <c r="D651" i="1" s="1"/>
  <c r="D650" i="1" s="1"/>
  <c r="D649" i="1" s="1"/>
  <c r="D648" i="1" s="1"/>
  <c r="D647" i="1" s="1"/>
  <c r="D646" i="1" s="1"/>
  <c r="D645" i="1" s="1"/>
  <c r="D644" i="1" s="1"/>
  <c r="D643" i="1" s="1"/>
  <c r="D642" i="1" s="1"/>
  <c r="D641" i="1" s="1"/>
  <c r="D640" i="1" s="1"/>
  <c r="D639" i="1" s="1"/>
  <c r="D638" i="1" s="1"/>
  <c r="D637" i="1" s="1"/>
  <c r="D636" i="1" s="1"/>
  <c r="D635" i="1" s="1"/>
  <c r="D634" i="1" s="1"/>
  <c r="D633" i="1" s="1"/>
  <c r="D632" i="1" s="1"/>
  <c r="D631" i="1" s="1"/>
  <c r="D630" i="1" s="1"/>
  <c r="D629" i="1" s="1"/>
  <c r="D628" i="1" s="1"/>
  <c r="D627" i="1" s="1"/>
  <c r="D626" i="1" s="1"/>
  <c r="D625" i="1" s="1"/>
  <c r="D624" i="1" s="1"/>
  <c r="D623" i="1" s="1"/>
  <c r="D622" i="1" s="1"/>
  <c r="D621" i="1" s="1"/>
  <c r="D620" i="1" s="1"/>
  <c r="D619" i="1" s="1"/>
  <c r="D618" i="1" s="1"/>
  <c r="D617" i="1" s="1"/>
  <c r="D616" i="1" s="1"/>
  <c r="D615" i="1" s="1"/>
  <c r="D614" i="1" s="1"/>
  <c r="D613" i="1" s="1"/>
  <c r="D612" i="1" s="1"/>
  <c r="D611" i="1" s="1"/>
  <c r="D610" i="1" s="1"/>
  <c r="D609" i="1" s="1"/>
  <c r="D608" i="1" s="1"/>
  <c r="D607" i="1" s="1"/>
  <c r="D606" i="1" s="1"/>
  <c r="D605" i="1" s="1"/>
  <c r="D604" i="1" s="1"/>
  <c r="D603" i="1" s="1"/>
  <c r="D602" i="1" s="1"/>
  <c r="D601" i="1" s="1"/>
  <c r="D600" i="1" s="1"/>
  <c r="D599" i="1" s="1"/>
  <c r="D598" i="1" s="1"/>
  <c r="D597" i="1" s="1"/>
  <c r="D596" i="1" s="1"/>
  <c r="D595" i="1" s="1"/>
  <c r="D594" i="1" s="1"/>
  <c r="D593" i="1" s="1"/>
  <c r="D592" i="1" s="1"/>
  <c r="D591" i="1" s="1"/>
  <c r="D590" i="1" s="1"/>
  <c r="D589" i="1" s="1"/>
  <c r="D588" i="1" s="1"/>
  <c r="D587" i="1" s="1"/>
  <c r="D586" i="1" s="1"/>
  <c r="D585" i="1" s="1"/>
  <c r="D584" i="1" s="1"/>
  <c r="D583" i="1" s="1"/>
  <c r="D582" i="1" s="1"/>
  <c r="D581" i="1" s="1"/>
  <c r="D580" i="1" s="1"/>
  <c r="D579" i="1" s="1"/>
  <c r="D578" i="1" s="1"/>
  <c r="D577" i="1" s="1"/>
  <c r="D576" i="1" s="1"/>
  <c r="D575" i="1" s="1"/>
  <c r="D574" i="1" s="1"/>
  <c r="D573" i="1" s="1"/>
  <c r="D572" i="1" s="1"/>
  <c r="D571" i="1" s="1"/>
  <c r="D570" i="1" s="1"/>
  <c r="D569" i="1" s="1"/>
  <c r="D568" i="1" s="1"/>
  <c r="D567" i="1" s="1"/>
  <c r="D566" i="1" s="1"/>
  <c r="D565" i="1" s="1"/>
  <c r="D564" i="1" s="1"/>
  <c r="D563" i="1" s="1"/>
  <c r="D562" i="1" s="1"/>
  <c r="D561" i="1" s="1"/>
  <c r="D560" i="1" s="1"/>
  <c r="D559" i="1" s="1"/>
  <c r="D558" i="1" s="1"/>
  <c r="D557" i="1" s="1"/>
  <c r="D556" i="1" s="1"/>
  <c r="D555" i="1" s="1"/>
  <c r="D554" i="1" s="1"/>
  <c r="D553" i="1" s="1"/>
  <c r="D552" i="1" s="1"/>
  <c r="D551" i="1" s="1"/>
  <c r="D550" i="1" s="1"/>
  <c r="D549" i="1" s="1"/>
  <c r="D548" i="1" s="1"/>
  <c r="D547" i="1" s="1"/>
  <c r="D546" i="1" s="1"/>
  <c r="D545" i="1" s="1"/>
  <c r="D544" i="1" s="1"/>
  <c r="D543" i="1" s="1"/>
  <c r="D542" i="1" s="1"/>
  <c r="D541" i="1" s="1"/>
  <c r="D540" i="1" s="1"/>
  <c r="D539" i="1" s="1"/>
  <c r="D538" i="1" s="1"/>
  <c r="D537" i="1" s="1"/>
  <c r="D536" i="1" s="1"/>
  <c r="D535" i="1" s="1"/>
  <c r="D534" i="1" s="1"/>
  <c r="D533" i="1" s="1"/>
  <c r="D532" i="1" s="1"/>
  <c r="D531" i="1" s="1"/>
  <c r="D530" i="1" s="1"/>
  <c r="D529" i="1" s="1"/>
  <c r="D528" i="1" s="1"/>
  <c r="D527" i="1" s="1"/>
  <c r="D526" i="1" s="1"/>
  <c r="D525" i="1" s="1"/>
  <c r="D524" i="1" s="1"/>
  <c r="D523" i="1" s="1"/>
  <c r="D522" i="1" s="1"/>
  <c r="D521" i="1" s="1"/>
  <c r="D520" i="1" s="1"/>
  <c r="D519" i="1" s="1"/>
  <c r="D518" i="1" s="1"/>
  <c r="D517" i="1" s="1"/>
  <c r="D516" i="1" s="1"/>
  <c r="D515" i="1" s="1"/>
  <c r="D514" i="1" s="1"/>
  <c r="D513" i="1" s="1"/>
  <c r="D512" i="1" s="1"/>
  <c r="D511" i="1" s="1"/>
  <c r="D510" i="1" s="1"/>
  <c r="D509" i="1" s="1"/>
  <c r="D508" i="1" s="1"/>
  <c r="D507" i="1" s="1"/>
  <c r="D506" i="1" s="1"/>
  <c r="D505" i="1" s="1"/>
  <c r="D504" i="1" s="1"/>
  <c r="D752" i="1"/>
  <c r="D1001" i="1"/>
  <c r="D1000" i="1" s="1"/>
  <c r="D999" i="1" s="1"/>
  <c r="D998" i="1" s="1"/>
  <c r="D997" i="1" s="1"/>
  <c r="D996" i="1" s="1"/>
  <c r="D995" i="1" s="1"/>
  <c r="D994" i="1" s="1"/>
  <c r="D993" i="1" s="1"/>
  <c r="D992" i="1" s="1"/>
  <c r="D991" i="1" s="1"/>
  <c r="D990" i="1" s="1"/>
  <c r="D989" i="1" s="1"/>
  <c r="D988" i="1" s="1"/>
  <c r="D987" i="1" s="1"/>
  <c r="D986" i="1" s="1"/>
  <c r="D985" i="1" s="1"/>
  <c r="D984" i="1" s="1"/>
  <c r="D983" i="1" s="1"/>
  <c r="D982" i="1" s="1"/>
  <c r="D981" i="1" s="1"/>
  <c r="D980" i="1" s="1"/>
  <c r="D979" i="1" s="1"/>
  <c r="D978" i="1" s="1"/>
  <c r="D977" i="1" s="1"/>
  <c r="D976" i="1" s="1"/>
  <c r="D975" i="1" s="1"/>
  <c r="D974" i="1" s="1"/>
  <c r="D973" i="1" s="1"/>
  <c r="D972" i="1" s="1"/>
  <c r="D971" i="1" s="1"/>
  <c r="D970" i="1" s="1"/>
  <c r="D969" i="1" s="1"/>
  <c r="D968" i="1" s="1"/>
  <c r="D967" i="1" s="1"/>
  <c r="D966" i="1" s="1"/>
  <c r="D965" i="1" s="1"/>
  <c r="D964" i="1" s="1"/>
  <c r="D963" i="1" s="1"/>
  <c r="D962" i="1" s="1"/>
  <c r="D961" i="1" s="1"/>
  <c r="D960" i="1" s="1"/>
  <c r="D959" i="1" s="1"/>
  <c r="D958" i="1" s="1"/>
  <c r="D957" i="1" s="1"/>
  <c r="D956" i="1" s="1"/>
  <c r="D955" i="1" s="1"/>
  <c r="D954" i="1" s="1"/>
  <c r="D953" i="1" s="1"/>
  <c r="D952" i="1" s="1"/>
  <c r="D951" i="1" s="1"/>
  <c r="D950" i="1" s="1"/>
  <c r="D949" i="1" s="1"/>
  <c r="D948" i="1" s="1"/>
  <c r="D947" i="1" s="1"/>
  <c r="D946" i="1" s="1"/>
  <c r="D945" i="1" s="1"/>
  <c r="D944" i="1" s="1"/>
  <c r="D943" i="1" s="1"/>
  <c r="D942" i="1" s="1"/>
  <c r="D941" i="1" s="1"/>
  <c r="D940" i="1" s="1"/>
  <c r="D939" i="1" s="1"/>
  <c r="D938" i="1" s="1"/>
  <c r="D937" i="1" s="1"/>
  <c r="D936" i="1" s="1"/>
  <c r="D935" i="1" s="1"/>
  <c r="D934" i="1" s="1"/>
  <c r="D933" i="1" s="1"/>
  <c r="D932" i="1" s="1"/>
  <c r="D931" i="1" s="1"/>
  <c r="D930" i="1" s="1"/>
  <c r="D929" i="1" s="1"/>
  <c r="D928" i="1" s="1"/>
  <c r="D927" i="1" s="1"/>
  <c r="D926" i="1" s="1"/>
  <c r="D925" i="1" s="1"/>
  <c r="D924" i="1" s="1"/>
  <c r="D923" i="1" s="1"/>
  <c r="D922" i="1" s="1"/>
  <c r="D921" i="1" s="1"/>
  <c r="D920" i="1" s="1"/>
  <c r="D919" i="1" s="1"/>
  <c r="D918" i="1" s="1"/>
  <c r="D917" i="1" s="1"/>
  <c r="D916" i="1" s="1"/>
  <c r="D915" i="1" s="1"/>
  <c r="D914" i="1" s="1"/>
  <c r="D913" i="1" s="1"/>
  <c r="D912" i="1" s="1"/>
  <c r="D911" i="1" s="1"/>
  <c r="D910" i="1" s="1"/>
  <c r="D909" i="1" s="1"/>
  <c r="D908" i="1" s="1"/>
  <c r="D907" i="1" s="1"/>
  <c r="D906" i="1" s="1"/>
  <c r="D905" i="1" s="1"/>
  <c r="D904" i="1" s="1"/>
  <c r="D903" i="1" s="1"/>
  <c r="D902" i="1" s="1"/>
  <c r="D901" i="1" s="1"/>
  <c r="D900" i="1" s="1"/>
  <c r="D899" i="1" s="1"/>
  <c r="D898" i="1" s="1"/>
  <c r="D897" i="1" s="1"/>
  <c r="D896" i="1" s="1"/>
  <c r="D895" i="1" s="1"/>
  <c r="D894" i="1" s="1"/>
  <c r="D893" i="1" s="1"/>
  <c r="D892" i="1" s="1"/>
  <c r="D891" i="1" s="1"/>
  <c r="D890" i="1" s="1"/>
  <c r="D889" i="1" s="1"/>
  <c r="D888" i="1" s="1"/>
  <c r="D887" i="1" s="1"/>
  <c r="D886" i="1" s="1"/>
  <c r="D885" i="1" s="1"/>
  <c r="D884" i="1" s="1"/>
  <c r="D883" i="1" s="1"/>
  <c r="D882" i="1" s="1"/>
  <c r="D881" i="1" s="1"/>
  <c r="D880" i="1" s="1"/>
  <c r="D879" i="1" s="1"/>
  <c r="D878" i="1" s="1"/>
  <c r="D877" i="1" s="1"/>
  <c r="D876" i="1" s="1"/>
  <c r="D875" i="1" s="1"/>
  <c r="D874" i="1" s="1"/>
  <c r="D873" i="1" s="1"/>
  <c r="D872" i="1" s="1"/>
  <c r="D871" i="1" s="1"/>
  <c r="D870" i="1" s="1"/>
  <c r="D869" i="1" s="1"/>
  <c r="D868" i="1" s="1"/>
  <c r="D867" i="1" s="1"/>
  <c r="D866" i="1" s="1"/>
  <c r="D865" i="1" s="1"/>
  <c r="D864" i="1" s="1"/>
  <c r="D863" i="1" s="1"/>
  <c r="D862" i="1" s="1"/>
  <c r="D861" i="1" s="1"/>
  <c r="D860" i="1" s="1"/>
  <c r="D859" i="1" s="1"/>
  <c r="D858" i="1" s="1"/>
  <c r="D857" i="1" s="1"/>
  <c r="D856" i="1" s="1"/>
  <c r="D855" i="1" s="1"/>
  <c r="D854" i="1" s="1"/>
  <c r="D853" i="1" s="1"/>
  <c r="D852" i="1" s="1"/>
  <c r="D851" i="1" s="1"/>
  <c r="D850" i="1" s="1"/>
  <c r="D849" i="1" s="1"/>
  <c r="D848" i="1" s="1"/>
  <c r="D847" i="1" s="1"/>
  <c r="D846" i="1" s="1"/>
  <c r="D845" i="1" s="1"/>
  <c r="D844" i="1" s="1"/>
  <c r="D843" i="1" s="1"/>
  <c r="D842" i="1" s="1"/>
  <c r="D841" i="1" s="1"/>
  <c r="D840" i="1" s="1"/>
  <c r="D839" i="1" s="1"/>
  <c r="D838" i="1" s="1"/>
  <c r="D837" i="1" s="1"/>
  <c r="D836" i="1" s="1"/>
  <c r="D835" i="1" s="1"/>
  <c r="D834" i="1" s="1"/>
  <c r="D833" i="1" s="1"/>
  <c r="D832" i="1" s="1"/>
  <c r="D831" i="1" s="1"/>
  <c r="D830" i="1" s="1"/>
  <c r="D829" i="1" s="1"/>
  <c r="D828" i="1" s="1"/>
  <c r="D827" i="1" s="1"/>
  <c r="D826" i="1" s="1"/>
  <c r="D825" i="1" s="1"/>
  <c r="D824" i="1" s="1"/>
  <c r="D823" i="1" s="1"/>
  <c r="D822" i="1" s="1"/>
  <c r="D821" i="1" s="1"/>
  <c r="D820" i="1" s="1"/>
  <c r="D819" i="1" s="1"/>
  <c r="D818" i="1" s="1"/>
  <c r="D817" i="1" s="1"/>
  <c r="D816" i="1" s="1"/>
  <c r="D815" i="1" s="1"/>
  <c r="D814" i="1" s="1"/>
  <c r="D813" i="1" s="1"/>
  <c r="D812" i="1" s="1"/>
  <c r="D811" i="1" s="1"/>
  <c r="D810" i="1" s="1"/>
  <c r="D809" i="1" s="1"/>
  <c r="D808" i="1" s="1"/>
  <c r="D807" i="1" s="1"/>
  <c r="D806" i="1" s="1"/>
  <c r="D805" i="1" s="1"/>
  <c r="D804" i="1" s="1"/>
  <c r="D803" i="1" s="1"/>
  <c r="D802" i="1" s="1"/>
  <c r="D801" i="1" s="1"/>
  <c r="D800" i="1" s="1"/>
  <c r="D799" i="1" s="1"/>
  <c r="D798" i="1" s="1"/>
  <c r="D797" i="1" s="1"/>
  <c r="D796" i="1" s="1"/>
  <c r="D795" i="1" s="1"/>
  <c r="D794" i="1" s="1"/>
  <c r="D793" i="1" s="1"/>
  <c r="D792" i="1" s="1"/>
  <c r="D791" i="1" s="1"/>
  <c r="D790" i="1" s="1"/>
  <c r="D789" i="1" s="1"/>
  <c r="D788" i="1" s="1"/>
  <c r="D787" i="1" s="1"/>
  <c r="D786" i="1" s="1"/>
  <c r="D785" i="1" s="1"/>
  <c r="D784" i="1" s="1"/>
  <c r="D783" i="1" s="1"/>
  <c r="D782" i="1" s="1"/>
  <c r="D781" i="1" s="1"/>
  <c r="D780" i="1" s="1"/>
  <c r="D779" i="1" s="1"/>
  <c r="D778" i="1" s="1"/>
  <c r="D777" i="1" s="1"/>
  <c r="D776" i="1" s="1"/>
  <c r="D775" i="1" s="1"/>
  <c r="D774" i="1" s="1"/>
  <c r="D773" i="1" s="1"/>
  <c r="D772" i="1" s="1"/>
  <c r="D771" i="1" s="1"/>
  <c r="D770" i="1" s="1"/>
  <c r="D769" i="1" s="1"/>
  <c r="D768" i="1" s="1"/>
  <c r="D767" i="1" s="1"/>
  <c r="D766" i="1" s="1"/>
  <c r="D765" i="1" s="1"/>
  <c r="D764" i="1" s="1"/>
  <c r="D763" i="1" s="1"/>
  <c r="D762" i="1" s="1"/>
  <c r="D761" i="1" s="1"/>
  <c r="D760" i="1" s="1"/>
  <c r="D759" i="1" s="1"/>
  <c r="D758" i="1" s="1"/>
  <c r="D757" i="1" s="1"/>
  <c r="D756" i="1" s="1"/>
  <c r="D755" i="1" s="1"/>
  <c r="D754" i="1" s="1"/>
  <c r="D1002" i="1"/>
  <c r="D1003" i="1"/>
  <c r="D1253" i="1"/>
  <c r="D1252" i="1" s="1"/>
  <c r="D1251" i="1" s="1"/>
  <c r="D1250" i="1" s="1"/>
  <c r="D1249" i="1" s="1"/>
  <c r="D1248" i="1" s="1"/>
  <c r="D1247" i="1" s="1"/>
  <c r="D1246" i="1" s="1"/>
  <c r="D1245" i="1" s="1"/>
  <c r="D1244" i="1" s="1"/>
  <c r="D1243" i="1" s="1"/>
  <c r="D1242" i="1" s="1"/>
  <c r="D1241" i="1" s="1"/>
  <c r="D1240" i="1" s="1"/>
  <c r="D1239" i="1" s="1"/>
  <c r="D1238" i="1" s="1"/>
  <c r="D1237" i="1" s="1"/>
  <c r="D1236" i="1" s="1"/>
  <c r="D1235" i="1" s="1"/>
  <c r="D1234" i="1" s="1"/>
  <c r="D1233" i="1" s="1"/>
  <c r="D1232" i="1" s="1"/>
  <c r="D1231" i="1" s="1"/>
  <c r="D1230" i="1" s="1"/>
  <c r="D1229" i="1" s="1"/>
  <c r="D1228" i="1" s="1"/>
  <c r="D1227" i="1" s="1"/>
  <c r="D1226" i="1" s="1"/>
  <c r="D1225" i="1" s="1"/>
  <c r="D1224" i="1" s="1"/>
  <c r="D1223" i="1" s="1"/>
  <c r="D1222" i="1" s="1"/>
  <c r="D1221" i="1" s="1"/>
  <c r="D1220" i="1" s="1"/>
  <c r="D1219" i="1" s="1"/>
  <c r="D1218" i="1" s="1"/>
  <c r="D1217" i="1" s="1"/>
  <c r="D1216" i="1" s="1"/>
  <c r="D1215" i="1" s="1"/>
  <c r="D1214" i="1" s="1"/>
  <c r="D1213" i="1" s="1"/>
  <c r="D1212" i="1" s="1"/>
  <c r="D1211" i="1" s="1"/>
  <c r="D1210" i="1" s="1"/>
  <c r="D1209" i="1" s="1"/>
  <c r="D1208" i="1" s="1"/>
  <c r="D1207" i="1" s="1"/>
  <c r="D1206" i="1" s="1"/>
  <c r="D1205" i="1" s="1"/>
  <c r="D1204" i="1" s="1"/>
  <c r="D1203" i="1" s="1"/>
  <c r="D1202" i="1" s="1"/>
  <c r="D1201" i="1" s="1"/>
  <c r="D1200" i="1" s="1"/>
  <c r="D1199" i="1" s="1"/>
  <c r="D1198" i="1" s="1"/>
  <c r="D1197" i="1" s="1"/>
  <c r="D1196" i="1" s="1"/>
  <c r="D1195" i="1" s="1"/>
  <c r="D1194" i="1" s="1"/>
  <c r="D1193" i="1" s="1"/>
  <c r="D1192" i="1" s="1"/>
  <c r="D1191" i="1" s="1"/>
  <c r="D1190" i="1" s="1"/>
  <c r="D1189" i="1" s="1"/>
  <c r="D1188" i="1" s="1"/>
  <c r="D1187" i="1" s="1"/>
  <c r="D1186" i="1" s="1"/>
  <c r="D1185" i="1" s="1"/>
  <c r="D1184" i="1" s="1"/>
  <c r="D1183" i="1" s="1"/>
  <c r="D1182" i="1" s="1"/>
  <c r="D1181" i="1" s="1"/>
  <c r="D1180" i="1" s="1"/>
  <c r="D1179" i="1" s="1"/>
  <c r="D1178" i="1" s="1"/>
  <c r="D1177" i="1" s="1"/>
  <c r="D1176" i="1" s="1"/>
  <c r="D1175" i="1" s="1"/>
  <c r="D1174" i="1" s="1"/>
  <c r="D1173" i="1" s="1"/>
  <c r="D1172" i="1" s="1"/>
  <c r="D1171" i="1" s="1"/>
  <c r="D1170" i="1" s="1"/>
  <c r="D1169" i="1" s="1"/>
  <c r="D1168" i="1" s="1"/>
  <c r="D1167" i="1" s="1"/>
  <c r="D1166" i="1" s="1"/>
  <c r="D1165" i="1" s="1"/>
  <c r="D1164" i="1" s="1"/>
  <c r="D1163" i="1" s="1"/>
  <c r="D1162" i="1" s="1"/>
  <c r="D1161" i="1" s="1"/>
  <c r="D1160" i="1" s="1"/>
  <c r="D1159" i="1" s="1"/>
  <c r="D1158" i="1" s="1"/>
  <c r="D1157" i="1" s="1"/>
  <c r="D1156" i="1" s="1"/>
  <c r="D1155" i="1" s="1"/>
  <c r="D1154" i="1" s="1"/>
  <c r="D1153" i="1" s="1"/>
  <c r="D1152" i="1" s="1"/>
  <c r="D1151" i="1" s="1"/>
  <c r="D1150" i="1" s="1"/>
  <c r="D1149" i="1" s="1"/>
  <c r="D1148" i="1" s="1"/>
  <c r="D1147" i="1" s="1"/>
  <c r="D1146" i="1" s="1"/>
  <c r="D1145" i="1" s="1"/>
  <c r="D1144" i="1" s="1"/>
  <c r="D1143" i="1" s="1"/>
  <c r="D1142" i="1" s="1"/>
  <c r="D1141" i="1" s="1"/>
  <c r="D1140" i="1" s="1"/>
  <c r="D1139" i="1" s="1"/>
  <c r="D1138" i="1" s="1"/>
  <c r="D1137" i="1" s="1"/>
  <c r="D1136" i="1" s="1"/>
  <c r="D1135" i="1" s="1"/>
  <c r="D1134" i="1" s="1"/>
  <c r="D1133" i="1" s="1"/>
  <c r="D1132" i="1" s="1"/>
  <c r="D1131" i="1" s="1"/>
  <c r="D1130" i="1" s="1"/>
  <c r="D1129" i="1" s="1"/>
  <c r="D1128" i="1" s="1"/>
  <c r="D1127" i="1" s="1"/>
  <c r="D1126" i="1" s="1"/>
  <c r="D1125" i="1" s="1"/>
  <c r="D1124" i="1" s="1"/>
  <c r="D1123" i="1" s="1"/>
  <c r="D1122" i="1" s="1"/>
  <c r="D1121" i="1" s="1"/>
  <c r="D1120" i="1" s="1"/>
  <c r="D1119" i="1" s="1"/>
  <c r="D1118" i="1" s="1"/>
  <c r="D1117" i="1" s="1"/>
  <c r="D1116" i="1" s="1"/>
  <c r="D1115" i="1" s="1"/>
  <c r="D1114" i="1" s="1"/>
  <c r="D1113" i="1" s="1"/>
  <c r="D1112" i="1" s="1"/>
  <c r="D1111" i="1" s="1"/>
  <c r="D1110" i="1" s="1"/>
  <c r="D1109" i="1" s="1"/>
  <c r="D1108" i="1" s="1"/>
  <c r="D1107" i="1" s="1"/>
  <c r="D1106" i="1" s="1"/>
  <c r="D1105" i="1" s="1"/>
  <c r="D1104" i="1" s="1"/>
  <c r="D1103" i="1" s="1"/>
  <c r="D1102" i="1" s="1"/>
  <c r="D1101" i="1" s="1"/>
  <c r="D1100" i="1" s="1"/>
  <c r="D1099" i="1" s="1"/>
  <c r="D1098" i="1" s="1"/>
  <c r="D1097" i="1" s="1"/>
  <c r="D1096" i="1" s="1"/>
  <c r="D1095" i="1" s="1"/>
  <c r="D1094" i="1" s="1"/>
  <c r="D1093" i="1" s="1"/>
  <c r="D1092" i="1" s="1"/>
  <c r="D1091" i="1" s="1"/>
  <c r="D1090" i="1" s="1"/>
  <c r="D1089" i="1" s="1"/>
  <c r="D1088" i="1" s="1"/>
  <c r="D1087" i="1" s="1"/>
  <c r="D1086" i="1" s="1"/>
  <c r="D1085" i="1" s="1"/>
  <c r="D1084" i="1" s="1"/>
  <c r="D1083" i="1" s="1"/>
  <c r="D1082" i="1" s="1"/>
  <c r="D1081" i="1" s="1"/>
  <c r="D1080" i="1" s="1"/>
  <c r="D1079" i="1" s="1"/>
  <c r="D1078" i="1" s="1"/>
  <c r="D1077" i="1" s="1"/>
  <c r="D1076" i="1" s="1"/>
  <c r="D1075" i="1" s="1"/>
  <c r="D1074" i="1" s="1"/>
  <c r="D1073" i="1" s="1"/>
  <c r="D1072" i="1" s="1"/>
  <c r="D1071" i="1" s="1"/>
  <c r="D1070" i="1" s="1"/>
  <c r="D1069" i="1" s="1"/>
  <c r="D1068" i="1" s="1"/>
  <c r="D1067" i="1" s="1"/>
  <c r="D1066" i="1" s="1"/>
  <c r="D1065" i="1" s="1"/>
  <c r="D1064" i="1" s="1"/>
  <c r="D1063" i="1" s="1"/>
  <c r="D1062" i="1" s="1"/>
  <c r="D1061" i="1" s="1"/>
  <c r="D1060" i="1" s="1"/>
  <c r="D1059" i="1" s="1"/>
  <c r="D1058" i="1" s="1"/>
  <c r="D1057" i="1" s="1"/>
  <c r="D1056" i="1" s="1"/>
  <c r="D1055" i="1" s="1"/>
  <c r="D1054" i="1" s="1"/>
  <c r="D1053" i="1" s="1"/>
  <c r="D1052" i="1" s="1"/>
  <c r="D1051" i="1" s="1"/>
  <c r="D1050" i="1" s="1"/>
  <c r="D1049" i="1" s="1"/>
  <c r="D1048" i="1" s="1"/>
  <c r="D1047" i="1" s="1"/>
  <c r="D1046" i="1" s="1"/>
  <c r="D1045" i="1" s="1"/>
  <c r="D1044" i="1" s="1"/>
  <c r="D1043" i="1" s="1"/>
  <c r="D1042" i="1" s="1"/>
  <c r="D1041" i="1" s="1"/>
  <c r="D1040" i="1" s="1"/>
  <c r="D1039" i="1" s="1"/>
  <c r="D1038" i="1" s="1"/>
  <c r="D1037" i="1" s="1"/>
  <c r="D1036" i="1" s="1"/>
  <c r="D1035" i="1" s="1"/>
  <c r="D1034" i="1" s="1"/>
  <c r="D1033" i="1" s="1"/>
  <c r="D1032" i="1" s="1"/>
  <c r="D1031" i="1" s="1"/>
  <c r="D1030" i="1" s="1"/>
  <c r="D1029" i="1" s="1"/>
  <c r="D1028" i="1" s="1"/>
  <c r="D1027" i="1" s="1"/>
  <c r="D1026" i="1" s="1"/>
  <c r="D1025" i="1" s="1"/>
  <c r="D1024" i="1" s="1"/>
  <c r="D1023" i="1" s="1"/>
  <c r="D1022" i="1" s="1"/>
  <c r="D1021" i="1" s="1"/>
  <c r="D1020" i="1" s="1"/>
  <c r="D1019" i="1" s="1"/>
  <c r="D1018" i="1" s="1"/>
  <c r="D1017" i="1" s="1"/>
  <c r="D1016" i="1" s="1"/>
  <c r="D1015" i="1" s="1"/>
  <c r="D1014" i="1" s="1"/>
  <c r="D1013" i="1" s="1"/>
  <c r="D1012" i="1" s="1"/>
  <c r="D1011" i="1" s="1"/>
  <c r="D1010" i="1" s="1"/>
  <c r="D1009" i="1" s="1"/>
  <c r="D1008" i="1" s="1"/>
  <c r="D1007" i="1" s="1"/>
  <c r="D1006" i="1" s="1"/>
  <c r="D1005" i="1" s="1"/>
  <c r="D1254" i="1"/>
  <c r="D1255" i="1"/>
  <c r="D1507" i="1"/>
  <c r="D1506" i="1" s="1"/>
  <c r="D1505" i="1" s="1"/>
  <c r="D1504" i="1" s="1"/>
  <c r="D1503" i="1" s="1"/>
  <c r="D1502" i="1" s="1"/>
  <c r="D1501" i="1" s="1"/>
  <c r="D1500" i="1" s="1"/>
  <c r="D1499" i="1" s="1"/>
  <c r="D1498" i="1" s="1"/>
  <c r="D1497" i="1" s="1"/>
  <c r="D1496" i="1" s="1"/>
  <c r="D1495" i="1" s="1"/>
  <c r="D1494" i="1" s="1"/>
  <c r="D1493" i="1" s="1"/>
  <c r="D1492" i="1" s="1"/>
  <c r="D1491" i="1" s="1"/>
  <c r="D1490" i="1" s="1"/>
  <c r="D1489" i="1" s="1"/>
  <c r="D1488" i="1" s="1"/>
  <c r="D1487" i="1" s="1"/>
  <c r="D1486" i="1" s="1"/>
  <c r="D1485" i="1" s="1"/>
  <c r="D1484" i="1" s="1"/>
  <c r="D1483" i="1" s="1"/>
  <c r="D1482" i="1" s="1"/>
  <c r="D1481" i="1" s="1"/>
  <c r="D1480" i="1" s="1"/>
  <c r="D1479" i="1" s="1"/>
  <c r="D1478" i="1" s="1"/>
  <c r="D1477" i="1" s="1"/>
  <c r="D1476" i="1" s="1"/>
  <c r="D1475" i="1" s="1"/>
  <c r="D1474" i="1" s="1"/>
  <c r="D1473" i="1" s="1"/>
  <c r="D1472" i="1" s="1"/>
  <c r="D1471" i="1" s="1"/>
  <c r="D1470" i="1" s="1"/>
  <c r="D1469" i="1" s="1"/>
  <c r="D1468" i="1" s="1"/>
  <c r="D1467" i="1" s="1"/>
  <c r="D1466" i="1" s="1"/>
  <c r="D1465" i="1" s="1"/>
  <c r="D1464" i="1" s="1"/>
  <c r="D1463" i="1" s="1"/>
  <c r="D1462" i="1" s="1"/>
  <c r="D1461" i="1" s="1"/>
  <c r="D1460" i="1" s="1"/>
  <c r="D1459" i="1" s="1"/>
  <c r="D1458" i="1" s="1"/>
  <c r="D1457" i="1" s="1"/>
  <c r="D1456" i="1" s="1"/>
  <c r="D1455" i="1" s="1"/>
  <c r="D1454" i="1" s="1"/>
  <c r="D1453" i="1" s="1"/>
  <c r="D1452" i="1" s="1"/>
  <c r="D1451" i="1" s="1"/>
  <c r="D1450" i="1" s="1"/>
  <c r="D1449" i="1" s="1"/>
  <c r="D1448" i="1" s="1"/>
  <c r="D1447" i="1" s="1"/>
  <c r="D1446" i="1" s="1"/>
  <c r="D1445" i="1" s="1"/>
  <c r="D1444" i="1" s="1"/>
  <c r="D1443" i="1" s="1"/>
  <c r="D1442" i="1" s="1"/>
  <c r="D1441" i="1" s="1"/>
  <c r="D1440" i="1" s="1"/>
  <c r="D1439" i="1" s="1"/>
  <c r="D1438" i="1" s="1"/>
  <c r="D1437" i="1" s="1"/>
  <c r="D1436" i="1" s="1"/>
  <c r="D1435" i="1" s="1"/>
  <c r="D1434" i="1" s="1"/>
  <c r="D1433" i="1" s="1"/>
  <c r="D1432" i="1" s="1"/>
  <c r="D1431" i="1" s="1"/>
  <c r="D1430" i="1" s="1"/>
  <c r="D1429" i="1" s="1"/>
  <c r="D1428" i="1" s="1"/>
  <c r="D1427" i="1" s="1"/>
  <c r="D1426" i="1" s="1"/>
  <c r="D1425" i="1" s="1"/>
  <c r="D1424" i="1" s="1"/>
  <c r="D1423" i="1" s="1"/>
  <c r="D1422" i="1" s="1"/>
  <c r="D1421" i="1" s="1"/>
  <c r="D1420" i="1" s="1"/>
  <c r="D1419" i="1" s="1"/>
  <c r="D1418" i="1" s="1"/>
  <c r="D1417" i="1" s="1"/>
  <c r="D1416" i="1" s="1"/>
  <c r="D1415" i="1" s="1"/>
  <c r="D1414" i="1" s="1"/>
  <c r="D1413" i="1" s="1"/>
  <c r="D1412" i="1" s="1"/>
  <c r="D1411" i="1" s="1"/>
  <c r="D1410" i="1" s="1"/>
  <c r="D1409" i="1" s="1"/>
  <c r="D1408" i="1" s="1"/>
  <c r="D1407" i="1" s="1"/>
  <c r="D1406" i="1" s="1"/>
  <c r="D1405" i="1" s="1"/>
  <c r="D1404" i="1" s="1"/>
  <c r="D1403" i="1" s="1"/>
  <c r="D1402" i="1" s="1"/>
  <c r="D1401" i="1" s="1"/>
  <c r="D1400" i="1" s="1"/>
  <c r="D1399" i="1" s="1"/>
  <c r="D1398" i="1" s="1"/>
  <c r="D1397" i="1" s="1"/>
  <c r="D1396" i="1" s="1"/>
  <c r="D1395" i="1" s="1"/>
  <c r="D1394" i="1" s="1"/>
  <c r="D1393" i="1" s="1"/>
  <c r="D1392" i="1" s="1"/>
  <c r="D1391" i="1" s="1"/>
  <c r="D1390" i="1" s="1"/>
  <c r="D1389" i="1" s="1"/>
  <c r="D1388" i="1" s="1"/>
  <c r="D1387" i="1" s="1"/>
  <c r="D1386" i="1" s="1"/>
  <c r="D1385" i="1" s="1"/>
  <c r="D1384" i="1" s="1"/>
  <c r="D1383" i="1" s="1"/>
  <c r="D1382" i="1" s="1"/>
  <c r="D1381" i="1" s="1"/>
  <c r="D1380" i="1" s="1"/>
  <c r="D1379" i="1" s="1"/>
  <c r="D1378" i="1" s="1"/>
  <c r="D1377" i="1" s="1"/>
  <c r="D1376" i="1" s="1"/>
  <c r="D1375" i="1" s="1"/>
  <c r="D1374" i="1" s="1"/>
  <c r="D1373" i="1" s="1"/>
  <c r="D1372" i="1" s="1"/>
  <c r="D1371" i="1" s="1"/>
  <c r="D1370" i="1" s="1"/>
  <c r="D1369" i="1" s="1"/>
  <c r="D1368" i="1" s="1"/>
  <c r="D1367" i="1" s="1"/>
  <c r="D1366" i="1" s="1"/>
  <c r="D1365" i="1" s="1"/>
  <c r="D1364" i="1" s="1"/>
  <c r="D1363" i="1" s="1"/>
  <c r="D1362" i="1" s="1"/>
  <c r="D1361" i="1" s="1"/>
  <c r="D1360" i="1" s="1"/>
  <c r="D1359" i="1" s="1"/>
  <c r="D1358" i="1" s="1"/>
  <c r="D1357" i="1" s="1"/>
  <c r="D1356" i="1" s="1"/>
  <c r="D1355" i="1" s="1"/>
  <c r="D1354" i="1" s="1"/>
  <c r="D1353" i="1" s="1"/>
  <c r="D1352" i="1" s="1"/>
  <c r="D1351" i="1" s="1"/>
  <c r="D1350" i="1" s="1"/>
  <c r="D1349" i="1" s="1"/>
  <c r="D1348" i="1" s="1"/>
  <c r="D1347" i="1" s="1"/>
  <c r="D1346" i="1" s="1"/>
  <c r="D1345" i="1" s="1"/>
  <c r="D1344" i="1" s="1"/>
  <c r="D1343" i="1" s="1"/>
  <c r="D1342" i="1" s="1"/>
  <c r="D1341" i="1" s="1"/>
  <c r="D1340" i="1" s="1"/>
  <c r="D1339" i="1" s="1"/>
  <c r="D1338" i="1" s="1"/>
  <c r="D1337" i="1" s="1"/>
  <c r="D1336" i="1" s="1"/>
  <c r="D1335" i="1" s="1"/>
  <c r="D1334" i="1" s="1"/>
  <c r="D1333" i="1" s="1"/>
  <c r="D1332" i="1" s="1"/>
  <c r="D1331" i="1" s="1"/>
  <c r="D1330" i="1" s="1"/>
  <c r="D1329" i="1" s="1"/>
  <c r="D1328" i="1" s="1"/>
  <c r="D1327" i="1" s="1"/>
  <c r="D1326" i="1" s="1"/>
  <c r="D1325" i="1" s="1"/>
  <c r="D1324" i="1" s="1"/>
  <c r="D1323" i="1" s="1"/>
  <c r="D1322" i="1" s="1"/>
  <c r="D1321" i="1" s="1"/>
  <c r="D1320" i="1" s="1"/>
  <c r="D1319" i="1" s="1"/>
  <c r="D1318" i="1" s="1"/>
  <c r="D1317" i="1" s="1"/>
  <c r="D1316" i="1" s="1"/>
  <c r="D1315" i="1" s="1"/>
  <c r="D1314" i="1" s="1"/>
  <c r="D1313" i="1" s="1"/>
  <c r="D1312" i="1" s="1"/>
  <c r="D1311" i="1" s="1"/>
  <c r="D1310" i="1" s="1"/>
  <c r="D1309" i="1" s="1"/>
  <c r="D1308" i="1" s="1"/>
  <c r="D1307" i="1" s="1"/>
  <c r="D1306" i="1" s="1"/>
  <c r="D1305" i="1" s="1"/>
  <c r="D1304" i="1" s="1"/>
  <c r="D1303" i="1" s="1"/>
  <c r="D1302" i="1" s="1"/>
  <c r="D1301" i="1" s="1"/>
  <c r="D1300" i="1" s="1"/>
  <c r="D1299" i="1" s="1"/>
  <c r="D1298" i="1" s="1"/>
  <c r="D1297" i="1" s="1"/>
  <c r="D1296" i="1" s="1"/>
  <c r="D1295" i="1" s="1"/>
  <c r="D1294" i="1" s="1"/>
  <c r="D1293" i="1" s="1"/>
  <c r="D1292" i="1" s="1"/>
  <c r="D1291" i="1" s="1"/>
  <c r="D1290" i="1" s="1"/>
  <c r="D1289" i="1" s="1"/>
  <c r="D1288" i="1" s="1"/>
  <c r="D1287" i="1" s="1"/>
  <c r="D1286" i="1" s="1"/>
  <c r="D1285" i="1" s="1"/>
  <c r="D1284" i="1" s="1"/>
  <c r="D1283" i="1" s="1"/>
  <c r="D1282" i="1" s="1"/>
  <c r="D1281" i="1" s="1"/>
  <c r="D1280" i="1" s="1"/>
  <c r="D1279" i="1" s="1"/>
  <c r="D1278" i="1" s="1"/>
  <c r="D1277" i="1" s="1"/>
  <c r="D1276" i="1" s="1"/>
  <c r="D1275" i="1" s="1"/>
  <c r="D1274" i="1" s="1"/>
  <c r="D1273" i="1" s="1"/>
  <c r="D1272" i="1" s="1"/>
  <c r="D1271" i="1" s="1"/>
  <c r="D1270" i="1" s="1"/>
  <c r="D1269" i="1" s="1"/>
  <c r="D1268" i="1" s="1"/>
  <c r="D1267" i="1" s="1"/>
  <c r="D1266" i="1" s="1"/>
  <c r="D1265" i="1" s="1"/>
  <c r="D1264" i="1" s="1"/>
  <c r="D1263" i="1" s="1"/>
  <c r="D1262" i="1" s="1"/>
  <c r="D1261" i="1" s="1"/>
  <c r="D1260" i="1" s="1"/>
  <c r="D1259" i="1" s="1"/>
  <c r="D1258" i="1" s="1"/>
  <c r="D1257" i="1" s="1"/>
  <c r="D1508" i="1"/>
  <c r="D1759" i="1"/>
  <c r="D1758" i="1" s="1"/>
  <c r="D1757" i="1" s="1"/>
  <c r="D1756" i="1" s="1"/>
  <c r="D1755" i="1" s="1"/>
  <c r="D1754" i="1" s="1"/>
  <c r="D1753" i="1" s="1"/>
  <c r="D1752" i="1" s="1"/>
  <c r="D1751" i="1" s="1"/>
  <c r="D1750" i="1" s="1"/>
  <c r="D1749" i="1" s="1"/>
  <c r="D1748" i="1" s="1"/>
  <c r="D1747" i="1" s="1"/>
  <c r="D1746" i="1" s="1"/>
  <c r="D1745" i="1" s="1"/>
  <c r="D1744" i="1" s="1"/>
  <c r="D1743" i="1" s="1"/>
  <c r="D1742" i="1" s="1"/>
  <c r="D1741" i="1" s="1"/>
  <c r="D1740" i="1" s="1"/>
  <c r="D1739" i="1" s="1"/>
  <c r="D1738" i="1" s="1"/>
  <c r="D1737" i="1" s="1"/>
  <c r="D1736" i="1" s="1"/>
  <c r="D1735" i="1" s="1"/>
  <c r="D1734" i="1" s="1"/>
  <c r="D1733" i="1" s="1"/>
  <c r="D1732" i="1" s="1"/>
  <c r="D1731" i="1" s="1"/>
  <c r="D1730" i="1" s="1"/>
  <c r="D1729" i="1" s="1"/>
  <c r="D1728" i="1" s="1"/>
  <c r="D1727" i="1" s="1"/>
  <c r="D1726" i="1" s="1"/>
  <c r="D1725" i="1" s="1"/>
  <c r="D1724" i="1" s="1"/>
  <c r="D1723" i="1" s="1"/>
  <c r="D1722" i="1" s="1"/>
  <c r="D1721" i="1" s="1"/>
  <c r="D1720" i="1" s="1"/>
  <c r="D1719" i="1" s="1"/>
  <c r="D1718" i="1" s="1"/>
  <c r="D1717" i="1" s="1"/>
  <c r="D1716" i="1" s="1"/>
  <c r="D1715" i="1" s="1"/>
  <c r="D1714" i="1" s="1"/>
  <c r="D1713" i="1" s="1"/>
  <c r="D1712" i="1" s="1"/>
  <c r="D1711" i="1" s="1"/>
  <c r="D1710" i="1" s="1"/>
  <c r="D1709" i="1" s="1"/>
  <c r="D1708" i="1" s="1"/>
  <c r="D1707" i="1" s="1"/>
  <c r="D1706" i="1" s="1"/>
  <c r="D1705" i="1" s="1"/>
  <c r="D1704" i="1" s="1"/>
  <c r="D1703" i="1" s="1"/>
  <c r="D1702" i="1" s="1"/>
  <c r="D1701" i="1" s="1"/>
  <c r="D1700" i="1" s="1"/>
  <c r="D1699" i="1" s="1"/>
  <c r="D1698" i="1" s="1"/>
  <c r="D1697" i="1" s="1"/>
  <c r="D1696" i="1" s="1"/>
  <c r="D1695" i="1" s="1"/>
  <c r="D1694" i="1" s="1"/>
  <c r="D1693" i="1" s="1"/>
  <c r="D1692" i="1" s="1"/>
  <c r="D1691" i="1" s="1"/>
  <c r="D1690" i="1" s="1"/>
  <c r="D1689" i="1" s="1"/>
  <c r="D1688" i="1" s="1"/>
  <c r="D1687" i="1" s="1"/>
  <c r="D1686" i="1" s="1"/>
  <c r="D1685" i="1" s="1"/>
  <c r="D1684" i="1" s="1"/>
  <c r="D1683" i="1" s="1"/>
  <c r="D1682" i="1" s="1"/>
  <c r="D1681" i="1" s="1"/>
  <c r="D1680" i="1" s="1"/>
  <c r="D1679" i="1" s="1"/>
  <c r="D1678" i="1" s="1"/>
  <c r="D1677" i="1" s="1"/>
  <c r="D1676" i="1" s="1"/>
  <c r="D1675" i="1" s="1"/>
  <c r="D1674" i="1" s="1"/>
  <c r="D1673" i="1" s="1"/>
  <c r="D1672" i="1" s="1"/>
  <c r="D1671" i="1" s="1"/>
  <c r="D1670" i="1" s="1"/>
  <c r="D1669" i="1" s="1"/>
  <c r="D1668" i="1" s="1"/>
  <c r="D1667" i="1" s="1"/>
  <c r="D1666" i="1" s="1"/>
  <c r="D1665" i="1" s="1"/>
  <c r="D1664" i="1" s="1"/>
  <c r="D1663" i="1" s="1"/>
  <c r="D1662" i="1" s="1"/>
  <c r="D1661" i="1" s="1"/>
  <c r="D1660" i="1" s="1"/>
  <c r="D1659" i="1" s="1"/>
  <c r="D1658" i="1" s="1"/>
  <c r="D1657" i="1" s="1"/>
  <c r="D1656" i="1" s="1"/>
  <c r="D1655" i="1" s="1"/>
  <c r="D1654" i="1" s="1"/>
  <c r="D1653" i="1" s="1"/>
  <c r="D1652" i="1" s="1"/>
  <c r="D1651" i="1" s="1"/>
  <c r="D1650" i="1" s="1"/>
  <c r="D1649" i="1" s="1"/>
  <c r="D1648" i="1" s="1"/>
  <c r="D1647" i="1" s="1"/>
  <c r="D1646" i="1" s="1"/>
  <c r="D1645" i="1" s="1"/>
  <c r="D1644" i="1" s="1"/>
  <c r="D1643" i="1" s="1"/>
  <c r="D1642" i="1" s="1"/>
  <c r="D1641" i="1" s="1"/>
  <c r="D1640" i="1" s="1"/>
  <c r="D1639" i="1" s="1"/>
  <c r="D1638" i="1" s="1"/>
  <c r="D1637" i="1" s="1"/>
  <c r="D1636" i="1" s="1"/>
  <c r="D1635" i="1" s="1"/>
  <c r="D1634" i="1" s="1"/>
  <c r="D1633" i="1" s="1"/>
  <c r="D1632" i="1" s="1"/>
  <c r="D1631" i="1" s="1"/>
  <c r="D1630" i="1" s="1"/>
  <c r="D1629" i="1" s="1"/>
  <c r="D1628" i="1" s="1"/>
  <c r="D1627" i="1" s="1"/>
  <c r="D1626" i="1" s="1"/>
  <c r="D1625" i="1" s="1"/>
  <c r="D1624" i="1" s="1"/>
  <c r="D1623" i="1" s="1"/>
  <c r="D1622" i="1" s="1"/>
  <c r="D1621" i="1" s="1"/>
  <c r="D1620" i="1" s="1"/>
  <c r="D1619" i="1" s="1"/>
  <c r="D1618" i="1" s="1"/>
  <c r="D1617" i="1" s="1"/>
  <c r="D1616" i="1" s="1"/>
  <c r="D1615" i="1" s="1"/>
  <c r="D1614" i="1" s="1"/>
  <c r="D1613" i="1" s="1"/>
  <c r="D1612" i="1" s="1"/>
  <c r="D1611" i="1" s="1"/>
  <c r="D1610" i="1" s="1"/>
  <c r="D1609" i="1" s="1"/>
  <c r="D1608" i="1" s="1"/>
  <c r="D1607" i="1" s="1"/>
  <c r="D1606" i="1" s="1"/>
  <c r="D1605" i="1" s="1"/>
  <c r="D1604" i="1" s="1"/>
  <c r="D1603" i="1" s="1"/>
  <c r="D1602" i="1" s="1"/>
  <c r="D1601" i="1" s="1"/>
  <c r="D1600" i="1" s="1"/>
  <c r="D1599" i="1" s="1"/>
  <c r="D1598" i="1" s="1"/>
  <c r="D1597" i="1" s="1"/>
  <c r="D1596" i="1" s="1"/>
  <c r="D1595" i="1" s="1"/>
  <c r="D1594" i="1" s="1"/>
  <c r="D1593" i="1" s="1"/>
  <c r="D1592" i="1" s="1"/>
  <c r="D1591" i="1" s="1"/>
  <c r="D1590" i="1" s="1"/>
  <c r="D1589" i="1" s="1"/>
  <c r="D1588" i="1" s="1"/>
  <c r="D1587" i="1" s="1"/>
  <c r="D1586" i="1" s="1"/>
  <c r="D1585" i="1" s="1"/>
  <c r="D1584" i="1" s="1"/>
  <c r="D1583" i="1" s="1"/>
  <c r="D1582" i="1" s="1"/>
  <c r="D1581" i="1" s="1"/>
  <c r="D1580" i="1" s="1"/>
  <c r="D1579" i="1" s="1"/>
  <c r="D1578" i="1" s="1"/>
  <c r="D1577" i="1" s="1"/>
  <c r="D1576" i="1" s="1"/>
  <c r="D1575" i="1" s="1"/>
  <c r="D1574" i="1" s="1"/>
  <c r="D1573" i="1" s="1"/>
  <c r="D1572" i="1" s="1"/>
  <c r="D1571" i="1" s="1"/>
  <c r="D1570" i="1" s="1"/>
  <c r="D1569" i="1" s="1"/>
  <c r="D1568" i="1" s="1"/>
  <c r="D1567" i="1" s="1"/>
  <c r="D1566" i="1" s="1"/>
  <c r="D1565" i="1" s="1"/>
  <c r="D1564" i="1" s="1"/>
  <c r="D1563" i="1" s="1"/>
  <c r="D1562" i="1" s="1"/>
  <c r="D1561" i="1" s="1"/>
  <c r="D1560" i="1" s="1"/>
  <c r="D1559" i="1" s="1"/>
  <c r="D1558" i="1" s="1"/>
  <c r="D1557" i="1" s="1"/>
  <c r="D1556" i="1" s="1"/>
  <c r="D1555" i="1" s="1"/>
  <c r="D1554" i="1" s="1"/>
  <c r="D1553" i="1" s="1"/>
  <c r="D1552" i="1" s="1"/>
  <c r="D1551" i="1" s="1"/>
  <c r="D1550" i="1" s="1"/>
  <c r="D1549" i="1" s="1"/>
  <c r="D1548" i="1" s="1"/>
  <c r="D1547" i="1" s="1"/>
  <c r="D1546" i="1" s="1"/>
  <c r="D1545" i="1" s="1"/>
  <c r="D1544" i="1" s="1"/>
  <c r="D1543" i="1" s="1"/>
  <c r="D1542" i="1" s="1"/>
  <c r="D1541" i="1" s="1"/>
  <c r="D1540" i="1" s="1"/>
  <c r="D1539" i="1" s="1"/>
  <c r="D1538" i="1" s="1"/>
  <c r="D1537" i="1" s="1"/>
  <c r="D1536" i="1" s="1"/>
  <c r="D1535" i="1" s="1"/>
  <c r="D1534" i="1" s="1"/>
  <c r="D1533" i="1" s="1"/>
  <c r="D1532" i="1" s="1"/>
  <c r="D1531" i="1" s="1"/>
  <c r="D1530" i="1" s="1"/>
  <c r="D1529" i="1" s="1"/>
  <c r="D1528" i="1" s="1"/>
  <c r="D1527" i="1" s="1"/>
  <c r="D1526" i="1" s="1"/>
  <c r="D1525" i="1" s="1"/>
  <c r="D1524" i="1" s="1"/>
  <c r="D1523" i="1" s="1"/>
  <c r="D1522" i="1" s="1"/>
  <c r="D1521" i="1" s="1"/>
  <c r="D1520" i="1" s="1"/>
  <c r="D1519" i="1" s="1"/>
  <c r="D1518" i="1" s="1"/>
  <c r="D1517" i="1" s="1"/>
  <c r="D1516" i="1" s="1"/>
  <c r="D1515" i="1" s="1"/>
  <c r="D1514" i="1" s="1"/>
  <c r="D1513" i="1" s="1"/>
  <c r="D1512" i="1" s="1"/>
  <c r="D1511" i="1" s="1"/>
  <c r="D1510" i="1" s="1"/>
  <c r="D1760" i="1"/>
  <c r="D2009" i="1"/>
  <c r="D2008" i="1" s="1"/>
  <c r="D2007" i="1" s="1"/>
  <c r="D2006" i="1" s="1"/>
  <c r="D2005" i="1" s="1"/>
  <c r="D2004" i="1" s="1"/>
  <c r="D2003" i="1" s="1"/>
  <c r="D2002" i="1" s="1"/>
  <c r="D2001" i="1" s="1"/>
  <c r="D2000" i="1" s="1"/>
  <c r="D1999" i="1" s="1"/>
  <c r="D1998" i="1" s="1"/>
  <c r="D1997" i="1" s="1"/>
  <c r="D1996" i="1" s="1"/>
  <c r="D1995" i="1" s="1"/>
  <c r="D1994" i="1" s="1"/>
  <c r="D1993" i="1" s="1"/>
  <c r="D1992" i="1" s="1"/>
  <c r="D1991" i="1" s="1"/>
  <c r="D1990" i="1" s="1"/>
  <c r="D1989" i="1" s="1"/>
  <c r="D1988" i="1" s="1"/>
  <c r="D1987" i="1" s="1"/>
  <c r="D1986" i="1" s="1"/>
  <c r="D1985" i="1" s="1"/>
  <c r="D1984" i="1" s="1"/>
  <c r="D1983" i="1" s="1"/>
  <c r="D1982" i="1" s="1"/>
  <c r="D1981" i="1" s="1"/>
  <c r="D1980" i="1" s="1"/>
  <c r="D1979" i="1" s="1"/>
  <c r="D1978" i="1" s="1"/>
  <c r="D1977" i="1" s="1"/>
  <c r="D1976" i="1" s="1"/>
  <c r="D1975" i="1" s="1"/>
  <c r="D1974" i="1" s="1"/>
  <c r="D1973" i="1" s="1"/>
  <c r="D1972" i="1" s="1"/>
  <c r="D1971" i="1" s="1"/>
  <c r="D1970" i="1" s="1"/>
  <c r="D1969" i="1" s="1"/>
  <c r="D1968" i="1" s="1"/>
  <c r="D1967" i="1" s="1"/>
  <c r="D1966" i="1" s="1"/>
  <c r="D1965" i="1" s="1"/>
  <c r="D1964" i="1" s="1"/>
  <c r="D1963" i="1" s="1"/>
  <c r="D1962" i="1" s="1"/>
  <c r="D1961" i="1" s="1"/>
  <c r="D1960" i="1" s="1"/>
  <c r="D1959" i="1" s="1"/>
  <c r="D1958" i="1" s="1"/>
  <c r="D1957" i="1" s="1"/>
  <c r="D1956" i="1" s="1"/>
  <c r="D1955" i="1" s="1"/>
  <c r="D1954" i="1" s="1"/>
  <c r="D1953" i="1" s="1"/>
  <c r="D1952" i="1" s="1"/>
  <c r="D1951" i="1" s="1"/>
  <c r="D1950" i="1" s="1"/>
  <c r="D1949" i="1" s="1"/>
  <c r="D1948" i="1" s="1"/>
  <c r="D1947" i="1" s="1"/>
  <c r="D1946" i="1" s="1"/>
  <c r="D1945" i="1" s="1"/>
  <c r="D1944" i="1" s="1"/>
  <c r="D1943" i="1" s="1"/>
  <c r="D1942" i="1" s="1"/>
  <c r="D1941" i="1" s="1"/>
  <c r="D1940" i="1" s="1"/>
  <c r="D1939" i="1" s="1"/>
  <c r="D1938" i="1" s="1"/>
  <c r="D1937" i="1" s="1"/>
  <c r="D1936" i="1" s="1"/>
  <c r="D1935" i="1" s="1"/>
  <c r="D1934" i="1" s="1"/>
  <c r="D1933" i="1" s="1"/>
  <c r="D1932" i="1" s="1"/>
  <c r="D1931" i="1" s="1"/>
  <c r="D1930" i="1" s="1"/>
  <c r="D1929" i="1" s="1"/>
  <c r="D1928" i="1" s="1"/>
  <c r="D1927" i="1" s="1"/>
  <c r="D1926" i="1" s="1"/>
  <c r="D1925" i="1" s="1"/>
  <c r="D1924" i="1" s="1"/>
  <c r="D1923" i="1" s="1"/>
  <c r="D1922" i="1" s="1"/>
  <c r="D1921" i="1" s="1"/>
  <c r="D1920" i="1" s="1"/>
  <c r="D1919" i="1" s="1"/>
  <c r="D1918" i="1" s="1"/>
  <c r="D1917" i="1" s="1"/>
  <c r="D1916" i="1" s="1"/>
  <c r="D1915" i="1" s="1"/>
  <c r="D1914" i="1" s="1"/>
  <c r="D1913" i="1" s="1"/>
  <c r="D1912" i="1" s="1"/>
  <c r="D1911" i="1" s="1"/>
  <c r="D1910" i="1" s="1"/>
  <c r="D1909" i="1" s="1"/>
  <c r="D1908" i="1" s="1"/>
  <c r="D1907" i="1" s="1"/>
  <c r="D1906" i="1" s="1"/>
  <c r="D1905" i="1" s="1"/>
  <c r="D1904" i="1" s="1"/>
  <c r="D1903" i="1" s="1"/>
  <c r="D1902" i="1" s="1"/>
  <c r="D1901" i="1" s="1"/>
  <c r="D1900" i="1" s="1"/>
  <c r="D1899" i="1" s="1"/>
  <c r="D1898" i="1" s="1"/>
  <c r="D1897" i="1" s="1"/>
  <c r="D1896" i="1" s="1"/>
  <c r="D1895" i="1" s="1"/>
  <c r="D1894" i="1" s="1"/>
  <c r="D1893" i="1" s="1"/>
  <c r="D1892" i="1" s="1"/>
  <c r="D1891" i="1" s="1"/>
  <c r="D1890" i="1" s="1"/>
  <c r="D1889" i="1" s="1"/>
  <c r="D1888" i="1" s="1"/>
  <c r="D1887" i="1" s="1"/>
  <c r="D1886" i="1" s="1"/>
  <c r="D1885" i="1" s="1"/>
  <c r="D1884" i="1" s="1"/>
  <c r="D1883" i="1" s="1"/>
  <c r="D1882" i="1" s="1"/>
  <c r="D1881" i="1" s="1"/>
  <c r="D1880" i="1" s="1"/>
  <c r="D1879" i="1" s="1"/>
  <c r="D1878" i="1" s="1"/>
  <c r="D1877" i="1" s="1"/>
  <c r="D1876" i="1" s="1"/>
  <c r="D1875" i="1" s="1"/>
  <c r="D1874" i="1" s="1"/>
  <c r="D1873" i="1" s="1"/>
  <c r="D1872" i="1" s="1"/>
  <c r="D1871" i="1" s="1"/>
  <c r="D1870" i="1" s="1"/>
  <c r="D1869" i="1" s="1"/>
  <c r="D1868" i="1" s="1"/>
  <c r="D1867" i="1" s="1"/>
  <c r="D1866" i="1" s="1"/>
  <c r="D1865" i="1" s="1"/>
  <c r="D1864" i="1" s="1"/>
  <c r="D1863" i="1" s="1"/>
  <c r="D1862" i="1" s="1"/>
  <c r="D1861" i="1" s="1"/>
  <c r="D1860" i="1" s="1"/>
  <c r="D1859" i="1" s="1"/>
  <c r="D1858" i="1" s="1"/>
  <c r="D1857" i="1" s="1"/>
  <c r="D1856" i="1" s="1"/>
  <c r="D1855" i="1" s="1"/>
  <c r="D1854" i="1" s="1"/>
  <c r="D1853" i="1" s="1"/>
  <c r="D1852" i="1" s="1"/>
  <c r="D1851" i="1" s="1"/>
  <c r="D1850" i="1" s="1"/>
  <c r="D1849" i="1" s="1"/>
  <c r="D1848" i="1" s="1"/>
  <c r="D1847" i="1" s="1"/>
  <c r="D1846" i="1" s="1"/>
  <c r="D1845" i="1" s="1"/>
  <c r="D1844" i="1" s="1"/>
  <c r="D1843" i="1" s="1"/>
  <c r="D1842" i="1" s="1"/>
  <c r="D1841" i="1" s="1"/>
  <c r="D1840" i="1" s="1"/>
  <c r="D1839" i="1" s="1"/>
  <c r="D1838" i="1" s="1"/>
  <c r="D1837" i="1" s="1"/>
  <c r="D1836" i="1" s="1"/>
  <c r="D1835" i="1" s="1"/>
  <c r="D1834" i="1" s="1"/>
  <c r="D1833" i="1" s="1"/>
  <c r="D1832" i="1" s="1"/>
  <c r="D1831" i="1" s="1"/>
  <c r="D1830" i="1" s="1"/>
  <c r="D1829" i="1" s="1"/>
  <c r="D1828" i="1" s="1"/>
  <c r="D1827" i="1" s="1"/>
  <c r="D1826" i="1" s="1"/>
  <c r="D1825" i="1" s="1"/>
  <c r="D1824" i="1" s="1"/>
  <c r="D1823" i="1" s="1"/>
  <c r="D1822" i="1" s="1"/>
  <c r="D1821" i="1" s="1"/>
  <c r="D1820" i="1" s="1"/>
  <c r="D1819" i="1" s="1"/>
  <c r="D1818" i="1" s="1"/>
  <c r="D1817" i="1" s="1"/>
  <c r="D1816" i="1" s="1"/>
  <c r="D1815" i="1" s="1"/>
  <c r="D1814" i="1" s="1"/>
  <c r="D1813" i="1" s="1"/>
  <c r="D1812" i="1" s="1"/>
  <c r="D1811" i="1" s="1"/>
  <c r="D1810" i="1" s="1"/>
  <c r="D1809" i="1" s="1"/>
  <c r="D1808" i="1" s="1"/>
  <c r="D1807" i="1" s="1"/>
  <c r="D1806" i="1" s="1"/>
  <c r="D1805" i="1" s="1"/>
  <c r="D1804" i="1" s="1"/>
  <c r="D1803" i="1" s="1"/>
  <c r="D1802" i="1" s="1"/>
  <c r="D1801" i="1" s="1"/>
  <c r="D1800" i="1" s="1"/>
  <c r="D1799" i="1" s="1"/>
  <c r="D1798" i="1" s="1"/>
  <c r="D1797" i="1" s="1"/>
  <c r="D1796" i="1" s="1"/>
  <c r="D1795" i="1" s="1"/>
  <c r="D1794" i="1" s="1"/>
  <c r="D1793" i="1" s="1"/>
  <c r="D1792" i="1" s="1"/>
  <c r="D1791" i="1" s="1"/>
  <c r="D1790" i="1" s="1"/>
  <c r="D1789" i="1" s="1"/>
  <c r="D1788" i="1" s="1"/>
  <c r="D1787" i="1" s="1"/>
  <c r="D1786" i="1" s="1"/>
  <c r="D1785" i="1" s="1"/>
  <c r="D1784" i="1" s="1"/>
  <c r="D1783" i="1" s="1"/>
  <c r="D1782" i="1" s="1"/>
  <c r="D1781" i="1" s="1"/>
  <c r="D1780" i="1" s="1"/>
  <c r="D1779" i="1" s="1"/>
  <c r="D1778" i="1" s="1"/>
  <c r="D1777" i="1" s="1"/>
  <c r="D1776" i="1" s="1"/>
  <c r="D1775" i="1" s="1"/>
  <c r="D1774" i="1" s="1"/>
  <c r="D1773" i="1" s="1"/>
  <c r="D1772" i="1" s="1"/>
  <c r="D1771" i="1" s="1"/>
  <c r="D1770" i="1" s="1"/>
  <c r="D1769" i="1" s="1"/>
  <c r="D1768" i="1" s="1"/>
  <c r="D1767" i="1" s="1"/>
  <c r="D1766" i="1" s="1"/>
  <c r="D1765" i="1" s="1"/>
  <c r="D1764" i="1" s="1"/>
  <c r="D1763" i="1" s="1"/>
  <c r="D1762" i="1" s="1"/>
  <c r="D2010" i="1"/>
  <c r="D2011" i="1"/>
  <c r="D2261" i="1"/>
  <c r="D2260" i="1" s="1"/>
  <c r="D2259" i="1" s="1"/>
  <c r="D2258" i="1" s="1"/>
  <c r="D2257" i="1" s="1"/>
  <c r="D2256" i="1" s="1"/>
  <c r="D2255" i="1" s="1"/>
  <c r="D2254" i="1" s="1"/>
  <c r="D2253" i="1" s="1"/>
  <c r="D2252" i="1" s="1"/>
  <c r="D2251" i="1" s="1"/>
  <c r="D2250" i="1" s="1"/>
  <c r="D2249" i="1" s="1"/>
  <c r="D2248" i="1" s="1"/>
  <c r="D2247" i="1" s="1"/>
  <c r="D2246" i="1" s="1"/>
  <c r="D2245" i="1" s="1"/>
  <c r="D2244" i="1" s="1"/>
  <c r="D2243" i="1" s="1"/>
  <c r="D2242" i="1" s="1"/>
  <c r="D2241" i="1" s="1"/>
  <c r="D2240" i="1" s="1"/>
  <c r="D2239" i="1" s="1"/>
  <c r="D2238" i="1" s="1"/>
  <c r="D2237" i="1" s="1"/>
  <c r="D2236" i="1" s="1"/>
  <c r="D2235" i="1" s="1"/>
  <c r="D2234" i="1" s="1"/>
  <c r="D2233" i="1" s="1"/>
  <c r="D2232" i="1" s="1"/>
  <c r="D2231" i="1" s="1"/>
  <c r="D2230" i="1" s="1"/>
  <c r="D2229" i="1" s="1"/>
  <c r="D2228" i="1" s="1"/>
  <c r="D2227" i="1" s="1"/>
  <c r="D2226" i="1" s="1"/>
  <c r="D2225" i="1" s="1"/>
  <c r="D2224" i="1" s="1"/>
  <c r="D2223" i="1" s="1"/>
  <c r="D2222" i="1" s="1"/>
  <c r="D2221" i="1" s="1"/>
  <c r="D2220" i="1" s="1"/>
  <c r="D2219" i="1" s="1"/>
  <c r="D2218" i="1" s="1"/>
  <c r="D2217" i="1" s="1"/>
  <c r="D2216" i="1" s="1"/>
  <c r="D2215" i="1" s="1"/>
  <c r="D2214" i="1" s="1"/>
  <c r="D2213" i="1" s="1"/>
  <c r="D2212" i="1" s="1"/>
  <c r="D2211" i="1" s="1"/>
  <c r="D2210" i="1" s="1"/>
  <c r="D2209" i="1" s="1"/>
  <c r="D2208" i="1" s="1"/>
  <c r="D2207" i="1" s="1"/>
  <c r="D2206" i="1" s="1"/>
  <c r="D2205" i="1" s="1"/>
  <c r="D2204" i="1" s="1"/>
  <c r="D2203" i="1" s="1"/>
  <c r="D2202" i="1" s="1"/>
  <c r="D2201" i="1" s="1"/>
  <c r="D2200" i="1" s="1"/>
  <c r="D2199" i="1" s="1"/>
  <c r="D2198" i="1" s="1"/>
  <c r="D2197" i="1" s="1"/>
  <c r="D2196" i="1" s="1"/>
  <c r="D2195" i="1" s="1"/>
  <c r="D2194" i="1" s="1"/>
  <c r="D2193" i="1" s="1"/>
  <c r="D2192" i="1" s="1"/>
  <c r="D2191" i="1" s="1"/>
  <c r="D2190" i="1" s="1"/>
  <c r="D2189" i="1" s="1"/>
  <c r="D2188" i="1" s="1"/>
  <c r="D2187" i="1" s="1"/>
  <c r="D2186" i="1" s="1"/>
  <c r="D2185" i="1" s="1"/>
  <c r="D2184" i="1" s="1"/>
  <c r="D2183" i="1" s="1"/>
  <c r="D2182" i="1" s="1"/>
  <c r="D2181" i="1" s="1"/>
  <c r="D2180" i="1" s="1"/>
  <c r="D2179" i="1" s="1"/>
  <c r="D2178" i="1" s="1"/>
  <c r="D2177" i="1" s="1"/>
  <c r="D2176" i="1" s="1"/>
  <c r="D2175" i="1" s="1"/>
  <c r="D2174" i="1" s="1"/>
  <c r="D2173" i="1" s="1"/>
  <c r="D2172" i="1" s="1"/>
  <c r="D2171" i="1" s="1"/>
  <c r="D2170" i="1" s="1"/>
  <c r="D2169" i="1" s="1"/>
  <c r="D2168" i="1" s="1"/>
  <c r="D2167" i="1" s="1"/>
  <c r="D2166" i="1" s="1"/>
  <c r="D2165" i="1" s="1"/>
  <c r="D2164" i="1" s="1"/>
  <c r="D2163" i="1" s="1"/>
  <c r="D2162" i="1" s="1"/>
  <c r="D2161" i="1" s="1"/>
  <c r="D2160" i="1" s="1"/>
  <c r="D2159" i="1" s="1"/>
  <c r="D2158" i="1" s="1"/>
  <c r="D2157" i="1" s="1"/>
  <c r="D2156" i="1" s="1"/>
  <c r="D2155" i="1" s="1"/>
  <c r="D2154" i="1" s="1"/>
  <c r="D2153" i="1" s="1"/>
  <c r="D2152" i="1" s="1"/>
  <c r="D2151" i="1" s="1"/>
  <c r="D2150" i="1" s="1"/>
  <c r="D2149" i="1" s="1"/>
  <c r="D2148" i="1" s="1"/>
  <c r="D2147" i="1" s="1"/>
  <c r="D2146" i="1" s="1"/>
  <c r="D2145" i="1" s="1"/>
  <c r="D2144" i="1" s="1"/>
  <c r="D2143" i="1" s="1"/>
  <c r="D2142" i="1" s="1"/>
  <c r="D2141" i="1" s="1"/>
  <c r="D2140" i="1" s="1"/>
  <c r="D2139" i="1" s="1"/>
  <c r="D2138" i="1" s="1"/>
  <c r="D2137" i="1" s="1"/>
  <c r="D2136" i="1" s="1"/>
  <c r="D2135" i="1" s="1"/>
  <c r="D2134" i="1" s="1"/>
  <c r="D2133" i="1" s="1"/>
  <c r="D2132" i="1" s="1"/>
  <c r="D2131" i="1" s="1"/>
  <c r="D2130" i="1" s="1"/>
  <c r="D2129" i="1" s="1"/>
  <c r="D2128" i="1" s="1"/>
  <c r="D2127" i="1" s="1"/>
  <c r="D2126" i="1" s="1"/>
  <c r="D2125" i="1" s="1"/>
  <c r="D2124" i="1" s="1"/>
  <c r="D2123" i="1" s="1"/>
  <c r="D2122" i="1" s="1"/>
  <c r="D2121" i="1" s="1"/>
  <c r="D2120" i="1" s="1"/>
  <c r="D2119" i="1" s="1"/>
  <c r="D2118" i="1" s="1"/>
  <c r="D2117" i="1" s="1"/>
  <c r="D2116" i="1" s="1"/>
  <c r="D2115" i="1" s="1"/>
  <c r="D2114" i="1" s="1"/>
  <c r="D2113" i="1" s="1"/>
  <c r="D2112" i="1" s="1"/>
  <c r="D2111" i="1" s="1"/>
  <c r="D2110" i="1" s="1"/>
  <c r="D2109" i="1" s="1"/>
  <c r="D2108" i="1" s="1"/>
  <c r="D2107" i="1" s="1"/>
  <c r="D2106" i="1" s="1"/>
  <c r="D2105" i="1" s="1"/>
  <c r="D2104" i="1" s="1"/>
  <c r="D2103" i="1" s="1"/>
  <c r="D2102" i="1" s="1"/>
  <c r="D2101" i="1" s="1"/>
  <c r="D2100" i="1" s="1"/>
  <c r="D2099" i="1" s="1"/>
  <c r="D2098" i="1" s="1"/>
  <c r="D2097" i="1" s="1"/>
  <c r="D2096" i="1" s="1"/>
  <c r="D2095" i="1" s="1"/>
  <c r="D2094" i="1" s="1"/>
  <c r="D2093" i="1" s="1"/>
  <c r="D2092" i="1" s="1"/>
  <c r="D2091" i="1" s="1"/>
  <c r="D2090" i="1" s="1"/>
  <c r="D2089" i="1" s="1"/>
  <c r="D2088" i="1" s="1"/>
  <c r="D2087" i="1" s="1"/>
  <c r="D2086" i="1" s="1"/>
  <c r="D2085" i="1" s="1"/>
  <c r="D2084" i="1" s="1"/>
  <c r="D2083" i="1" s="1"/>
  <c r="D2082" i="1" s="1"/>
  <c r="D2081" i="1" s="1"/>
  <c r="D2080" i="1" s="1"/>
  <c r="D2079" i="1" s="1"/>
  <c r="D2078" i="1" s="1"/>
  <c r="D2077" i="1" s="1"/>
  <c r="D2076" i="1" s="1"/>
  <c r="D2075" i="1" s="1"/>
  <c r="D2074" i="1" s="1"/>
  <c r="D2073" i="1" s="1"/>
  <c r="D2072" i="1" s="1"/>
  <c r="D2071" i="1" s="1"/>
  <c r="D2070" i="1" s="1"/>
  <c r="D2069" i="1" s="1"/>
  <c r="D2068" i="1" s="1"/>
  <c r="D2067" i="1" s="1"/>
  <c r="D2066" i="1" s="1"/>
  <c r="D2065" i="1" s="1"/>
  <c r="D2064" i="1" s="1"/>
  <c r="D2063" i="1" s="1"/>
  <c r="D2062" i="1" s="1"/>
  <c r="D2061" i="1" s="1"/>
  <c r="D2060" i="1" s="1"/>
  <c r="D2059" i="1" s="1"/>
  <c r="D2058" i="1" s="1"/>
  <c r="D2057" i="1" s="1"/>
  <c r="D2056" i="1" s="1"/>
  <c r="D2055" i="1" s="1"/>
  <c r="D2054" i="1" s="1"/>
  <c r="D2053" i="1" s="1"/>
  <c r="D2052" i="1" s="1"/>
  <c r="D2051" i="1" s="1"/>
  <c r="D2050" i="1" s="1"/>
  <c r="D2049" i="1" s="1"/>
  <c r="D2048" i="1" s="1"/>
  <c r="D2047" i="1" s="1"/>
  <c r="D2046" i="1" s="1"/>
  <c r="D2045" i="1" s="1"/>
  <c r="D2044" i="1" s="1"/>
  <c r="D2043" i="1" s="1"/>
  <c r="D2042" i="1" s="1"/>
  <c r="D2041" i="1" s="1"/>
  <c r="D2040" i="1" s="1"/>
  <c r="D2039" i="1" s="1"/>
  <c r="D2038" i="1" s="1"/>
  <c r="D2037" i="1" s="1"/>
  <c r="D2036" i="1" s="1"/>
  <c r="D2035" i="1" s="1"/>
  <c r="D2034" i="1" s="1"/>
  <c r="D2033" i="1" s="1"/>
  <c r="D2032" i="1" s="1"/>
  <c r="D2031" i="1" s="1"/>
  <c r="D2030" i="1" s="1"/>
  <c r="D2029" i="1" s="1"/>
  <c r="D2028" i="1" s="1"/>
  <c r="D2027" i="1" s="1"/>
  <c r="D2026" i="1" s="1"/>
  <c r="D2025" i="1" s="1"/>
  <c r="D2024" i="1" s="1"/>
  <c r="D2023" i="1" s="1"/>
  <c r="D2022" i="1" s="1"/>
  <c r="D2021" i="1" s="1"/>
  <c r="D2020" i="1" s="1"/>
  <c r="D2019" i="1" s="1"/>
  <c r="D2018" i="1" s="1"/>
  <c r="D2017" i="1" s="1"/>
  <c r="D2016" i="1" s="1"/>
  <c r="D2015" i="1" s="1"/>
  <c r="D2014" i="1" s="1"/>
  <c r="D2013" i="1" s="1"/>
  <c r="D2262" i="1"/>
  <c r="D2513" i="1"/>
  <c r="D2512" i="1" s="1"/>
  <c r="D2511" i="1" s="1"/>
  <c r="D2510" i="1" s="1"/>
  <c r="D2509" i="1" s="1"/>
  <c r="D2508" i="1" s="1"/>
  <c r="D2507" i="1" s="1"/>
  <c r="D2506" i="1" s="1"/>
  <c r="D2505" i="1" s="1"/>
  <c r="D2504" i="1" s="1"/>
  <c r="D2503" i="1" s="1"/>
  <c r="D2502" i="1" s="1"/>
  <c r="D2501" i="1" s="1"/>
  <c r="D2500" i="1" s="1"/>
  <c r="D2499" i="1" s="1"/>
  <c r="D2498" i="1" s="1"/>
  <c r="D2497" i="1" s="1"/>
  <c r="D2496" i="1" s="1"/>
  <c r="D2495" i="1" s="1"/>
  <c r="D2494" i="1" s="1"/>
  <c r="D2493" i="1" s="1"/>
  <c r="D2492" i="1" s="1"/>
  <c r="D2491" i="1" s="1"/>
  <c r="D2490" i="1" s="1"/>
  <c r="D2489" i="1" s="1"/>
  <c r="D2488" i="1" s="1"/>
  <c r="D2487" i="1" s="1"/>
  <c r="D2486" i="1" s="1"/>
  <c r="D2485" i="1" s="1"/>
  <c r="D2484" i="1" s="1"/>
  <c r="D2483" i="1" s="1"/>
  <c r="D2482" i="1" s="1"/>
  <c r="D2481" i="1" s="1"/>
  <c r="D2480" i="1" s="1"/>
  <c r="D2479" i="1" s="1"/>
  <c r="D2478" i="1" s="1"/>
  <c r="D2477" i="1" s="1"/>
  <c r="D2476" i="1" s="1"/>
  <c r="D2475" i="1" s="1"/>
  <c r="D2474" i="1" s="1"/>
  <c r="D2473" i="1" s="1"/>
  <c r="D2472" i="1" s="1"/>
  <c r="D2471" i="1" s="1"/>
  <c r="D2470" i="1" s="1"/>
  <c r="D2469" i="1" s="1"/>
  <c r="D2468" i="1" s="1"/>
  <c r="D2467" i="1" s="1"/>
  <c r="D2466" i="1" s="1"/>
  <c r="D2465" i="1" s="1"/>
  <c r="D2464" i="1" s="1"/>
  <c r="D2463" i="1" s="1"/>
  <c r="D2462" i="1" s="1"/>
  <c r="D2461" i="1" s="1"/>
  <c r="D2460" i="1" s="1"/>
  <c r="D2459" i="1" s="1"/>
  <c r="D2458" i="1" s="1"/>
  <c r="D2457" i="1" s="1"/>
  <c r="D2456" i="1" s="1"/>
  <c r="D2455" i="1" s="1"/>
  <c r="D2454" i="1" s="1"/>
  <c r="D2453" i="1" s="1"/>
  <c r="D2452" i="1" s="1"/>
  <c r="D2451" i="1" s="1"/>
  <c r="D2450" i="1" s="1"/>
  <c r="D2449" i="1" s="1"/>
  <c r="D2448" i="1" s="1"/>
  <c r="D2447" i="1" s="1"/>
  <c r="D2446" i="1" s="1"/>
  <c r="D2445" i="1" s="1"/>
  <c r="D2444" i="1" s="1"/>
  <c r="D2443" i="1" s="1"/>
  <c r="D2442" i="1" s="1"/>
  <c r="D2441" i="1" s="1"/>
  <c r="D2440" i="1" s="1"/>
  <c r="D2439" i="1" s="1"/>
  <c r="D2438" i="1" s="1"/>
  <c r="D2437" i="1" s="1"/>
  <c r="D2436" i="1" s="1"/>
  <c r="D2435" i="1" s="1"/>
  <c r="D2434" i="1" s="1"/>
  <c r="D2433" i="1" s="1"/>
  <c r="D2432" i="1" s="1"/>
  <c r="D2431" i="1" s="1"/>
  <c r="D2430" i="1" s="1"/>
  <c r="D2429" i="1" s="1"/>
  <c r="D2428" i="1" s="1"/>
  <c r="D2427" i="1" s="1"/>
  <c r="D2426" i="1" s="1"/>
  <c r="D2425" i="1" s="1"/>
  <c r="D2424" i="1" s="1"/>
  <c r="D2423" i="1" s="1"/>
  <c r="D2422" i="1" s="1"/>
  <c r="D2421" i="1" s="1"/>
  <c r="D2420" i="1" s="1"/>
  <c r="D2419" i="1" s="1"/>
  <c r="D2418" i="1" s="1"/>
  <c r="D2417" i="1" s="1"/>
  <c r="D2416" i="1" s="1"/>
  <c r="D2415" i="1" s="1"/>
  <c r="D2414" i="1" s="1"/>
  <c r="D2413" i="1" s="1"/>
  <c r="D2412" i="1" s="1"/>
  <c r="D2411" i="1" s="1"/>
  <c r="D2410" i="1" s="1"/>
  <c r="D2409" i="1" s="1"/>
  <c r="D2408" i="1" s="1"/>
  <c r="D2407" i="1" s="1"/>
  <c r="D2406" i="1" s="1"/>
  <c r="D2405" i="1" s="1"/>
  <c r="D2404" i="1" s="1"/>
  <c r="D2403" i="1" s="1"/>
  <c r="D2402" i="1" s="1"/>
  <c r="D2401" i="1" s="1"/>
  <c r="D2400" i="1" s="1"/>
  <c r="D2399" i="1" s="1"/>
  <c r="D2398" i="1" s="1"/>
  <c r="D2397" i="1" s="1"/>
  <c r="D2396" i="1" s="1"/>
  <c r="D2395" i="1" s="1"/>
  <c r="D2394" i="1" s="1"/>
  <c r="D2393" i="1" s="1"/>
  <c r="D2392" i="1" s="1"/>
  <c r="D2391" i="1" s="1"/>
  <c r="D2390" i="1" s="1"/>
  <c r="D2389" i="1" s="1"/>
  <c r="D2388" i="1" s="1"/>
  <c r="D2387" i="1" s="1"/>
  <c r="D2386" i="1" s="1"/>
  <c r="D2385" i="1" s="1"/>
  <c r="D2384" i="1" s="1"/>
  <c r="D2383" i="1" s="1"/>
  <c r="D2382" i="1" s="1"/>
  <c r="D2381" i="1" s="1"/>
  <c r="D2380" i="1" s="1"/>
  <c r="D2379" i="1" s="1"/>
  <c r="D2378" i="1" s="1"/>
  <c r="D2377" i="1" s="1"/>
  <c r="D2376" i="1" s="1"/>
  <c r="D2375" i="1" s="1"/>
  <c r="D2374" i="1" s="1"/>
  <c r="D2373" i="1" s="1"/>
  <c r="D2372" i="1" s="1"/>
  <c r="D2371" i="1" s="1"/>
  <c r="D2370" i="1" s="1"/>
  <c r="D2369" i="1" s="1"/>
  <c r="D2368" i="1" s="1"/>
  <c r="D2367" i="1" s="1"/>
  <c r="D2366" i="1" s="1"/>
  <c r="D2365" i="1" s="1"/>
  <c r="D2364" i="1" s="1"/>
  <c r="D2363" i="1" s="1"/>
  <c r="D2362" i="1" s="1"/>
  <c r="D2361" i="1" s="1"/>
  <c r="D2360" i="1" s="1"/>
  <c r="D2359" i="1" s="1"/>
  <c r="D2358" i="1" s="1"/>
  <c r="D2357" i="1" s="1"/>
  <c r="D2356" i="1" s="1"/>
  <c r="D2355" i="1" s="1"/>
  <c r="D2354" i="1" s="1"/>
  <c r="D2353" i="1" s="1"/>
  <c r="D2352" i="1" s="1"/>
  <c r="D2351" i="1" s="1"/>
  <c r="D2350" i="1" s="1"/>
  <c r="D2349" i="1" s="1"/>
  <c r="D2348" i="1" s="1"/>
  <c r="D2347" i="1" s="1"/>
  <c r="D2346" i="1" s="1"/>
  <c r="D2345" i="1" s="1"/>
  <c r="D2344" i="1" s="1"/>
  <c r="D2343" i="1" s="1"/>
  <c r="D2342" i="1" s="1"/>
  <c r="D2341" i="1" s="1"/>
  <c r="D2340" i="1" s="1"/>
  <c r="D2339" i="1" s="1"/>
  <c r="D2338" i="1" s="1"/>
  <c r="D2337" i="1" s="1"/>
  <c r="D2336" i="1" s="1"/>
  <c r="D2335" i="1" s="1"/>
  <c r="D2334" i="1" s="1"/>
  <c r="D2333" i="1" s="1"/>
  <c r="D2332" i="1" s="1"/>
  <c r="D2331" i="1" s="1"/>
  <c r="D2330" i="1" s="1"/>
  <c r="D2329" i="1" s="1"/>
  <c r="D2328" i="1" s="1"/>
  <c r="D2327" i="1" s="1"/>
  <c r="D2326" i="1" s="1"/>
  <c r="D2325" i="1" s="1"/>
  <c r="D2324" i="1" s="1"/>
  <c r="D2323" i="1" s="1"/>
  <c r="D2322" i="1" s="1"/>
  <c r="D2321" i="1" s="1"/>
  <c r="D2320" i="1" s="1"/>
  <c r="D2319" i="1" s="1"/>
  <c r="D2318" i="1" s="1"/>
  <c r="D2317" i="1" s="1"/>
  <c r="D2316" i="1" s="1"/>
  <c r="D2315" i="1" s="1"/>
  <c r="D2314" i="1" s="1"/>
  <c r="D2313" i="1" s="1"/>
  <c r="D2312" i="1" s="1"/>
  <c r="D2311" i="1" s="1"/>
  <c r="D2310" i="1" s="1"/>
  <c r="D2309" i="1" s="1"/>
  <c r="D2308" i="1" s="1"/>
  <c r="D2307" i="1" s="1"/>
  <c r="D2306" i="1" s="1"/>
  <c r="D2305" i="1" s="1"/>
  <c r="D2304" i="1" s="1"/>
  <c r="D2303" i="1" s="1"/>
  <c r="D2302" i="1" s="1"/>
  <c r="D2301" i="1" s="1"/>
  <c r="D2300" i="1" s="1"/>
  <c r="D2299" i="1" s="1"/>
  <c r="D2298" i="1" s="1"/>
  <c r="D2297" i="1" s="1"/>
  <c r="D2296" i="1" s="1"/>
  <c r="D2295" i="1" s="1"/>
  <c r="D2294" i="1" s="1"/>
  <c r="D2293" i="1" s="1"/>
  <c r="D2292" i="1" s="1"/>
  <c r="D2291" i="1" s="1"/>
  <c r="D2290" i="1" s="1"/>
  <c r="D2289" i="1" s="1"/>
  <c r="D2288" i="1" s="1"/>
  <c r="D2287" i="1" s="1"/>
  <c r="D2286" i="1" s="1"/>
  <c r="D2285" i="1" s="1"/>
  <c r="D2284" i="1" s="1"/>
  <c r="D2283" i="1" s="1"/>
  <c r="D2282" i="1" s="1"/>
  <c r="D2281" i="1" s="1"/>
  <c r="D2280" i="1" s="1"/>
  <c r="D2279" i="1" s="1"/>
  <c r="D2278" i="1" s="1"/>
  <c r="D2277" i="1" s="1"/>
  <c r="D2276" i="1" s="1"/>
  <c r="D2275" i="1" s="1"/>
  <c r="D2274" i="1" s="1"/>
  <c r="D2273" i="1" s="1"/>
  <c r="D2272" i="1" s="1"/>
  <c r="D2271" i="1" s="1"/>
  <c r="D2270" i="1" s="1"/>
  <c r="D2269" i="1" s="1"/>
  <c r="D2268" i="1" s="1"/>
  <c r="D2267" i="1" s="1"/>
  <c r="D2266" i="1" s="1"/>
  <c r="D2265" i="1" s="1"/>
  <c r="D2264" i="1" s="1"/>
  <c r="D2514" i="1"/>
  <c r="D2765" i="1"/>
  <c r="D2764" i="1" s="1"/>
  <c r="D2763" i="1" s="1"/>
  <c r="D2762" i="1" s="1"/>
  <c r="D2761" i="1" s="1"/>
  <c r="D2760" i="1" s="1"/>
  <c r="D2759" i="1" s="1"/>
  <c r="D2758" i="1" s="1"/>
  <c r="D2757" i="1" s="1"/>
  <c r="D2756" i="1" s="1"/>
  <c r="D2755" i="1" s="1"/>
  <c r="D2754" i="1" s="1"/>
  <c r="D2753" i="1" s="1"/>
  <c r="D2752" i="1" s="1"/>
  <c r="D2751" i="1" s="1"/>
  <c r="D2750" i="1" s="1"/>
  <c r="D2749" i="1" s="1"/>
  <c r="D2748" i="1" s="1"/>
  <c r="D2747" i="1" s="1"/>
  <c r="D2746" i="1" s="1"/>
  <c r="D2745" i="1" s="1"/>
  <c r="D2744" i="1" s="1"/>
  <c r="D2743" i="1" s="1"/>
  <c r="D2742" i="1" s="1"/>
  <c r="D2741" i="1" s="1"/>
  <c r="D2740" i="1" s="1"/>
  <c r="D2739" i="1" s="1"/>
  <c r="D2738" i="1" s="1"/>
  <c r="D2737" i="1" s="1"/>
  <c r="D2736" i="1" s="1"/>
  <c r="D2735" i="1" s="1"/>
  <c r="D2734" i="1" s="1"/>
  <c r="D2733" i="1" s="1"/>
  <c r="D2732" i="1" s="1"/>
  <c r="D2731" i="1" s="1"/>
  <c r="D2730" i="1" s="1"/>
  <c r="D2729" i="1" s="1"/>
  <c r="D2728" i="1" s="1"/>
  <c r="D2727" i="1" s="1"/>
  <c r="D2726" i="1" s="1"/>
  <c r="D2725" i="1" s="1"/>
  <c r="D2724" i="1" s="1"/>
  <c r="D2723" i="1" s="1"/>
  <c r="D2722" i="1" s="1"/>
  <c r="D2721" i="1" s="1"/>
  <c r="D2720" i="1" s="1"/>
  <c r="D2719" i="1" s="1"/>
  <c r="D2718" i="1" s="1"/>
  <c r="D2717" i="1" s="1"/>
  <c r="D2716" i="1" s="1"/>
  <c r="D2715" i="1" s="1"/>
  <c r="D2714" i="1" s="1"/>
  <c r="D2713" i="1" s="1"/>
  <c r="D2712" i="1" s="1"/>
  <c r="D2711" i="1" s="1"/>
  <c r="D2710" i="1" s="1"/>
  <c r="D2709" i="1" s="1"/>
  <c r="D2708" i="1" s="1"/>
  <c r="D2707" i="1" s="1"/>
  <c r="D2706" i="1" s="1"/>
  <c r="D2705" i="1" s="1"/>
  <c r="D2704" i="1" s="1"/>
  <c r="D2703" i="1" s="1"/>
  <c r="D2702" i="1" s="1"/>
  <c r="D2701" i="1" s="1"/>
  <c r="D2700" i="1" s="1"/>
  <c r="D2699" i="1" s="1"/>
  <c r="D2698" i="1" s="1"/>
  <c r="D2697" i="1" s="1"/>
  <c r="D2696" i="1" s="1"/>
  <c r="D2695" i="1" s="1"/>
  <c r="D2694" i="1" s="1"/>
  <c r="D2693" i="1" s="1"/>
  <c r="D2692" i="1" s="1"/>
  <c r="D2691" i="1" s="1"/>
  <c r="D2690" i="1" s="1"/>
  <c r="D2689" i="1" s="1"/>
  <c r="D2688" i="1" s="1"/>
  <c r="D2687" i="1" s="1"/>
  <c r="D2686" i="1" s="1"/>
  <c r="D2685" i="1" s="1"/>
  <c r="D2684" i="1" s="1"/>
  <c r="D2683" i="1" s="1"/>
  <c r="D2682" i="1" s="1"/>
  <c r="D2681" i="1" s="1"/>
  <c r="D2680" i="1" s="1"/>
  <c r="D2679" i="1" s="1"/>
  <c r="D2678" i="1" s="1"/>
  <c r="D2677" i="1" s="1"/>
  <c r="D2676" i="1" s="1"/>
  <c r="D2675" i="1" s="1"/>
  <c r="D2674" i="1" s="1"/>
  <c r="D2673" i="1" s="1"/>
  <c r="D2672" i="1" s="1"/>
  <c r="D2671" i="1" s="1"/>
  <c r="D2670" i="1" s="1"/>
  <c r="D2669" i="1" s="1"/>
  <c r="D2668" i="1" s="1"/>
  <c r="D2667" i="1" s="1"/>
  <c r="D2666" i="1" s="1"/>
  <c r="D2665" i="1" s="1"/>
  <c r="D2664" i="1" s="1"/>
  <c r="D2663" i="1" s="1"/>
  <c r="D2662" i="1" s="1"/>
  <c r="D2661" i="1" s="1"/>
  <c r="D2660" i="1" s="1"/>
  <c r="D2659" i="1" s="1"/>
  <c r="D2658" i="1" s="1"/>
  <c r="D2657" i="1" s="1"/>
  <c r="D2656" i="1" s="1"/>
  <c r="D2655" i="1" s="1"/>
  <c r="D2654" i="1" s="1"/>
  <c r="D2653" i="1" s="1"/>
  <c r="D2652" i="1" s="1"/>
  <c r="D2651" i="1" s="1"/>
  <c r="D2650" i="1" s="1"/>
  <c r="D2649" i="1" s="1"/>
  <c r="D2648" i="1" s="1"/>
  <c r="D2647" i="1" s="1"/>
  <c r="D2646" i="1" s="1"/>
  <c r="D2645" i="1" s="1"/>
  <c r="D2644" i="1" s="1"/>
  <c r="D2643" i="1" s="1"/>
  <c r="D2642" i="1" s="1"/>
  <c r="D2641" i="1" s="1"/>
  <c r="D2640" i="1" s="1"/>
  <c r="D2639" i="1" s="1"/>
  <c r="D2638" i="1" s="1"/>
  <c r="D2637" i="1" s="1"/>
  <c r="D2636" i="1" s="1"/>
  <c r="D2635" i="1" s="1"/>
  <c r="D2634" i="1" s="1"/>
  <c r="D2633" i="1" s="1"/>
  <c r="D2632" i="1" s="1"/>
  <c r="D2631" i="1" s="1"/>
  <c r="D2630" i="1" s="1"/>
  <c r="D2629" i="1" s="1"/>
  <c r="D2628" i="1" s="1"/>
  <c r="D2627" i="1" s="1"/>
  <c r="D2626" i="1" s="1"/>
  <c r="D2625" i="1" s="1"/>
  <c r="D2624" i="1" s="1"/>
  <c r="D2623" i="1" s="1"/>
  <c r="D2622" i="1" s="1"/>
  <c r="D2621" i="1" s="1"/>
  <c r="D2620" i="1" s="1"/>
  <c r="D2619" i="1" s="1"/>
  <c r="D2618" i="1" s="1"/>
  <c r="D2617" i="1" s="1"/>
  <c r="D2616" i="1" s="1"/>
  <c r="D2615" i="1" s="1"/>
  <c r="D2614" i="1" s="1"/>
  <c r="D2613" i="1" s="1"/>
  <c r="D2612" i="1" s="1"/>
  <c r="D2611" i="1" s="1"/>
  <c r="D2610" i="1" s="1"/>
  <c r="D2609" i="1" s="1"/>
  <c r="D2608" i="1" s="1"/>
  <c r="D2607" i="1" s="1"/>
  <c r="D2606" i="1" s="1"/>
  <c r="D2605" i="1" s="1"/>
  <c r="D2604" i="1" s="1"/>
  <c r="D2603" i="1" s="1"/>
  <c r="D2602" i="1" s="1"/>
  <c r="D2601" i="1" s="1"/>
  <c r="D2600" i="1" s="1"/>
  <c r="D2599" i="1" s="1"/>
  <c r="D2598" i="1" s="1"/>
  <c r="D2597" i="1" s="1"/>
  <c r="D2596" i="1" s="1"/>
  <c r="D2595" i="1" s="1"/>
  <c r="D2594" i="1" s="1"/>
  <c r="D2593" i="1" s="1"/>
  <c r="D2592" i="1" s="1"/>
  <c r="D2591" i="1" s="1"/>
  <c r="D2590" i="1" s="1"/>
  <c r="D2589" i="1" s="1"/>
  <c r="D2588" i="1" s="1"/>
  <c r="D2587" i="1" s="1"/>
  <c r="D2586" i="1" s="1"/>
  <c r="D2585" i="1" s="1"/>
  <c r="D2584" i="1" s="1"/>
  <c r="D2583" i="1" s="1"/>
  <c r="D2582" i="1" s="1"/>
  <c r="D2581" i="1" s="1"/>
  <c r="D2580" i="1" s="1"/>
  <c r="D2579" i="1" s="1"/>
  <c r="D2578" i="1" s="1"/>
  <c r="D2577" i="1" s="1"/>
  <c r="D2576" i="1" s="1"/>
  <c r="D2575" i="1" s="1"/>
  <c r="D2574" i="1" s="1"/>
  <c r="D2573" i="1" s="1"/>
  <c r="D2572" i="1" s="1"/>
  <c r="D2571" i="1" s="1"/>
  <c r="D2570" i="1" s="1"/>
  <c r="D2569" i="1" s="1"/>
  <c r="D2568" i="1" s="1"/>
  <c r="D2567" i="1" s="1"/>
  <c r="D2566" i="1" s="1"/>
  <c r="D2565" i="1" s="1"/>
  <c r="D2564" i="1" s="1"/>
  <c r="D2563" i="1" s="1"/>
  <c r="D2562" i="1" s="1"/>
  <c r="D2561" i="1" s="1"/>
  <c r="D2560" i="1" s="1"/>
  <c r="D2559" i="1" s="1"/>
  <c r="D2558" i="1" s="1"/>
  <c r="D2557" i="1" s="1"/>
  <c r="D2556" i="1" s="1"/>
  <c r="D2555" i="1" s="1"/>
  <c r="D2554" i="1" s="1"/>
  <c r="D2553" i="1" s="1"/>
  <c r="D2552" i="1" s="1"/>
  <c r="D2551" i="1" s="1"/>
  <c r="D2550" i="1" s="1"/>
  <c r="D2549" i="1" s="1"/>
  <c r="D2548" i="1" s="1"/>
  <c r="D2547" i="1" s="1"/>
  <c r="D2546" i="1" s="1"/>
  <c r="D2545" i="1" s="1"/>
  <c r="D2544" i="1" s="1"/>
  <c r="D2543" i="1" s="1"/>
  <c r="D2542" i="1" s="1"/>
  <c r="D2541" i="1" s="1"/>
  <c r="D2540" i="1" s="1"/>
  <c r="D2539" i="1" s="1"/>
  <c r="D2538" i="1" s="1"/>
  <c r="D2537" i="1" s="1"/>
  <c r="D2536" i="1" s="1"/>
  <c r="D2535" i="1" s="1"/>
  <c r="D2534" i="1" s="1"/>
  <c r="D2533" i="1" s="1"/>
  <c r="D2532" i="1" s="1"/>
  <c r="D2531" i="1" s="1"/>
  <c r="D2530" i="1" s="1"/>
  <c r="D2529" i="1" s="1"/>
  <c r="D2528" i="1" s="1"/>
  <c r="D2527" i="1" s="1"/>
  <c r="D2526" i="1" s="1"/>
  <c r="D2525" i="1" s="1"/>
  <c r="D2524" i="1" s="1"/>
  <c r="D2523" i="1" s="1"/>
  <c r="D2522" i="1" s="1"/>
  <c r="D2521" i="1" s="1"/>
  <c r="D2520" i="1" s="1"/>
  <c r="D2519" i="1" s="1"/>
  <c r="D2518" i="1" s="1"/>
  <c r="D2517" i="1" s="1"/>
  <c r="D2516" i="1" s="1"/>
  <c r="D2766" i="1"/>
  <c r="D3016" i="1"/>
  <c r="D3015" i="1" s="1"/>
  <c r="D3014" i="1" s="1"/>
  <c r="D3013" i="1" s="1"/>
  <c r="D3012" i="1" s="1"/>
  <c r="D3011" i="1" s="1"/>
  <c r="D3010" i="1" s="1"/>
  <c r="D3009" i="1" s="1"/>
  <c r="D3008" i="1" s="1"/>
  <c r="D3007" i="1" s="1"/>
  <c r="D3006" i="1" s="1"/>
  <c r="D3005" i="1" s="1"/>
  <c r="D3004" i="1" s="1"/>
  <c r="D3003" i="1" s="1"/>
  <c r="D3002" i="1" s="1"/>
  <c r="D3001" i="1" s="1"/>
  <c r="D3000" i="1" s="1"/>
  <c r="D2999" i="1" s="1"/>
  <c r="D2998" i="1" s="1"/>
  <c r="D2997" i="1" s="1"/>
  <c r="D2996" i="1" s="1"/>
  <c r="D2995" i="1" s="1"/>
  <c r="D2994" i="1" s="1"/>
  <c r="D2993" i="1" s="1"/>
  <c r="D2992" i="1" s="1"/>
  <c r="D2991" i="1" s="1"/>
  <c r="D2990" i="1" s="1"/>
  <c r="D2989" i="1" s="1"/>
  <c r="D2988" i="1" s="1"/>
  <c r="D2987" i="1" s="1"/>
  <c r="D2986" i="1" s="1"/>
  <c r="D2985" i="1" s="1"/>
  <c r="D2984" i="1" s="1"/>
  <c r="D2983" i="1" s="1"/>
  <c r="D2982" i="1" s="1"/>
  <c r="D2981" i="1" s="1"/>
  <c r="D2980" i="1" s="1"/>
  <c r="D2979" i="1" s="1"/>
  <c r="D2978" i="1" s="1"/>
  <c r="D2977" i="1" s="1"/>
  <c r="D2976" i="1" s="1"/>
  <c r="D2975" i="1" s="1"/>
  <c r="D2974" i="1" s="1"/>
  <c r="D2973" i="1" s="1"/>
  <c r="D2972" i="1" s="1"/>
  <c r="D2971" i="1" s="1"/>
  <c r="D2970" i="1" s="1"/>
  <c r="D2969" i="1" s="1"/>
  <c r="D2968" i="1" s="1"/>
  <c r="D2967" i="1" s="1"/>
  <c r="D2966" i="1" s="1"/>
  <c r="D2965" i="1" s="1"/>
  <c r="D2964" i="1" s="1"/>
  <c r="D2963" i="1" s="1"/>
  <c r="D2962" i="1" s="1"/>
  <c r="D2961" i="1" s="1"/>
  <c r="D2960" i="1" s="1"/>
  <c r="D2959" i="1" s="1"/>
  <c r="D2958" i="1" s="1"/>
  <c r="D2957" i="1" s="1"/>
  <c r="D2956" i="1" s="1"/>
  <c r="D2955" i="1" s="1"/>
  <c r="D2954" i="1" s="1"/>
  <c r="D2953" i="1" s="1"/>
  <c r="D2952" i="1" s="1"/>
  <c r="D2951" i="1" s="1"/>
  <c r="D2950" i="1" s="1"/>
  <c r="D2949" i="1" s="1"/>
  <c r="D2948" i="1" s="1"/>
  <c r="D2947" i="1" s="1"/>
  <c r="D2946" i="1" s="1"/>
  <c r="D2945" i="1" s="1"/>
  <c r="D2944" i="1" s="1"/>
  <c r="D2943" i="1" s="1"/>
  <c r="D2942" i="1" s="1"/>
  <c r="D2941" i="1" s="1"/>
  <c r="D2940" i="1" s="1"/>
  <c r="D2939" i="1" s="1"/>
  <c r="D2938" i="1" s="1"/>
  <c r="D2937" i="1" s="1"/>
  <c r="D2936" i="1" s="1"/>
  <c r="D2935" i="1" s="1"/>
  <c r="D2934" i="1" s="1"/>
  <c r="D2933" i="1" s="1"/>
  <c r="D2932" i="1" s="1"/>
  <c r="D2931" i="1" s="1"/>
  <c r="D2930" i="1" s="1"/>
  <c r="D2929" i="1" s="1"/>
  <c r="D2928" i="1" s="1"/>
  <c r="D2927" i="1" s="1"/>
  <c r="D2926" i="1" s="1"/>
  <c r="D2925" i="1" s="1"/>
  <c r="D2924" i="1" s="1"/>
  <c r="D2923" i="1" s="1"/>
  <c r="D2922" i="1" s="1"/>
  <c r="D2921" i="1" s="1"/>
  <c r="D2920" i="1" s="1"/>
  <c r="D2919" i="1" s="1"/>
  <c r="D2918" i="1" s="1"/>
  <c r="D2917" i="1" s="1"/>
  <c r="D2916" i="1" s="1"/>
  <c r="D2915" i="1" s="1"/>
  <c r="D2914" i="1" s="1"/>
  <c r="D2913" i="1" s="1"/>
  <c r="D2912" i="1" s="1"/>
  <c r="D2911" i="1" s="1"/>
  <c r="D2910" i="1" s="1"/>
  <c r="D2909" i="1" s="1"/>
  <c r="D2908" i="1" s="1"/>
  <c r="D2907" i="1" s="1"/>
  <c r="D2906" i="1" s="1"/>
  <c r="D2905" i="1" s="1"/>
  <c r="D2904" i="1" s="1"/>
  <c r="D2903" i="1" s="1"/>
  <c r="D2902" i="1" s="1"/>
  <c r="D2901" i="1" s="1"/>
  <c r="D2900" i="1" s="1"/>
  <c r="D2899" i="1" s="1"/>
  <c r="D2898" i="1" s="1"/>
  <c r="D2897" i="1" s="1"/>
  <c r="D2896" i="1" s="1"/>
  <c r="D2895" i="1" s="1"/>
  <c r="D2894" i="1" s="1"/>
  <c r="D2893" i="1" s="1"/>
  <c r="D2892" i="1" s="1"/>
  <c r="D2891" i="1" s="1"/>
  <c r="D2890" i="1" s="1"/>
  <c r="D2889" i="1" s="1"/>
  <c r="D2888" i="1" s="1"/>
  <c r="D2887" i="1" s="1"/>
  <c r="D2886" i="1" s="1"/>
  <c r="D2885" i="1" s="1"/>
  <c r="D2884" i="1" s="1"/>
  <c r="D2883" i="1" s="1"/>
  <c r="D2882" i="1" s="1"/>
  <c r="D2881" i="1" s="1"/>
  <c r="D2880" i="1" s="1"/>
  <c r="D2879" i="1" s="1"/>
  <c r="D2878" i="1" s="1"/>
  <c r="D2877" i="1" s="1"/>
  <c r="D2876" i="1" s="1"/>
  <c r="D2875" i="1" s="1"/>
  <c r="D2874" i="1" s="1"/>
  <c r="D2873" i="1" s="1"/>
  <c r="D2872" i="1" s="1"/>
  <c r="D2871" i="1" s="1"/>
  <c r="D2870" i="1" s="1"/>
  <c r="D2869" i="1" s="1"/>
  <c r="D2868" i="1" s="1"/>
  <c r="D2867" i="1" s="1"/>
  <c r="D2866" i="1" s="1"/>
  <c r="D2865" i="1" s="1"/>
  <c r="D2864" i="1" s="1"/>
  <c r="D2863" i="1" s="1"/>
  <c r="D2862" i="1" s="1"/>
  <c r="D2861" i="1" s="1"/>
  <c r="D2860" i="1" s="1"/>
  <c r="D2859" i="1" s="1"/>
  <c r="D2858" i="1" s="1"/>
  <c r="D2857" i="1" s="1"/>
  <c r="D2856" i="1" s="1"/>
  <c r="D2855" i="1" s="1"/>
  <c r="D2854" i="1" s="1"/>
  <c r="D2853" i="1" s="1"/>
  <c r="D2852" i="1" s="1"/>
  <c r="D2851" i="1" s="1"/>
  <c r="D2850" i="1" s="1"/>
  <c r="D2849" i="1" s="1"/>
  <c r="D2848" i="1" s="1"/>
  <c r="D2847" i="1" s="1"/>
  <c r="D2846" i="1" s="1"/>
  <c r="D2845" i="1" s="1"/>
  <c r="D2844" i="1" s="1"/>
  <c r="D2843" i="1" s="1"/>
  <c r="D2842" i="1" s="1"/>
  <c r="D2841" i="1" s="1"/>
  <c r="D2840" i="1" s="1"/>
  <c r="D2839" i="1" s="1"/>
  <c r="D2838" i="1" s="1"/>
  <c r="D2837" i="1" s="1"/>
  <c r="D2836" i="1" s="1"/>
  <c r="D2835" i="1" s="1"/>
  <c r="D2834" i="1" s="1"/>
  <c r="D2833" i="1" s="1"/>
  <c r="D2832" i="1" s="1"/>
  <c r="D2831" i="1" s="1"/>
  <c r="D2830" i="1" s="1"/>
  <c r="D2829" i="1" s="1"/>
  <c r="D2828" i="1" s="1"/>
  <c r="D2827" i="1" s="1"/>
  <c r="D2826" i="1" s="1"/>
  <c r="D2825" i="1" s="1"/>
  <c r="D2824" i="1" s="1"/>
  <c r="D2823" i="1" s="1"/>
  <c r="D2822" i="1" s="1"/>
  <c r="D2821" i="1" s="1"/>
  <c r="D2820" i="1" s="1"/>
  <c r="D2819" i="1" s="1"/>
  <c r="D2818" i="1" s="1"/>
  <c r="D2817" i="1" s="1"/>
  <c r="D2816" i="1" s="1"/>
  <c r="D2815" i="1" s="1"/>
  <c r="D2814" i="1" s="1"/>
  <c r="D2813" i="1" s="1"/>
  <c r="D2812" i="1" s="1"/>
  <c r="D2811" i="1" s="1"/>
  <c r="D2810" i="1" s="1"/>
  <c r="D2809" i="1" s="1"/>
  <c r="D2808" i="1" s="1"/>
  <c r="D2807" i="1" s="1"/>
  <c r="D2806" i="1" s="1"/>
  <c r="D2805" i="1" s="1"/>
  <c r="D2804" i="1" s="1"/>
  <c r="D2803" i="1" s="1"/>
  <c r="D2802" i="1" s="1"/>
  <c r="D2801" i="1" s="1"/>
  <c r="D2800" i="1" s="1"/>
  <c r="D2799" i="1" s="1"/>
  <c r="D2798" i="1" s="1"/>
  <c r="D2797" i="1" s="1"/>
  <c r="D2796" i="1" s="1"/>
  <c r="D2795" i="1" s="1"/>
  <c r="D2794" i="1" s="1"/>
  <c r="D2793" i="1" s="1"/>
  <c r="D2792" i="1" s="1"/>
  <c r="D2791" i="1" s="1"/>
  <c r="D2790" i="1" s="1"/>
  <c r="D2789" i="1" s="1"/>
  <c r="D2788" i="1" s="1"/>
  <c r="D2787" i="1" s="1"/>
  <c r="D2786" i="1" s="1"/>
  <c r="D2785" i="1" s="1"/>
  <c r="D2784" i="1" s="1"/>
  <c r="D2783" i="1" s="1"/>
  <c r="D2782" i="1" s="1"/>
  <c r="D2781" i="1" s="1"/>
  <c r="D2780" i="1" s="1"/>
  <c r="D2779" i="1" s="1"/>
  <c r="D2778" i="1" s="1"/>
  <c r="D2777" i="1" s="1"/>
  <c r="D2776" i="1" s="1"/>
  <c r="D2775" i="1" s="1"/>
  <c r="D2774" i="1" s="1"/>
  <c r="D2773" i="1" s="1"/>
  <c r="D2772" i="1" s="1"/>
  <c r="D2771" i="1" s="1"/>
  <c r="D2770" i="1" s="1"/>
  <c r="D2769" i="1" s="1"/>
  <c r="D2768" i="1" s="1"/>
  <c r="D3017" i="1"/>
  <c r="D3018" i="1"/>
  <c r="D3269" i="1"/>
  <c r="D3268" i="1" s="1"/>
  <c r="D3267" i="1" s="1"/>
  <c r="D3266" i="1" s="1"/>
  <c r="D3265" i="1" s="1"/>
  <c r="D3264" i="1" s="1"/>
  <c r="D3263" i="1" s="1"/>
  <c r="D3262" i="1" s="1"/>
  <c r="D3261" i="1" s="1"/>
  <c r="D3260" i="1" s="1"/>
  <c r="D3259" i="1" s="1"/>
  <c r="D3258" i="1" s="1"/>
  <c r="D3257" i="1" s="1"/>
  <c r="D3256" i="1" s="1"/>
  <c r="D3255" i="1" s="1"/>
  <c r="D3254" i="1" s="1"/>
  <c r="D3253" i="1" s="1"/>
  <c r="D3252" i="1" s="1"/>
  <c r="D3251" i="1" s="1"/>
  <c r="D3250" i="1" s="1"/>
  <c r="D3249" i="1" s="1"/>
  <c r="D3248" i="1" s="1"/>
  <c r="D3247" i="1" s="1"/>
  <c r="D3246" i="1" s="1"/>
  <c r="D3245" i="1" s="1"/>
  <c r="D3244" i="1" s="1"/>
  <c r="D3243" i="1" s="1"/>
  <c r="D3242" i="1" s="1"/>
  <c r="D3241" i="1" s="1"/>
  <c r="D3240" i="1" s="1"/>
  <c r="D3239" i="1" s="1"/>
  <c r="D3238" i="1" s="1"/>
  <c r="D3237" i="1" s="1"/>
  <c r="D3236" i="1" s="1"/>
  <c r="D3235" i="1" s="1"/>
  <c r="D3234" i="1" s="1"/>
  <c r="D3233" i="1" s="1"/>
  <c r="D3232" i="1" s="1"/>
  <c r="D3231" i="1" s="1"/>
  <c r="D3230" i="1" s="1"/>
  <c r="D3229" i="1" s="1"/>
  <c r="D3228" i="1" s="1"/>
  <c r="D3227" i="1" s="1"/>
  <c r="D3226" i="1" s="1"/>
  <c r="D3225" i="1" s="1"/>
  <c r="D3224" i="1" s="1"/>
  <c r="D3223" i="1" s="1"/>
  <c r="D3222" i="1" s="1"/>
  <c r="D3221" i="1" s="1"/>
  <c r="D3220" i="1" s="1"/>
  <c r="D3219" i="1" s="1"/>
  <c r="D3218" i="1" s="1"/>
  <c r="D3217" i="1" s="1"/>
  <c r="D3216" i="1" s="1"/>
  <c r="D3215" i="1" s="1"/>
  <c r="D3214" i="1" s="1"/>
  <c r="D3213" i="1" s="1"/>
  <c r="D3212" i="1" s="1"/>
  <c r="D3211" i="1" s="1"/>
  <c r="D3210" i="1" s="1"/>
  <c r="D3209" i="1" s="1"/>
  <c r="D3208" i="1" s="1"/>
  <c r="D3207" i="1" s="1"/>
  <c r="D3206" i="1" s="1"/>
  <c r="D3205" i="1" s="1"/>
  <c r="D3204" i="1" s="1"/>
  <c r="D3203" i="1" s="1"/>
  <c r="D3202" i="1" s="1"/>
  <c r="D3201" i="1" s="1"/>
  <c r="D3200" i="1" s="1"/>
  <c r="D3199" i="1" s="1"/>
  <c r="D3198" i="1" s="1"/>
  <c r="D3197" i="1" s="1"/>
  <c r="D3196" i="1" s="1"/>
  <c r="D3195" i="1" s="1"/>
  <c r="D3194" i="1" s="1"/>
  <c r="D3193" i="1" s="1"/>
  <c r="D3192" i="1" s="1"/>
  <c r="D3191" i="1" s="1"/>
  <c r="D3190" i="1" s="1"/>
  <c r="D3189" i="1" s="1"/>
  <c r="D3188" i="1" s="1"/>
  <c r="D3187" i="1" s="1"/>
  <c r="D3186" i="1" s="1"/>
  <c r="D3185" i="1" s="1"/>
  <c r="D3184" i="1" s="1"/>
  <c r="D3183" i="1" s="1"/>
  <c r="D3182" i="1" s="1"/>
  <c r="D3181" i="1" s="1"/>
  <c r="D3180" i="1" s="1"/>
  <c r="D3179" i="1" s="1"/>
  <c r="D3178" i="1" s="1"/>
  <c r="D3177" i="1" s="1"/>
  <c r="D3176" i="1" s="1"/>
  <c r="D3175" i="1" s="1"/>
  <c r="D3174" i="1" s="1"/>
  <c r="D3173" i="1" s="1"/>
  <c r="D3172" i="1" s="1"/>
  <c r="D3171" i="1" s="1"/>
  <c r="D3170" i="1" s="1"/>
  <c r="D3169" i="1" s="1"/>
  <c r="D3168" i="1" s="1"/>
  <c r="D3167" i="1" s="1"/>
  <c r="D3166" i="1" s="1"/>
  <c r="D3165" i="1" s="1"/>
  <c r="D3164" i="1" s="1"/>
  <c r="D3163" i="1" s="1"/>
  <c r="D3162" i="1" s="1"/>
  <c r="D3161" i="1" s="1"/>
  <c r="D3160" i="1" s="1"/>
  <c r="D3159" i="1" s="1"/>
  <c r="D3158" i="1" s="1"/>
  <c r="D3157" i="1" s="1"/>
  <c r="D3156" i="1" s="1"/>
  <c r="D3155" i="1" s="1"/>
  <c r="D3154" i="1" s="1"/>
  <c r="D3153" i="1" s="1"/>
  <c r="D3152" i="1" s="1"/>
  <c r="D3151" i="1" s="1"/>
  <c r="D3150" i="1" s="1"/>
  <c r="D3149" i="1" s="1"/>
  <c r="D3148" i="1" s="1"/>
  <c r="D3147" i="1" s="1"/>
  <c r="D3146" i="1" s="1"/>
  <c r="D3145" i="1" s="1"/>
  <c r="D3144" i="1" s="1"/>
  <c r="D3143" i="1" s="1"/>
  <c r="D3142" i="1" s="1"/>
  <c r="D3141" i="1" s="1"/>
  <c r="D3140" i="1" s="1"/>
  <c r="D3139" i="1" s="1"/>
  <c r="D3138" i="1" s="1"/>
  <c r="D3137" i="1" s="1"/>
  <c r="D3136" i="1" s="1"/>
  <c r="D3135" i="1" s="1"/>
  <c r="D3134" i="1" s="1"/>
  <c r="D3133" i="1" s="1"/>
  <c r="D3132" i="1" s="1"/>
  <c r="D3131" i="1" s="1"/>
  <c r="D3130" i="1" s="1"/>
  <c r="D3129" i="1" s="1"/>
  <c r="D3128" i="1" s="1"/>
  <c r="D3127" i="1" s="1"/>
  <c r="D3126" i="1" s="1"/>
  <c r="D3125" i="1" s="1"/>
  <c r="D3124" i="1" s="1"/>
  <c r="D3123" i="1" s="1"/>
  <c r="D3122" i="1" s="1"/>
  <c r="D3121" i="1" s="1"/>
  <c r="D3120" i="1" s="1"/>
  <c r="D3119" i="1" s="1"/>
  <c r="D3118" i="1" s="1"/>
  <c r="D3117" i="1" s="1"/>
  <c r="D3116" i="1" s="1"/>
  <c r="D3115" i="1" s="1"/>
  <c r="D3114" i="1" s="1"/>
  <c r="D3113" i="1" s="1"/>
  <c r="D3112" i="1" s="1"/>
  <c r="D3111" i="1" s="1"/>
  <c r="D3110" i="1" s="1"/>
  <c r="D3109" i="1" s="1"/>
  <c r="D3108" i="1" s="1"/>
  <c r="D3107" i="1" s="1"/>
  <c r="D3106" i="1" s="1"/>
  <c r="D3105" i="1" s="1"/>
  <c r="D3104" i="1" s="1"/>
  <c r="D3103" i="1" s="1"/>
  <c r="D3102" i="1" s="1"/>
  <c r="D3101" i="1" s="1"/>
  <c r="D3100" i="1" s="1"/>
  <c r="D3099" i="1" s="1"/>
  <c r="D3098" i="1" s="1"/>
  <c r="D3097" i="1" s="1"/>
  <c r="D3096" i="1" s="1"/>
  <c r="D3095" i="1" s="1"/>
  <c r="D3094" i="1" s="1"/>
  <c r="D3093" i="1" s="1"/>
  <c r="D3092" i="1" s="1"/>
  <c r="D3091" i="1" s="1"/>
  <c r="D3090" i="1" s="1"/>
  <c r="D3089" i="1" s="1"/>
  <c r="D3088" i="1" s="1"/>
  <c r="D3087" i="1" s="1"/>
  <c r="D3086" i="1" s="1"/>
  <c r="D3085" i="1" s="1"/>
  <c r="D3084" i="1" s="1"/>
  <c r="D3083" i="1" s="1"/>
  <c r="D3082" i="1" s="1"/>
  <c r="D3081" i="1" s="1"/>
  <c r="D3080" i="1" s="1"/>
  <c r="D3079" i="1" s="1"/>
  <c r="D3078" i="1" s="1"/>
  <c r="D3077" i="1" s="1"/>
  <c r="D3076" i="1" s="1"/>
  <c r="D3075" i="1" s="1"/>
  <c r="D3074" i="1" s="1"/>
  <c r="D3073" i="1" s="1"/>
  <c r="D3072" i="1" s="1"/>
  <c r="D3071" i="1" s="1"/>
  <c r="D3070" i="1" s="1"/>
  <c r="D3069" i="1" s="1"/>
  <c r="D3068" i="1" s="1"/>
  <c r="D3067" i="1" s="1"/>
  <c r="D3066" i="1" s="1"/>
  <c r="D3065" i="1" s="1"/>
  <c r="D3064" i="1" s="1"/>
  <c r="D3063" i="1" s="1"/>
  <c r="D3062" i="1" s="1"/>
  <c r="D3061" i="1" s="1"/>
  <c r="D3060" i="1" s="1"/>
  <c r="D3059" i="1" s="1"/>
  <c r="D3058" i="1" s="1"/>
  <c r="D3057" i="1" s="1"/>
  <c r="D3056" i="1" s="1"/>
  <c r="D3055" i="1" s="1"/>
  <c r="D3054" i="1" s="1"/>
  <c r="D3053" i="1" s="1"/>
  <c r="D3052" i="1" s="1"/>
  <c r="D3051" i="1" s="1"/>
  <c r="D3050" i="1" s="1"/>
  <c r="D3049" i="1" s="1"/>
  <c r="D3048" i="1" s="1"/>
  <c r="D3047" i="1" s="1"/>
  <c r="D3046" i="1" s="1"/>
  <c r="D3045" i="1" s="1"/>
  <c r="D3044" i="1" s="1"/>
  <c r="D3043" i="1" s="1"/>
  <c r="D3042" i="1" s="1"/>
  <c r="D3041" i="1" s="1"/>
  <c r="D3040" i="1" s="1"/>
  <c r="D3039" i="1" s="1"/>
  <c r="D3038" i="1" s="1"/>
  <c r="D3037" i="1" s="1"/>
  <c r="D3036" i="1" s="1"/>
  <c r="D3035" i="1" s="1"/>
  <c r="D3034" i="1" s="1"/>
  <c r="D3033" i="1" s="1"/>
  <c r="D3032" i="1" s="1"/>
  <c r="D3031" i="1" s="1"/>
  <c r="D3030" i="1" s="1"/>
  <c r="D3029" i="1" s="1"/>
  <c r="D3028" i="1" s="1"/>
  <c r="D3027" i="1" s="1"/>
  <c r="D3026" i="1" s="1"/>
  <c r="D3025" i="1" s="1"/>
  <c r="D3024" i="1" s="1"/>
  <c r="D3023" i="1" s="1"/>
  <c r="D3022" i="1" s="1"/>
  <c r="D3021" i="1" s="1"/>
  <c r="D3020" i="1" s="1"/>
  <c r="D3270" i="1"/>
  <c r="D3519" i="1"/>
  <c r="D3518" i="1" s="1"/>
  <c r="D3517" i="1" s="1"/>
  <c r="D3516" i="1" s="1"/>
  <c r="D3515" i="1" s="1"/>
  <c r="D3514" i="1" s="1"/>
  <c r="D3513" i="1" s="1"/>
  <c r="D3512" i="1" s="1"/>
  <c r="D3511" i="1" s="1"/>
  <c r="D3510" i="1" s="1"/>
  <c r="D3509" i="1" s="1"/>
  <c r="D3508" i="1" s="1"/>
  <c r="D3507" i="1" s="1"/>
  <c r="D3506" i="1" s="1"/>
  <c r="D3505" i="1" s="1"/>
  <c r="D3504" i="1" s="1"/>
  <c r="D3503" i="1" s="1"/>
  <c r="D3502" i="1" s="1"/>
  <c r="D3501" i="1" s="1"/>
  <c r="D3500" i="1" s="1"/>
  <c r="D3499" i="1" s="1"/>
  <c r="D3498" i="1" s="1"/>
  <c r="D3497" i="1" s="1"/>
  <c r="D3496" i="1" s="1"/>
  <c r="D3495" i="1" s="1"/>
  <c r="D3494" i="1" s="1"/>
  <c r="D3493" i="1" s="1"/>
  <c r="D3492" i="1" s="1"/>
  <c r="D3491" i="1" s="1"/>
  <c r="D3490" i="1" s="1"/>
  <c r="D3489" i="1" s="1"/>
  <c r="D3488" i="1" s="1"/>
  <c r="D3487" i="1" s="1"/>
  <c r="D3486" i="1" s="1"/>
  <c r="D3485" i="1" s="1"/>
  <c r="D3484" i="1" s="1"/>
  <c r="D3483" i="1" s="1"/>
  <c r="D3482" i="1" s="1"/>
  <c r="D3481" i="1" s="1"/>
  <c r="D3480" i="1" s="1"/>
  <c r="D3479" i="1" s="1"/>
  <c r="D3478" i="1" s="1"/>
  <c r="D3477" i="1" s="1"/>
  <c r="D3476" i="1" s="1"/>
  <c r="D3475" i="1" s="1"/>
  <c r="D3474" i="1" s="1"/>
  <c r="D3473" i="1" s="1"/>
  <c r="D3472" i="1" s="1"/>
  <c r="D3471" i="1" s="1"/>
  <c r="D3470" i="1" s="1"/>
  <c r="D3469" i="1" s="1"/>
  <c r="D3468" i="1" s="1"/>
  <c r="D3467" i="1" s="1"/>
  <c r="D3466" i="1" s="1"/>
  <c r="D3465" i="1" s="1"/>
  <c r="D3464" i="1" s="1"/>
  <c r="D3463" i="1" s="1"/>
  <c r="D3462" i="1" s="1"/>
  <c r="D3461" i="1" s="1"/>
  <c r="D3460" i="1" s="1"/>
  <c r="D3459" i="1" s="1"/>
  <c r="D3458" i="1" s="1"/>
  <c r="D3457" i="1" s="1"/>
  <c r="D3456" i="1" s="1"/>
  <c r="D3455" i="1" s="1"/>
  <c r="D3454" i="1" s="1"/>
  <c r="D3453" i="1" s="1"/>
  <c r="D3452" i="1" s="1"/>
  <c r="D3451" i="1" s="1"/>
  <c r="D3450" i="1" s="1"/>
  <c r="D3449" i="1" s="1"/>
  <c r="D3448" i="1" s="1"/>
  <c r="D3447" i="1" s="1"/>
  <c r="D3446" i="1" s="1"/>
  <c r="D3445" i="1" s="1"/>
  <c r="D3444" i="1" s="1"/>
  <c r="D3443" i="1" s="1"/>
  <c r="D3442" i="1" s="1"/>
  <c r="D3441" i="1" s="1"/>
  <c r="D3440" i="1" s="1"/>
  <c r="D3439" i="1" s="1"/>
  <c r="D3438" i="1" s="1"/>
  <c r="D3437" i="1" s="1"/>
  <c r="D3436" i="1" s="1"/>
  <c r="D3435" i="1" s="1"/>
  <c r="D3434" i="1" s="1"/>
  <c r="D3433" i="1" s="1"/>
  <c r="D3432" i="1" s="1"/>
  <c r="D3431" i="1" s="1"/>
  <c r="D3430" i="1" s="1"/>
  <c r="D3429" i="1" s="1"/>
  <c r="D3428" i="1" s="1"/>
  <c r="D3427" i="1" s="1"/>
  <c r="D3426" i="1" s="1"/>
  <c r="D3425" i="1" s="1"/>
  <c r="D3424" i="1" s="1"/>
  <c r="D3423" i="1" s="1"/>
  <c r="D3422" i="1" s="1"/>
  <c r="D3421" i="1" s="1"/>
  <c r="D3420" i="1" s="1"/>
  <c r="D3419" i="1" s="1"/>
  <c r="D3418" i="1" s="1"/>
  <c r="D3417" i="1" s="1"/>
  <c r="D3416" i="1" s="1"/>
  <c r="D3415" i="1" s="1"/>
  <c r="D3414" i="1" s="1"/>
  <c r="D3413" i="1" s="1"/>
  <c r="D3412" i="1" s="1"/>
  <c r="D3411" i="1" s="1"/>
  <c r="D3410" i="1" s="1"/>
  <c r="D3409" i="1" s="1"/>
  <c r="D3408" i="1" s="1"/>
  <c r="D3407" i="1" s="1"/>
  <c r="D3406" i="1" s="1"/>
  <c r="D3405" i="1" s="1"/>
  <c r="D3404" i="1" s="1"/>
  <c r="D3403" i="1" s="1"/>
  <c r="D3402" i="1" s="1"/>
  <c r="D3401" i="1" s="1"/>
  <c r="D3400" i="1" s="1"/>
  <c r="D3399" i="1" s="1"/>
  <c r="D3398" i="1" s="1"/>
  <c r="D3397" i="1" s="1"/>
  <c r="D3396" i="1" s="1"/>
  <c r="D3395" i="1" s="1"/>
  <c r="D3394" i="1" s="1"/>
  <c r="D3393" i="1" s="1"/>
  <c r="D3392" i="1" s="1"/>
  <c r="D3391" i="1" s="1"/>
  <c r="D3390" i="1" s="1"/>
  <c r="D3389" i="1" s="1"/>
  <c r="D3388" i="1" s="1"/>
  <c r="D3387" i="1" s="1"/>
  <c r="D3386" i="1" s="1"/>
  <c r="D3385" i="1" s="1"/>
  <c r="D3384" i="1" s="1"/>
  <c r="D3383" i="1" s="1"/>
  <c r="D3382" i="1" s="1"/>
  <c r="D3381" i="1" s="1"/>
  <c r="D3380" i="1" s="1"/>
  <c r="D3379" i="1" s="1"/>
  <c r="D3378" i="1" s="1"/>
  <c r="D3377" i="1" s="1"/>
  <c r="D3376" i="1" s="1"/>
  <c r="D3375" i="1" s="1"/>
  <c r="D3374" i="1" s="1"/>
  <c r="D3373" i="1" s="1"/>
  <c r="D3372" i="1" s="1"/>
  <c r="D3371" i="1" s="1"/>
  <c r="D3370" i="1" s="1"/>
  <c r="D3369" i="1" s="1"/>
  <c r="D3368" i="1" s="1"/>
  <c r="D3367" i="1" s="1"/>
  <c r="D3366" i="1" s="1"/>
  <c r="D3365" i="1" s="1"/>
  <c r="D3364" i="1" s="1"/>
  <c r="D3363" i="1" s="1"/>
  <c r="D3362" i="1" s="1"/>
  <c r="D3361" i="1" s="1"/>
  <c r="D3360" i="1" s="1"/>
  <c r="D3359" i="1" s="1"/>
  <c r="D3358" i="1" s="1"/>
  <c r="D3357" i="1" s="1"/>
  <c r="D3356" i="1" s="1"/>
  <c r="D3355" i="1" s="1"/>
  <c r="D3354" i="1" s="1"/>
  <c r="D3353" i="1" s="1"/>
  <c r="D3352" i="1" s="1"/>
  <c r="D3351" i="1" s="1"/>
  <c r="D3350" i="1" s="1"/>
  <c r="D3349" i="1" s="1"/>
  <c r="D3348" i="1" s="1"/>
  <c r="D3347" i="1" s="1"/>
  <c r="D3346" i="1" s="1"/>
  <c r="D3345" i="1" s="1"/>
  <c r="D3344" i="1" s="1"/>
  <c r="D3343" i="1" s="1"/>
  <c r="D3342" i="1" s="1"/>
  <c r="D3341" i="1" s="1"/>
  <c r="D3340" i="1" s="1"/>
  <c r="D3339" i="1" s="1"/>
  <c r="D3338" i="1" s="1"/>
  <c r="D3337" i="1" s="1"/>
  <c r="D3336" i="1" s="1"/>
  <c r="D3335" i="1" s="1"/>
  <c r="D3334" i="1" s="1"/>
  <c r="D3333" i="1" s="1"/>
  <c r="D3332" i="1" s="1"/>
  <c r="D3331" i="1" s="1"/>
  <c r="D3330" i="1" s="1"/>
  <c r="D3329" i="1" s="1"/>
  <c r="D3328" i="1" s="1"/>
  <c r="D3327" i="1" s="1"/>
  <c r="D3326" i="1" s="1"/>
  <c r="D3325" i="1" s="1"/>
  <c r="D3324" i="1" s="1"/>
  <c r="D3323" i="1" s="1"/>
  <c r="D3322" i="1" s="1"/>
  <c r="D3321" i="1" s="1"/>
  <c r="D3320" i="1" s="1"/>
  <c r="D3319" i="1" s="1"/>
  <c r="D3318" i="1" s="1"/>
  <c r="D3317" i="1" s="1"/>
  <c r="D3316" i="1" s="1"/>
  <c r="D3315" i="1" s="1"/>
  <c r="D3314" i="1" s="1"/>
  <c r="D3313" i="1" s="1"/>
  <c r="D3312" i="1" s="1"/>
  <c r="D3311" i="1" s="1"/>
  <c r="D3310" i="1" s="1"/>
  <c r="D3309" i="1" s="1"/>
  <c r="D3308" i="1" s="1"/>
  <c r="D3307" i="1" s="1"/>
  <c r="D3306" i="1" s="1"/>
  <c r="D3305" i="1" s="1"/>
  <c r="D3304" i="1" s="1"/>
  <c r="D3303" i="1" s="1"/>
  <c r="D3302" i="1" s="1"/>
  <c r="D3301" i="1" s="1"/>
  <c r="D3300" i="1" s="1"/>
  <c r="D3299" i="1" s="1"/>
  <c r="D3298" i="1" s="1"/>
  <c r="D3297" i="1" s="1"/>
  <c r="D3296" i="1" s="1"/>
  <c r="D3295" i="1" s="1"/>
  <c r="D3294" i="1" s="1"/>
  <c r="D3293" i="1" s="1"/>
  <c r="D3292" i="1" s="1"/>
  <c r="D3291" i="1" s="1"/>
  <c r="D3290" i="1" s="1"/>
  <c r="D3289" i="1" s="1"/>
  <c r="D3288" i="1" s="1"/>
  <c r="D3287" i="1" s="1"/>
  <c r="D3286" i="1" s="1"/>
  <c r="D3285" i="1" s="1"/>
  <c r="D3284" i="1" s="1"/>
  <c r="D3283" i="1" s="1"/>
  <c r="D3282" i="1" s="1"/>
  <c r="D3281" i="1" s="1"/>
  <c r="D3280" i="1" s="1"/>
  <c r="D3279" i="1" s="1"/>
  <c r="D3278" i="1" s="1"/>
  <c r="D3277" i="1" s="1"/>
  <c r="D3276" i="1" s="1"/>
  <c r="D3275" i="1" s="1"/>
  <c r="D3274" i="1" s="1"/>
  <c r="D3273" i="1" s="1"/>
  <c r="D3272" i="1" s="1"/>
  <c r="D3520" i="1"/>
  <c r="D3770" i="1"/>
  <c r="D3769" i="1" s="1"/>
  <c r="D3768" i="1" s="1"/>
  <c r="D3767" i="1" s="1"/>
  <c r="D3766" i="1" s="1"/>
  <c r="D3765" i="1" s="1"/>
  <c r="D3764" i="1" s="1"/>
  <c r="D3763" i="1" s="1"/>
  <c r="D3762" i="1" s="1"/>
  <c r="D3761" i="1" s="1"/>
  <c r="D3760" i="1" s="1"/>
  <c r="D3759" i="1" s="1"/>
  <c r="D3758" i="1" s="1"/>
  <c r="D3757" i="1" s="1"/>
  <c r="D3756" i="1" s="1"/>
  <c r="D3755" i="1" s="1"/>
  <c r="D3754" i="1" s="1"/>
  <c r="D3753" i="1" s="1"/>
  <c r="D3752" i="1" s="1"/>
  <c r="D3751" i="1" s="1"/>
  <c r="D3750" i="1" s="1"/>
  <c r="D3749" i="1" s="1"/>
  <c r="D3748" i="1" s="1"/>
  <c r="D3747" i="1" s="1"/>
  <c r="D3746" i="1" s="1"/>
  <c r="D3745" i="1" s="1"/>
  <c r="D3744" i="1" s="1"/>
  <c r="D3743" i="1" s="1"/>
  <c r="D3742" i="1" s="1"/>
  <c r="D3741" i="1" s="1"/>
  <c r="D3740" i="1" s="1"/>
  <c r="D3739" i="1" s="1"/>
  <c r="D3738" i="1" s="1"/>
  <c r="D3737" i="1" s="1"/>
  <c r="D3736" i="1" s="1"/>
  <c r="D3735" i="1" s="1"/>
  <c r="D3734" i="1" s="1"/>
  <c r="D3733" i="1" s="1"/>
  <c r="D3732" i="1" s="1"/>
  <c r="D3731" i="1" s="1"/>
  <c r="D3730" i="1" s="1"/>
  <c r="D3729" i="1" s="1"/>
  <c r="D3728" i="1" s="1"/>
  <c r="D3727" i="1" s="1"/>
  <c r="D3726" i="1" s="1"/>
  <c r="D3725" i="1" s="1"/>
  <c r="D3724" i="1" s="1"/>
  <c r="D3723" i="1" s="1"/>
  <c r="D3722" i="1" s="1"/>
  <c r="D3721" i="1" s="1"/>
  <c r="D3720" i="1" s="1"/>
  <c r="D3719" i="1" s="1"/>
  <c r="D3718" i="1" s="1"/>
  <c r="D3717" i="1" s="1"/>
  <c r="D3716" i="1" s="1"/>
  <c r="D3715" i="1" s="1"/>
  <c r="D3714" i="1" s="1"/>
  <c r="D3713" i="1" s="1"/>
  <c r="D3712" i="1" s="1"/>
  <c r="D3711" i="1" s="1"/>
  <c r="D3710" i="1" s="1"/>
  <c r="D3709" i="1" s="1"/>
  <c r="D3708" i="1" s="1"/>
  <c r="D3707" i="1" s="1"/>
  <c r="D3706" i="1" s="1"/>
  <c r="D3705" i="1" s="1"/>
  <c r="D3704" i="1" s="1"/>
  <c r="D3703" i="1" s="1"/>
  <c r="D3702" i="1" s="1"/>
  <c r="D3701" i="1" s="1"/>
  <c r="D3700" i="1" s="1"/>
  <c r="D3699" i="1" s="1"/>
  <c r="D3698" i="1" s="1"/>
  <c r="D3697" i="1" s="1"/>
  <c r="D3696" i="1" s="1"/>
  <c r="D3695" i="1" s="1"/>
  <c r="D3694" i="1" s="1"/>
  <c r="D3693" i="1" s="1"/>
  <c r="D3692" i="1" s="1"/>
  <c r="D3691" i="1" s="1"/>
  <c r="D3690" i="1" s="1"/>
  <c r="D3689" i="1" s="1"/>
  <c r="D3688" i="1" s="1"/>
  <c r="D3687" i="1" s="1"/>
  <c r="D3686" i="1" s="1"/>
  <c r="D3685" i="1" s="1"/>
  <c r="D3684" i="1" s="1"/>
  <c r="D3683" i="1" s="1"/>
  <c r="D3682" i="1" s="1"/>
  <c r="D3681" i="1" s="1"/>
  <c r="D3680" i="1" s="1"/>
  <c r="D3679" i="1" s="1"/>
  <c r="D3678" i="1" s="1"/>
  <c r="D3677" i="1" s="1"/>
  <c r="D3676" i="1" s="1"/>
  <c r="D3675" i="1" s="1"/>
  <c r="D3674" i="1" s="1"/>
  <c r="D3673" i="1" s="1"/>
  <c r="D3672" i="1" s="1"/>
  <c r="D3671" i="1" s="1"/>
  <c r="D3670" i="1" s="1"/>
  <c r="D3669" i="1" s="1"/>
  <c r="D3668" i="1" s="1"/>
  <c r="D3667" i="1" s="1"/>
  <c r="D3666" i="1" s="1"/>
  <c r="D3665" i="1" s="1"/>
  <c r="D3664" i="1" s="1"/>
  <c r="D3663" i="1" s="1"/>
  <c r="D3662" i="1" s="1"/>
  <c r="D3661" i="1" s="1"/>
  <c r="D3660" i="1" s="1"/>
  <c r="D3659" i="1" s="1"/>
  <c r="D3658" i="1" s="1"/>
  <c r="D3657" i="1" s="1"/>
  <c r="D3656" i="1" s="1"/>
  <c r="D3655" i="1" s="1"/>
  <c r="D3654" i="1" s="1"/>
  <c r="D3653" i="1" s="1"/>
  <c r="D3652" i="1" s="1"/>
  <c r="D3651" i="1" s="1"/>
  <c r="D3650" i="1" s="1"/>
  <c r="D3649" i="1" s="1"/>
  <c r="D3648" i="1" s="1"/>
  <c r="D3647" i="1" s="1"/>
  <c r="D3646" i="1" s="1"/>
  <c r="D3645" i="1" s="1"/>
  <c r="D3644" i="1" s="1"/>
  <c r="D3643" i="1" s="1"/>
  <c r="D3642" i="1" s="1"/>
  <c r="D3641" i="1" s="1"/>
  <c r="D3640" i="1" s="1"/>
  <c r="D3639" i="1" s="1"/>
  <c r="D3638" i="1" s="1"/>
  <c r="D3637" i="1" s="1"/>
  <c r="D3636" i="1" s="1"/>
  <c r="D3635" i="1" s="1"/>
  <c r="D3634" i="1" s="1"/>
  <c r="D3633" i="1" s="1"/>
  <c r="D3632" i="1" s="1"/>
  <c r="D3631" i="1" s="1"/>
  <c r="D3630" i="1" s="1"/>
  <c r="D3629" i="1" s="1"/>
  <c r="D3628" i="1" s="1"/>
  <c r="D3627" i="1" s="1"/>
  <c r="D3626" i="1" s="1"/>
  <c r="D3625" i="1" s="1"/>
  <c r="D3624" i="1" s="1"/>
  <c r="D3623" i="1" s="1"/>
  <c r="D3622" i="1" s="1"/>
  <c r="D3621" i="1" s="1"/>
  <c r="D3620" i="1" s="1"/>
  <c r="D3619" i="1" s="1"/>
  <c r="D3618" i="1" s="1"/>
  <c r="D3617" i="1" s="1"/>
  <c r="D3616" i="1" s="1"/>
  <c r="D3615" i="1" s="1"/>
  <c r="D3614" i="1" s="1"/>
  <c r="D3613" i="1" s="1"/>
  <c r="D3612" i="1" s="1"/>
  <c r="D3611" i="1" s="1"/>
  <c r="D3610" i="1" s="1"/>
  <c r="D3609" i="1" s="1"/>
  <c r="D3608" i="1" s="1"/>
  <c r="D3607" i="1" s="1"/>
  <c r="D3606" i="1" s="1"/>
  <c r="D3605" i="1" s="1"/>
  <c r="D3604" i="1" s="1"/>
  <c r="D3603" i="1" s="1"/>
  <c r="D3602" i="1" s="1"/>
  <c r="D3601" i="1" s="1"/>
  <c r="D3600" i="1" s="1"/>
  <c r="D3599" i="1" s="1"/>
  <c r="D3598" i="1" s="1"/>
  <c r="D3597" i="1" s="1"/>
  <c r="D3596" i="1" s="1"/>
  <c r="D3595" i="1" s="1"/>
  <c r="D3594" i="1" s="1"/>
  <c r="D3593" i="1" s="1"/>
  <c r="D3592" i="1" s="1"/>
  <c r="D3591" i="1" s="1"/>
  <c r="D3590" i="1" s="1"/>
  <c r="D3589" i="1" s="1"/>
  <c r="D3588" i="1" s="1"/>
  <c r="D3587" i="1" s="1"/>
  <c r="D3586" i="1" s="1"/>
  <c r="D3585" i="1" s="1"/>
  <c r="D3584" i="1" s="1"/>
  <c r="D3583" i="1" s="1"/>
  <c r="D3582" i="1" s="1"/>
  <c r="D3581" i="1" s="1"/>
  <c r="D3580" i="1" s="1"/>
  <c r="D3579" i="1" s="1"/>
  <c r="D3578" i="1" s="1"/>
  <c r="D3577" i="1" s="1"/>
  <c r="D3576" i="1" s="1"/>
  <c r="D3575" i="1" s="1"/>
  <c r="D3574" i="1" s="1"/>
  <c r="D3573" i="1" s="1"/>
  <c r="D3572" i="1" s="1"/>
  <c r="D3571" i="1" s="1"/>
  <c r="D3570" i="1" s="1"/>
  <c r="D3569" i="1" s="1"/>
  <c r="D3568" i="1" s="1"/>
  <c r="D3567" i="1" s="1"/>
  <c r="D3566" i="1" s="1"/>
  <c r="D3565" i="1" s="1"/>
  <c r="D3564" i="1" s="1"/>
  <c r="D3563" i="1" s="1"/>
  <c r="D3562" i="1" s="1"/>
  <c r="D3561" i="1" s="1"/>
  <c r="D3560" i="1" s="1"/>
  <c r="D3559" i="1" s="1"/>
  <c r="D3558" i="1" s="1"/>
  <c r="D3557" i="1" s="1"/>
  <c r="D3556" i="1" s="1"/>
  <c r="D3555" i="1" s="1"/>
  <c r="D3554" i="1" s="1"/>
  <c r="D3553" i="1" s="1"/>
  <c r="D3552" i="1" s="1"/>
  <c r="D3551" i="1" s="1"/>
  <c r="D3550" i="1" s="1"/>
  <c r="D3549" i="1" s="1"/>
  <c r="D3548" i="1" s="1"/>
  <c r="D3547" i="1" s="1"/>
  <c r="D3546" i="1" s="1"/>
  <c r="D3545" i="1" s="1"/>
  <c r="D3544" i="1" s="1"/>
  <c r="D3543" i="1" s="1"/>
  <c r="D3542" i="1" s="1"/>
  <c r="D3541" i="1" s="1"/>
  <c r="D3540" i="1" s="1"/>
  <c r="D3539" i="1" s="1"/>
  <c r="D3538" i="1" s="1"/>
  <c r="D3537" i="1" s="1"/>
  <c r="D3536" i="1" s="1"/>
  <c r="D3535" i="1" s="1"/>
  <c r="D3534" i="1" s="1"/>
  <c r="D3533" i="1" s="1"/>
  <c r="D3532" i="1" s="1"/>
  <c r="D3531" i="1" s="1"/>
  <c r="D3530" i="1" s="1"/>
  <c r="D3529" i="1" s="1"/>
  <c r="D3528" i="1" s="1"/>
  <c r="D3527" i="1" s="1"/>
  <c r="D3526" i="1" s="1"/>
  <c r="D3525" i="1" s="1"/>
  <c r="D3524" i="1" s="1"/>
  <c r="D3523" i="1" s="1"/>
  <c r="D3522" i="1" s="1"/>
  <c r="D3771" i="1"/>
  <c r="D3772" i="1"/>
  <c r="D3995" i="1"/>
  <c r="D3994" i="1" s="1"/>
  <c r="D3993" i="1" s="1"/>
  <c r="D3992" i="1" s="1"/>
  <c r="D3991" i="1" s="1"/>
  <c r="D3990" i="1" s="1"/>
  <c r="D3989" i="1" s="1"/>
  <c r="D3988" i="1" s="1"/>
  <c r="D3987" i="1" s="1"/>
  <c r="D3986" i="1" s="1"/>
  <c r="D3985" i="1" s="1"/>
  <c r="D3984" i="1" s="1"/>
  <c r="D3983" i="1" s="1"/>
  <c r="D3982" i="1" s="1"/>
  <c r="D3981" i="1" s="1"/>
  <c r="D3980" i="1" s="1"/>
  <c r="D3979" i="1" s="1"/>
  <c r="D3978" i="1" s="1"/>
  <c r="D3977" i="1" s="1"/>
  <c r="D3976" i="1" s="1"/>
  <c r="D3975" i="1" s="1"/>
  <c r="D3974" i="1" s="1"/>
  <c r="D3973" i="1" s="1"/>
  <c r="D3972" i="1" s="1"/>
  <c r="D3971" i="1" s="1"/>
  <c r="D3970" i="1" s="1"/>
  <c r="D3969" i="1" s="1"/>
  <c r="D3968" i="1" s="1"/>
  <c r="D3967" i="1" s="1"/>
  <c r="D3966" i="1" s="1"/>
  <c r="D3965" i="1" s="1"/>
  <c r="D3964" i="1" s="1"/>
  <c r="D3963" i="1" s="1"/>
  <c r="D3962" i="1" s="1"/>
  <c r="D3961" i="1" s="1"/>
  <c r="D3960" i="1" s="1"/>
  <c r="D3959" i="1" s="1"/>
  <c r="D3958" i="1" s="1"/>
  <c r="D3957" i="1" s="1"/>
  <c r="D3956" i="1" s="1"/>
  <c r="D3955" i="1" s="1"/>
  <c r="D3954" i="1" s="1"/>
  <c r="D3953" i="1" s="1"/>
  <c r="D3952" i="1" s="1"/>
  <c r="D3951" i="1" s="1"/>
  <c r="D3950" i="1" s="1"/>
  <c r="D3949" i="1" s="1"/>
  <c r="D3948" i="1" s="1"/>
  <c r="D3947" i="1" s="1"/>
  <c r="D3946" i="1" s="1"/>
  <c r="D3945" i="1" s="1"/>
  <c r="D3944" i="1" s="1"/>
  <c r="D3943" i="1" s="1"/>
  <c r="D3942" i="1" s="1"/>
  <c r="D3941" i="1" s="1"/>
  <c r="D3940" i="1" s="1"/>
  <c r="D3939" i="1" s="1"/>
  <c r="D3938" i="1" s="1"/>
  <c r="D3937" i="1" s="1"/>
  <c r="D3936" i="1" s="1"/>
  <c r="D3935" i="1" s="1"/>
  <c r="D3934" i="1" s="1"/>
  <c r="D3933" i="1" s="1"/>
  <c r="D3932" i="1" s="1"/>
  <c r="D3931" i="1" s="1"/>
  <c r="D3930" i="1" s="1"/>
  <c r="D3929" i="1" s="1"/>
  <c r="D3928" i="1" s="1"/>
  <c r="D3927" i="1" s="1"/>
  <c r="D3926" i="1" s="1"/>
  <c r="D3925" i="1" s="1"/>
  <c r="D3924" i="1" s="1"/>
  <c r="D3923" i="1" s="1"/>
  <c r="D3922" i="1" s="1"/>
  <c r="D3921" i="1" s="1"/>
  <c r="D3920" i="1" s="1"/>
  <c r="D3919" i="1" s="1"/>
  <c r="D3918" i="1" s="1"/>
  <c r="D3917" i="1" s="1"/>
  <c r="D3916" i="1" s="1"/>
  <c r="D3915" i="1" s="1"/>
  <c r="D3914" i="1" s="1"/>
  <c r="D3913" i="1" s="1"/>
  <c r="D3912" i="1" s="1"/>
  <c r="D3911" i="1" s="1"/>
  <c r="D3910" i="1" s="1"/>
  <c r="D3909" i="1" s="1"/>
  <c r="D3908" i="1" s="1"/>
  <c r="D3907" i="1" s="1"/>
  <c r="D3906" i="1" s="1"/>
  <c r="D3905" i="1" s="1"/>
  <c r="D3904" i="1" s="1"/>
  <c r="D3903" i="1" s="1"/>
  <c r="D3902" i="1" s="1"/>
  <c r="D3901" i="1" s="1"/>
  <c r="D3900" i="1" s="1"/>
  <c r="D3899" i="1" s="1"/>
  <c r="D3898" i="1" s="1"/>
  <c r="D3897" i="1" s="1"/>
  <c r="D3896" i="1" s="1"/>
  <c r="D3895" i="1" s="1"/>
  <c r="D3894" i="1" s="1"/>
  <c r="D3893" i="1" s="1"/>
  <c r="D3892" i="1" s="1"/>
  <c r="D3891" i="1" s="1"/>
  <c r="D3890" i="1" s="1"/>
  <c r="D3889" i="1" s="1"/>
  <c r="D3888" i="1" s="1"/>
  <c r="D3887" i="1" s="1"/>
  <c r="D3886" i="1" s="1"/>
  <c r="D3885" i="1" s="1"/>
  <c r="D3884" i="1" s="1"/>
  <c r="D3883" i="1" s="1"/>
  <c r="D3882" i="1" s="1"/>
  <c r="D3881" i="1" s="1"/>
  <c r="D3880" i="1" s="1"/>
  <c r="D3879" i="1" s="1"/>
  <c r="D3878" i="1" s="1"/>
  <c r="D3877" i="1" s="1"/>
  <c r="D3876" i="1" s="1"/>
  <c r="D3875" i="1" s="1"/>
  <c r="D3874" i="1" s="1"/>
  <c r="D3873" i="1" s="1"/>
  <c r="D3872" i="1" s="1"/>
  <c r="D3871" i="1" s="1"/>
  <c r="D3870" i="1" s="1"/>
  <c r="D3869" i="1" s="1"/>
  <c r="D3868" i="1" s="1"/>
  <c r="D3867" i="1" s="1"/>
  <c r="D3866" i="1" s="1"/>
  <c r="D3865" i="1" s="1"/>
  <c r="D3864" i="1" s="1"/>
  <c r="D3863" i="1" s="1"/>
  <c r="D3862" i="1" s="1"/>
  <c r="D3861" i="1" s="1"/>
  <c r="D3860" i="1" s="1"/>
  <c r="D3859" i="1" s="1"/>
  <c r="D3858" i="1" s="1"/>
  <c r="D3857" i="1" s="1"/>
  <c r="D3856" i="1" s="1"/>
  <c r="D3855" i="1" s="1"/>
  <c r="D3854" i="1" s="1"/>
  <c r="D3853" i="1" s="1"/>
  <c r="D3852" i="1" s="1"/>
  <c r="D3851" i="1" s="1"/>
  <c r="D3850" i="1" s="1"/>
  <c r="D3849" i="1" s="1"/>
  <c r="D3848" i="1" s="1"/>
  <c r="D3847" i="1" s="1"/>
  <c r="D3846" i="1" s="1"/>
  <c r="D3845" i="1" s="1"/>
  <c r="D3844" i="1" s="1"/>
  <c r="D3843" i="1" s="1"/>
  <c r="D3842" i="1" s="1"/>
  <c r="D3841" i="1" s="1"/>
  <c r="D3840" i="1" s="1"/>
  <c r="D3839" i="1" s="1"/>
  <c r="D3838" i="1" s="1"/>
  <c r="D3837" i="1" s="1"/>
  <c r="D3836" i="1" s="1"/>
  <c r="D3835" i="1" s="1"/>
  <c r="D3834" i="1" s="1"/>
  <c r="D3833" i="1" s="1"/>
  <c r="D3832" i="1" s="1"/>
  <c r="D3831" i="1" s="1"/>
  <c r="D3830" i="1" s="1"/>
  <c r="D3829" i="1" s="1"/>
  <c r="D3828" i="1" s="1"/>
  <c r="D3827" i="1" s="1"/>
  <c r="D3826" i="1" s="1"/>
  <c r="D3825" i="1" s="1"/>
  <c r="D3824" i="1" s="1"/>
  <c r="D3823" i="1" s="1"/>
  <c r="D3822" i="1" s="1"/>
  <c r="D3821" i="1" s="1"/>
  <c r="D3820" i="1" s="1"/>
  <c r="D3819" i="1" s="1"/>
  <c r="D3818" i="1" s="1"/>
  <c r="D3817" i="1" s="1"/>
  <c r="D3816" i="1" s="1"/>
  <c r="D3815" i="1" s="1"/>
  <c r="D3814" i="1" s="1"/>
  <c r="D3813" i="1" s="1"/>
  <c r="D3812" i="1" s="1"/>
  <c r="D3811" i="1" s="1"/>
  <c r="D3810" i="1" s="1"/>
  <c r="D3809" i="1" s="1"/>
  <c r="D3808" i="1" s="1"/>
  <c r="D3807" i="1" s="1"/>
  <c r="D3806" i="1" s="1"/>
  <c r="D3805" i="1" s="1"/>
  <c r="D3804" i="1" s="1"/>
  <c r="D3803" i="1" s="1"/>
  <c r="D3802" i="1" s="1"/>
  <c r="D3801" i="1" s="1"/>
  <c r="D3800" i="1" s="1"/>
  <c r="D3799" i="1" s="1"/>
  <c r="D3798" i="1" s="1"/>
  <c r="D3797" i="1" s="1"/>
  <c r="D3796" i="1" s="1"/>
  <c r="D3795" i="1" s="1"/>
  <c r="D3794" i="1" s="1"/>
  <c r="D3793" i="1" s="1"/>
  <c r="D3792" i="1" s="1"/>
  <c r="D3791" i="1" s="1"/>
  <c r="D3790" i="1" s="1"/>
  <c r="D3789" i="1" s="1"/>
  <c r="D3788" i="1" s="1"/>
  <c r="D3787" i="1" s="1"/>
  <c r="D3786" i="1" s="1"/>
  <c r="D3785" i="1" s="1"/>
  <c r="D3784" i="1" s="1"/>
  <c r="D3783" i="1" s="1"/>
  <c r="D3782" i="1" s="1"/>
  <c r="D3781" i="1" s="1"/>
  <c r="D3780" i="1" s="1"/>
  <c r="D3779" i="1" s="1"/>
  <c r="D3778" i="1" s="1"/>
  <c r="D3777" i="1" s="1"/>
  <c r="D3776" i="1" s="1"/>
  <c r="D3775" i="1" s="1"/>
  <c r="D3774" i="1" s="1"/>
  <c r="D3996" i="1"/>
  <c r="D399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C3997" i="1" s="1"/>
  <c r="C3996" i="1" s="1"/>
  <c r="C3995" i="1" s="1"/>
  <c r="C3994" i="1" s="1"/>
  <c r="C3993" i="1" s="1"/>
  <c r="C3992" i="1" s="1"/>
  <c r="C3991" i="1" s="1"/>
  <c r="C3990" i="1" s="1"/>
  <c r="C3989" i="1" s="1"/>
  <c r="C3988" i="1" s="1"/>
  <c r="C3987" i="1" s="1"/>
  <c r="C3986" i="1" s="1"/>
  <c r="C3985" i="1" s="1"/>
  <c r="C3984" i="1" s="1"/>
  <c r="C3983" i="1" s="1"/>
  <c r="C3982" i="1" s="1"/>
  <c r="C3981" i="1" s="1"/>
  <c r="C3980" i="1" s="1"/>
  <c r="C3979" i="1" s="1"/>
  <c r="C3978" i="1" s="1"/>
  <c r="C3977" i="1" s="1"/>
  <c r="C3976" i="1" s="1"/>
  <c r="C3975" i="1" s="1"/>
  <c r="C3974" i="1" s="1"/>
  <c r="C3973" i="1" s="1"/>
  <c r="C3972" i="1" s="1"/>
  <c r="C3971" i="1" s="1"/>
  <c r="C3970" i="1" s="1"/>
  <c r="C3969" i="1" s="1"/>
  <c r="C3968" i="1" s="1"/>
  <c r="C3967" i="1" s="1"/>
  <c r="C3966" i="1" s="1"/>
  <c r="C3965" i="1" s="1"/>
  <c r="C3964" i="1" s="1"/>
  <c r="C3963" i="1" s="1"/>
  <c r="C3962" i="1" s="1"/>
  <c r="C3961" i="1" s="1"/>
  <c r="C3960" i="1" s="1"/>
  <c r="C3959" i="1" s="1"/>
  <c r="C3958" i="1" s="1"/>
  <c r="C3957" i="1" s="1"/>
  <c r="C3956" i="1" s="1"/>
  <c r="C3955" i="1" s="1"/>
  <c r="C3954" i="1" s="1"/>
  <c r="C3953" i="1" s="1"/>
  <c r="C3952" i="1" s="1"/>
  <c r="C3951" i="1" s="1"/>
  <c r="C3950" i="1" s="1"/>
  <c r="C3949" i="1" s="1"/>
  <c r="C3948" i="1" s="1"/>
  <c r="C3947" i="1" s="1"/>
  <c r="C3946" i="1" s="1"/>
  <c r="C3945" i="1" s="1"/>
  <c r="C3944" i="1" s="1"/>
  <c r="C3943" i="1" s="1"/>
  <c r="C3942" i="1" s="1"/>
  <c r="C3941" i="1" s="1"/>
  <c r="C3940" i="1" s="1"/>
  <c r="C3939" i="1" s="1"/>
  <c r="C3938" i="1" s="1"/>
  <c r="C3937" i="1" s="1"/>
  <c r="C3936" i="1" s="1"/>
  <c r="C3935" i="1" s="1"/>
  <c r="C3934" i="1" s="1"/>
  <c r="C3933" i="1" s="1"/>
  <c r="C3932" i="1" s="1"/>
  <c r="C3931" i="1" s="1"/>
  <c r="C3930" i="1" s="1"/>
  <c r="C3929" i="1" s="1"/>
  <c r="C3928" i="1" s="1"/>
  <c r="C3927" i="1" s="1"/>
  <c r="C3926" i="1" s="1"/>
  <c r="C3925" i="1" s="1"/>
  <c r="C3924" i="1" s="1"/>
  <c r="C3923" i="1" s="1"/>
  <c r="C3922" i="1" s="1"/>
  <c r="C3921" i="1" s="1"/>
  <c r="C3920" i="1" s="1"/>
  <c r="C3919" i="1" s="1"/>
  <c r="C3918" i="1" s="1"/>
  <c r="C3917" i="1" s="1"/>
  <c r="C3916" i="1" s="1"/>
  <c r="C3915" i="1" s="1"/>
  <c r="C3914" i="1" s="1"/>
  <c r="C3913" i="1" s="1"/>
  <c r="C3912" i="1" s="1"/>
  <c r="C3911" i="1" s="1"/>
  <c r="C3910" i="1" s="1"/>
  <c r="C3909" i="1" s="1"/>
  <c r="C3908" i="1" s="1"/>
  <c r="C3907" i="1" s="1"/>
  <c r="C3906" i="1" s="1"/>
  <c r="C3905" i="1" s="1"/>
  <c r="C3904" i="1" s="1"/>
  <c r="C3903" i="1" s="1"/>
  <c r="C3902" i="1" s="1"/>
  <c r="C3901" i="1" s="1"/>
  <c r="C3900" i="1" s="1"/>
  <c r="C3899" i="1" s="1"/>
  <c r="C3898" i="1" s="1"/>
  <c r="C3897" i="1" s="1"/>
  <c r="C3896" i="1" s="1"/>
  <c r="C3895" i="1" s="1"/>
  <c r="C3894" i="1" s="1"/>
  <c r="C3893" i="1" s="1"/>
  <c r="C3892" i="1" s="1"/>
  <c r="C3891" i="1" s="1"/>
  <c r="C3890" i="1" s="1"/>
  <c r="C3889" i="1" s="1"/>
  <c r="C3888" i="1" s="1"/>
  <c r="C3887" i="1" s="1"/>
  <c r="C3886" i="1" s="1"/>
  <c r="C3885" i="1" s="1"/>
  <c r="C3884" i="1" s="1"/>
  <c r="C3883" i="1" s="1"/>
  <c r="C3882" i="1" s="1"/>
  <c r="C3881" i="1" s="1"/>
  <c r="C3880" i="1" s="1"/>
  <c r="C3879" i="1" s="1"/>
  <c r="C3878" i="1" s="1"/>
  <c r="C3877" i="1" s="1"/>
  <c r="C3876" i="1" s="1"/>
  <c r="C3875" i="1" s="1"/>
  <c r="C3874" i="1" s="1"/>
  <c r="C3873" i="1" s="1"/>
  <c r="C3872" i="1" s="1"/>
  <c r="C3871" i="1" s="1"/>
  <c r="C3870" i="1" s="1"/>
  <c r="C3869" i="1" s="1"/>
  <c r="C3868" i="1" s="1"/>
  <c r="C3867" i="1" s="1"/>
  <c r="C3866" i="1" s="1"/>
  <c r="C3865" i="1" s="1"/>
  <c r="C3864" i="1" s="1"/>
  <c r="C3863" i="1" s="1"/>
  <c r="C3862" i="1" s="1"/>
  <c r="C3861" i="1" s="1"/>
  <c r="C3860" i="1" s="1"/>
  <c r="C3859" i="1" s="1"/>
  <c r="C3858" i="1" s="1"/>
  <c r="C3857" i="1" s="1"/>
  <c r="C3856" i="1" s="1"/>
  <c r="C3855" i="1" s="1"/>
  <c r="C3854" i="1" s="1"/>
  <c r="C3853" i="1" s="1"/>
  <c r="C3852" i="1" s="1"/>
  <c r="C3851" i="1" s="1"/>
  <c r="C3850" i="1" s="1"/>
  <c r="C3849" i="1" s="1"/>
  <c r="C3848" i="1" s="1"/>
  <c r="C3847" i="1" s="1"/>
  <c r="C3846" i="1" s="1"/>
  <c r="C3845" i="1" s="1"/>
  <c r="C3844" i="1" s="1"/>
  <c r="C3843" i="1" s="1"/>
  <c r="C3842" i="1" s="1"/>
  <c r="C3841" i="1" s="1"/>
  <c r="C3840" i="1" s="1"/>
  <c r="C3839" i="1" s="1"/>
  <c r="C3838" i="1" s="1"/>
  <c r="C3837" i="1" s="1"/>
  <c r="C3836" i="1" s="1"/>
  <c r="C3835" i="1" s="1"/>
  <c r="C3834" i="1" s="1"/>
  <c r="C3833" i="1" s="1"/>
  <c r="C3832" i="1" s="1"/>
  <c r="C3831" i="1" s="1"/>
  <c r="C3830" i="1" s="1"/>
  <c r="C3829" i="1" s="1"/>
  <c r="C3828" i="1" s="1"/>
  <c r="C3827" i="1" s="1"/>
  <c r="C3826" i="1" s="1"/>
  <c r="C3825" i="1" s="1"/>
  <c r="C3824" i="1" s="1"/>
  <c r="C3823" i="1" s="1"/>
  <c r="C3822" i="1" s="1"/>
  <c r="C3821" i="1" s="1"/>
  <c r="C3820" i="1" s="1"/>
  <c r="C3819" i="1" s="1"/>
  <c r="C3818" i="1" s="1"/>
  <c r="C3817" i="1" s="1"/>
  <c r="C3816" i="1" s="1"/>
  <c r="C3815" i="1" s="1"/>
  <c r="C3814" i="1" s="1"/>
  <c r="C3813" i="1" s="1"/>
  <c r="C3812" i="1" s="1"/>
  <c r="C3811" i="1" s="1"/>
  <c r="C3810" i="1" s="1"/>
  <c r="C3809" i="1" s="1"/>
  <c r="C3808" i="1" s="1"/>
  <c r="C3807" i="1" s="1"/>
  <c r="C3806" i="1" s="1"/>
  <c r="C3805" i="1" s="1"/>
  <c r="C3804" i="1" s="1"/>
  <c r="C3803" i="1" s="1"/>
  <c r="C3802" i="1" s="1"/>
  <c r="C3801" i="1" s="1"/>
  <c r="C3800" i="1" s="1"/>
  <c r="C3799" i="1" s="1"/>
  <c r="C3798" i="1" s="1"/>
  <c r="C3797" i="1" s="1"/>
  <c r="C3796" i="1" s="1"/>
  <c r="C3795" i="1" s="1"/>
  <c r="C3794" i="1" s="1"/>
  <c r="C3793" i="1" s="1"/>
  <c r="C3792" i="1" s="1"/>
  <c r="C3791" i="1" s="1"/>
  <c r="C3790" i="1" s="1"/>
  <c r="C3789" i="1" s="1"/>
  <c r="C3788" i="1" s="1"/>
  <c r="C3787" i="1" s="1"/>
  <c r="C3786" i="1" s="1"/>
  <c r="C3785" i="1" s="1"/>
  <c r="C3784" i="1" s="1"/>
  <c r="C3783" i="1" s="1"/>
  <c r="C3782" i="1" s="1"/>
  <c r="C3781" i="1" s="1"/>
  <c r="C3780" i="1" s="1"/>
  <c r="C3779" i="1" s="1"/>
  <c r="C3778" i="1" s="1"/>
  <c r="C3777" i="1" s="1"/>
  <c r="C3776" i="1" s="1"/>
  <c r="C3775" i="1" s="1"/>
  <c r="C3774" i="1" s="1"/>
  <c r="C3773" i="1" s="1"/>
  <c r="C3772" i="1" s="1"/>
  <c r="C3771" i="1" s="1"/>
  <c r="C3770" i="1" s="1"/>
  <c r="C3769" i="1" s="1"/>
  <c r="C3768" i="1" s="1"/>
  <c r="C3767" i="1" s="1"/>
  <c r="C3766" i="1" s="1"/>
  <c r="C3765" i="1" s="1"/>
  <c r="C3764" i="1" s="1"/>
  <c r="C3763" i="1" s="1"/>
  <c r="C3762" i="1" s="1"/>
  <c r="C3761" i="1" s="1"/>
  <c r="C3760" i="1" s="1"/>
  <c r="C3759" i="1" s="1"/>
  <c r="C3758" i="1" s="1"/>
  <c r="C3757" i="1" s="1"/>
  <c r="C3756" i="1" s="1"/>
  <c r="C3755" i="1" s="1"/>
  <c r="C3754" i="1" s="1"/>
  <c r="C3753" i="1" s="1"/>
  <c r="C3752" i="1" s="1"/>
  <c r="C3751" i="1" s="1"/>
  <c r="C3750" i="1" s="1"/>
  <c r="C3749" i="1" s="1"/>
  <c r="C3748" i="1" s="1"/>
  <c r="C3747" i="1" s="1"/>
  <c r="C3746" i="1" s="1"/>
  <c r="C3745" i="1" s="1"/>
  <c r="C3744" i="1" s="1"/>
  <c r="C3743" i="1" s="1"/>
  <c r="C3742" i="1" s="1"/>
  <c r="C3741" i="1" s="1"/>
  <c r="C3740" i="1" s="1"/>
  <c r="C3739" i="1" s="1"/>
  <c r="C3738" i="1" s="1"/>
  <c r="C3737" i="1" s="1"/>
  <c r="C3736" i="1" s="1"/>
  <c r="C3735" i="1" s="1"/>
  <c r="C3734" i="1" s="1"/>
  <c r="C3733" i="1" s="1"/>
  <c r="C3732" i="1" s="1"/>
  <c r="C3731" i="1" s="1"/>
  <c r="C3730" i="1" s="1"/>
  <c r="C3729" i="1" s="1"/>
  <c r="C3728" i="1" s="1"/>
  <c r="C3727" i="1" s="1"/>
  <c r="C3726" i="1" s="1"/>
  <c r="C3725" i="1" s="1"/>
  <c r="C3724" i="1" s="1"/>
  <c r="C3723" i="1" s="1"/>
  <c r="C3722" i="1" s="1"/>
  <c r="C3721" i="1" s="1"/>
  <c r="C3720" i="1" s="1"/>
  <c r="C3719" i="1" s="1"/>
  <c r="C3718" i="1" s="1"/>
  <c r="C3717" i="1" s="1"/>
  <c r="C3716" i="1" s="1"/>
  <c r="C3715" i="1" s="1"/>
  <c r="C3714" i="1" s="1"/>
  <c r="C3713" i="1" s="1"/>
  <c r="C3712" i="1" s="1"/>
  <c r="C3711" i="1" s="1"/>
  <c r="C3710" i="1" s="1"/>
  <c r="C3709" i="1" s="1"/>
  <c r="C3708" i="1" s="1"/>
  <c r="C3707" i="1" s="1"/>
  <c r="C3706" i="1" s="1"/>
  <c r="C3705" i="1" s="1"/>
  <c r="C3704" i="1" s="1"/>
  <c r="C3703" i="1" s="1"/>
  <c r="C3702" i="1" s="1"/>
  <c r="C3701" i="1" s="1"/>
  <c r="C3700" i="1" s="1"/>
  <c r="C3699" i="1" s="1"/>
  <c r="C3698" i="1" s="1"/>
  <c r="C3697" i="1" s="1"/>
  <c r="C3696" i="1" s="1"/>
  <c r="C3695" i="1" s="1"/>
  <c r="C3694" i="1" s="1"/>
  <c r="C3693" i="1" s="1"/>
  <c r="C3692" i="1" s="1"/>
  <c r="C3691" i="1" s="1"/>
  <c r="C3690" i="1" s="1"/>
  <c r="C3689" i="1" s="1"/>
  <c r="C3688" i="1" s="1"/>
  <c r="C3687" i="1" s="1"/>
  <c r="C3686" i="1" s="1"/>
  <c r="C3685" i="1" s="1"/>
  <c r="C3684" i="1" s="1"/>
  <c r="C3683" i="1" s="1"/>
  <c r="C3682" i="1" s="1"/>
  <c r="C3681" i="1" s="1"/>
  <c r="C3680" i="1" s="1"/>
  <c r="C3679" i="1" s="1"/>
  <c r="C3678" i="1" s="1"/>
  <c r="C3677" i="1" s="1"/>
  <c r="C3676" i="1" s="1"/>
  <c r="C3675" i="1" s="1"/>
  <c r="C3674" i="1" s="1"/>
  <c r="C3673" i="1" s="1"/>
  <c r="C3672" i="1" s="1"/>
  <c r="C3671" i="1" s="1"/>
  <c r="C3670" i="1" s="1"/>
  <c r="C3669" i="1" s="1"/>
  <c r="C3668" i="1" s="1"/>
  <c r="C3667" i="1" s="1"/>
  <c r="C3666" i="1" s="1"/>
  <c r="C3665" i="1" s="1"/>
  <c r="C3664" i="1" s="1"/>
  <c r="C3663" i="1" s="1"/>
  <c r="C3662" i="1" s="1"/>
  <c r="C3661" i="1" s="1"/>
  <c r="C3660" i="1" s="1"/>
  <c r="C3659" i="1" s="1"/>
  <c r="C3658" i="1" s="1"/>
  <c r="C3657" i="1" s="1"/>
  <c r="C3656" i="1" s="1"/>
  <c r="C3655" i="1" s="1"/>
  <c r="C3654" i="1" s="1"/>
  <c r="C3653" i="1" s="1"/>
  <c r="C3652" i="1" s="1"/>
  <c r="C3651" i="1" s="1"/>
  <c r="C3650" i="1" s="1"/>
  <c r="C3649" i="1" s="1"/>
  <c r="C3648" i="1" s="1"/>
  <c r="C3647" i="1" s="1"/>
  <c r="C3646" i="1" s="1"/>
  <c r="C3645" i="1" s="1"/>
  <c r="C3644" i="1" s="1"/>
  <c r="C3643" i="1" s="1"/>
  <c r="C3642" i="1" s="1"/>
  <c r="C3641" i="1" s="1"/>
  <c r="C3640" i="1" s="1"/>
  <c r="C3639" i="1" s="1"/>
  <c r="C3638" i="1" s="1"/>
  <c r="C3637" i="1" s="1"/>
  <c r="C3636" i="1" s="1"/>
  <c r="C3635" i="1" s="1"/>
  <c r="C3634" i="1" s="1"/>
  <c r="C3633" i="1" s="1"/>
  <c r="C3632" i="1" s="1"/>
  <c r="C3631" i="1" s="1"/>
  <c r="C3630" i="1" s="1"/>
  <c r="C3629" i="1" s="1"/>
  <c r="C3628" i="1" s="1"/>
  <c r="C3627" i="1" s="1"/>
  <c r="C3626" i="1" s="1"/>
  <c r="C3625" i="1" s="1"/>
  <c r="C3624" i="1" s="1"/>
  <c r="C3623" i="1" s="1"/>
  <c r="C3622" i="1" s="1"/>
  <c r="C3621" i="1" s="1"/>
  <c r="C3620" i="1" s="1"/>
  <c r="C3619" i="1" s="1"/>
  <c r="C3618" i="1" s="1"/>
  <c r="C3617" i="1" s="1"/>
  <c r="C3616" i="1" s="1"/>
  <c r="C3615" i="1" s="1"/>
  <c r="C3614" i="1" s="1"/>
  <c r="C3613" i="1" s="1"/>
  <c r="C3612" i="1" s="1"/>
  <c r="C3611" i="1" s="1"/>
  <c r="C3610" i="1" s="1"/>
  <c r="C3609" i="1" s="1"/>
  <c r="C3608" i="1" s="1"/>
  <c r="C3607" i="1" s="1"/>
  <c r="C3606" i="1" s="1"/>
  <c r="C3605" i="1" s="1"/>
  <c r="C3604" i="1" s="1"/>
  <c r="C3603" i="1" s="1"/>
  <c r="C3602" i="1" s="1"/>
  <c r="C3601" i="1" s="1"/>
  <c r="C3600" i="1" s="1"/>
  <c r="C3599" i="1" s="1"/>
  <c r="C3598" i="1" s="1"/>
  <c r="C3597" i="1" s="1"/>
  <c r="C3596" i="1" s="1"/>
  <c r="C3595" i="1" s="1"/>
  <c r="C3594" i="1" s="1"/>
  <c r="C3593" i="1" s="1"/>
  <c r="C3592" i="1" s="1"/>
  <c r="C3591" i="1" s="1"/>
  <c r="C3590" i="1" s="1"/>
  <c r="C3589" i="1" s="1"/>
  <c r="C3588" i="1" s="1"/>
  <c r="C3587" i="1" s="1"/>
  <c r="C3586" i="1" s="1"/>
  <c r="C3585" i="1" s="1"/>
  <c r="C3584" i="1" s="1"/>
  <c r="C3583" i="1" s="1"/>
  <c r="C3582" i="1" s="1"/>
  <c r="C3581" i="1" s="1"/>
  <c r="C3580" i="1" s="1"/>
  <c r="C3579" i="1" s="1"/>
  <c r="C3578" i="1" s="1"/>
  <c r="C3577" i="1" s="1"/>
  <c r="C3576" i="1" s="1"/>
  <c r="C3575" i="1" s="1"/>
  <c r="C3574" i="1" s="1"/>
  <c r="C3573" i="1" s="1"/>
  <c r="C3572" i="1" s="1"/>
  <c r="C3571" i="1" s="1"/>
  <c r="C3570" i="1" s="1"/>
  <c r="C3569" i="1" s="1"/>
  <c r="C3568" i="1" s="1"/>
  <c r="C3567" i="1" s="1"/>
  <c r="C3566" i="1" s="1"/>
  <c r="C3565" i="1" s="1"/>
  <c r="C3564" i="1" s="1"/>
  <c r="C3563" i="1" s="1"/>
  <c r="C3562" i="1" s="1"/>
  <c r="C3561" i="1" s="1"/>
  <c r="C3560" i="1" s="1"/>
  <c r="C3559" i="1" s="1"/>
  <c r="C3558" i="1" s="1"/>
  <c r="C3557" i="1" s="1"/>
  <c r="C3556" i="1" s="1"/>
  <c r="C3555" i="1" s="1"/>
  <c r="C3554" i="1" s="1"/>
  <c r="C3553" i="1" s="1"/>
  <c r="C3552" i="1" s="1"/>
  <c r="C3551" i="1" s="1"/>
  <c r="C3550" i="1" s="1"/>
  <c r="C3549" i="1" s="1"/>
  <c r="C3548" i="1" s="1"/>
  <c r="C3547" i="1" s="1"/>
  <c r="C3546" i="1" s="1"/>
  <c r="C3545" i="1" s="1"/>
  <c r="C3544" i="1" s="1"/>
  <c r="C3543" i="1" s="1"/>
  <c r="C3542" i="1" s="1"/>
  <c r="C3541" i="1" s="1"/>
  <c r="C3540" i="1" s="1"/>
  <c r="C3539" i="1" s="1"/>
  <c r="C3538" i="1" s="1"/>
  <c r="C3537" i="1" s="1"/>
  <c r="C3536" i="1" s="1"/>
  <c r="C3535" i="1" s="1"/>
  <c r="C3534" i="1" s="1"/>
  <c r="C3533" i="1" s="1"/>
  <c r="C3532" i="1" s="1"/>
  <c r="C3531" i="1" s="1"/>
  <c r="C3530" i="1" s="1"/>
  <c r="C3529" i="1" s="1"/>
  <c r="C3528" i="1" s="1"/>
  <c r="C3527" i="1" s="1"/>
  <c r="C3526" i="1" s="1"/>
  <c r="C3525" i="1" s="1"/>
  <c r="C3524" i="1" s="1"/>
  <c r="C3523" i="1" s="1"/>
  <c r="C3522" i="1" s="1"/>
  <c r="C3521" i="1" s="1"/>
  <c r="C3520" i="1" s="1"/>
  <c r="C3519" i="1" s="1"/>
  <c r="C3518" i="1" s="1"/>
  <c r="C3517" i="1" s="1"/>
  <c r="C3516" i="1" s="1"/>
  <c r="C3515" i="1" s="1"/>
  <c r="C3514" i="1" s="1"/>
  <c r="C3513" i="1" s="1"/>
  <c r="C3512" i="1" s="1"/>
  <c r="C3511" i="1" s="1"/>
  <c r="C3510" i="1" s="1"/>
  <c r="C3509" i="1" s="1"/>
  <c r="C3508" i="1" s="1"/>
  <c r="C3507" i="1" s="1"/>
  <c r="C3506" i="1" s="1"/>
  <c r="C3505" i="1" s="1"/>
  <c r="C3504" i="1" s="1"/>
  <c r="C3503" i="1" s="1"/>
  <c r="C3502" i="1" s="1"/>
  <c r="C3501" i="1" s="1"/>
  <c r="C3500" i="1" s="1"/>
  <c r="C3499" i="1" s="1"/>
  <c r="C3498" i="1" s="1"/>
  <c r="C3497" i="1" s="1"/>
  <c r="C3496" i="1" s="1"/>
  <c r="C3495" i="1" s="1"/>
  <c r="C3494" i="1" s="1"/>
  <c r="C3493" i="1" s="1"/>
  <c r="C3492" i="1" s="1"/>
  <c r="C3491" i="1" s="1"/>
  <c r="C3490" i="1" s="1"/>
  <c r="C3489" i="1" s="1"/>
  <c r="C3488" i="1" s="1"/>
  <c r="C3487" i="1" s="1"/>
  <c r="C3486" i="1" s="1"/>
  <c r="C3485" i="1" s="1"/>
  <c r="C3484" i="1" s="1"/>
  <c r="C3483" i="1" s="1"/>
  <c r="C3482" i="1" s="1"/>
  <c r="C3481" i="1" s="1"/>
  <c r="C3480" i="1" s="1"/>
  <c r="C3479" i="1" s="1"/>
  <c r="C3478" i="1" s="1"/>
  <c r="C3477" i="1" s="1"/>
  <c r="C3476" i="1" s="1"/>
  <c r="C3475" i="1" s="1"/>
  <c r="C3474" i="1" s="1"/>
  <c r="C3473" i="1" s="1"/>
  <c r="C3472" i="1" s="1"/>
  <c r="C3471" i="1" s="1"/>
  <c r="C3470" i="1" s="1"/>
  <c r="C3469" i="1" s="1"/>
  <c r="C3468" i="1" s="1"/>
  <c r="C3467" i="1" s="1"/>
  <c r="C3466" i="1" s="1"/>
  <c r="C3465" i="1" s="1"/>
  <c r="C3464" i="1" s="1"/>
  <c r="C3463" i="1" s="1"/>
  <c r="C3462" i="1" s="1"/>
  <c r="C3461" i="1" s="1"/>
  <c r="C3460" i="1" s="1"/>
  <c r="C3459" i="1" s="1"/>
  <c r="C3458" i="1" s="1"/>
  <c r="C3457" i="1" s="1"/>
  <c r="C3456" i="1" s="1"/>
  <c r="C3455" i="1" s="1"/>
  <c r="C3454" i="1" s="1"/>
  <c r="C3453" i="1" s="1"/>
  <c r="C3452" i="1" s="1"/>
  <c r="C3451" i="1" s="1"/>
  <c r="C3450" i="1" s="1"/>
  <c r="C3449" i="1" s="1"/>
  <c r="C3448" i="1" s="1"/>
  <c r="C3447" i="1" s="1"/>
  <c r="C3446" i="1" s="1"/>
  <c r="C3445" i="1" s="1"/>
  <c r="C3444" i="1" s="1"/>
  <c r="C3443" i="1" s="1"/>
  <c r="C3442" i="1" s="1"/>
  <c r="C3441" i="1" s="1"/>
  <c r="C3440" i="1" s="1"/>
  <c r="C3439" i="1" s="1"/>
  <c r="C3438" i="1" s="1"/>
  <c r="C3437" i="1" s="1"/>
  <c r="C3436" i="1" s="1"/>
  <c r="C3435" i="1" s="1"/>
  <c r="C3434" i="1" s="1"/>
  <c r="C3433" i="1" s="1"/>
  <c r="C3432" i="1" s="1"/>
  <c r="C3431" i="1" s="1"/>
  <c r="C3430" i="1" s="1"/>
  <c r="C3429" i="1" s="1"/>
  <c r="C3428" i="1" s="1"/>
  <c r="C3427" i="1" s="1"/>
  <c r="C3426" i="1" s="1"/>
  <c r="C3425" i="1" s="1"/>
  <c r="C3424" i="1" s="1"/>
  <c r="C3423" i="1" s="1"/>
  <c r="C3422" i="1" s="1"/>
  <c r="C3421" i="1" s="1"/>
  <c r="C3420" i="1" s="1"/>
  <c r="C3419" i="1" s="1"/>
  <c r="C3418" i="1" s="1"/>
  <c r="C3417" i="1" s="1"/>
  <c r="C3416" i="1" s="1"/>
  <c r="C3415" i="1" s="1"/>
  <c r="C3414" i="1" s="1"/>
  <c r="C3413" i="1" s="1"/>
  <c r="C3412" i="1" s="1"/>
  <c r="C3411" i="1" s="1"/>
  <c r="C3410" i="1" s="1"/>
  <c r="C3409" i="1" s="1"/>
  <c r="C3408" i="1" s="1"/>
  <c r="C3407" i="1" s="1"/>
  <c r="C3406" i="1" s="1"/>
  <c r="C3405" i="1" s="1"/>
  <c r="C3404" i="1" s="1"/>
  <c r="C3403" i="1" s="1"/>
  <c r="C3402" i="1" s="1"/>
  <c r="C3401" i="1" s="1"/>
  <c r="C3400" i="1" s="1"/>
  <c r="C3399" i="1" s="1"/>
  <c r="C3398" i="1" s="1"/>
  <c r="C3397" i="1" s="1"/>
  <c r="C3396" i="1" s="1"/>
  <c r="C3395" i="1" s="1"/>
  <c r="C3394" i="1" s="1"/>
  <c r="C3393" i="1" s="1"/>
  <c r="C3392" i="1" s="1"/>
  <c r="C3391" i="1" s="1"/>
  <c r="C3390" i="1" s="1"/>
  <c r="C3389" i="1" s="1"/>
  <c r="C3388" i="1" s="1"/>
  <c r="C3387" i="1" s="1"/>
  <c r="C3386" i="1" s="1"/>
  <c r="C3385" i="1" s="1"/>
  <c r="C3384" i="1" s="1"/>
  <c r="C3383" i="1" s="1"/>
  <c r="C3382" i="1" s="1"/>
  <c r="C3381" i="1" s="1"/>
  <c r="C3380" i="1" s="1"/>
  <c r="C3379" i="1" s="1"/>
  <c r="C3378" i="1" s="1"/>
  <c r="C3377" i="1" s="1"/>
  <c r="C3376" i="1" s="1"/>
  <c r="C3375" i="1" s="1"/>
  <c r="C3374" i="1" s="1"/>
  <c r="C3373" i="1" s="1"/>
  <c r="C3372" i="1" s="1"/>
  <c r="C3371" i="1" s="1"/>
  <c r="C3370" i="1" s="1"/>
  <c r="C3369" i="1" s="1"/>
  <c r="C3368" i="1" s="1"/>
  <c r="C3367" i="1" s="1"/>
  <c r="C3366" i="1" s="1"/>
  <c r="C3365" i="1" s="1"/>
  <c r="C3364" i="1" s="1"/>
  <c r="C3363" i="1" s="1"/>
  <c r="C3362" i="1" s="1"/>
  <c r="C3361" i="1" s="1"/>
  <c r="C3360" i="1" s="1"/>
  <c r="C3359" i="1" s="1"/>
  <c r="C3358" i="1" s="1"/>
  <c r="C3357" i="1" s="1"/>
  <c r="C3356" i="1" s="1"/>
  <c r="C3355" i="1" s="1"/>
  <c r="C3354" i="1" s="1"/>
  <c r="C3353" i="1" s="1"/>
  <c r="C3352" i="1" s="1"/>
  <c r="C3351" i="1" s="1"/>
  <c r="C3350" i="1" s="1"/>
  <c r="C3349" i="1" s="1"/>
  <c r="C3348" i="1" s="1"/>
  <c r="C3347" i="1" s="1"/>
  <c r="C3346" i="1" s="1"/>
  <c r="C3345" i="1" s="1"/>
  <c r="C3344" i="1" s="1"/>
  <c r="C3343" i="1" s="1"/>
  <c r="C3342" i="1" s="1"/>
  <c r="C3341" i="1" s="1"/>
  <c r="C3340" i="1" s="1"/>
  <c r="C3339" i="1" s="1"/>
  <c r="C3338" i="1" s="1"/>
  <c r="C3337" i="1" s="1"/>
  <c r="C3336" i="1" s="1"/>
  <c r="C3335" i="1" s="1"/>
  <c r="C3334" i="1" s="1"/>
  <c r="C3333" i="1" s="1"/>
  <c r="C3332" i="1" s="1"/>
  <c r="C3331" i="1" s="1"/>
  <c r="C3330" i="1" s="1"/>
  <c r="C3329" i="1" s="1"/>
  <c r="C3328" i="1" s="1"/>
  <c r="C3327" i="1" s="1"/>
  <c r="C3326" i="1" s="1"/>
  <c r="C3325" i="1" s="1"/>
  <c r="C3324" i="1" s="1"/>
  <c r="C3323" i="1" s="1"/>
  <c r="C3322" i="1" s="1"/>
  <c r="C3321" i="1" s="1"/>
  <c r="C3320" i="1" s="1"/>
  <c r="C3319" i="1" s="1"/>
  <c r="C3318" i="1" s="1"/>
  <c r="C3317" i="1" s="1"/>
  <c r="C3316" i="1" s="1"/>
  <c r="C3315" i="1" s="1"/>
  <c r="C3314" i="1" s="1"/>
  <c r="C3313" i="1" s="1"/>
  <c r="C3312" i="1" s="1"/>
  <c r="C3311" i="1" s="1"/>
  <c r="C3310" i="1" s="1"/>
  <c r="C3309" i="1" s="1"/>
  <c r="C3308" i="1" s="1"/>
  <c r="C3307" i="1" s="1"/>
  <c r="C3306" i="1" s="1"/>
  <c r="C3305" i="1" s="1"/>
  <c r="C3304" i="1" s="1"/>
  <c r="C3303" i="1" s="1"/>
  <c r="C3302" i="1" s="1"/>
  <c r="C3301" i="1" s="1"/>
  <c r="C3300" i="1" s="1"/>
  <c r="C3299" i="1" s="1"/>
  <c r="C3298" i="1" s="1"/>
  <c r="C3297" i="1" s="1"/>
  <c r="C3296" i="1" s="1"/>
  <c r="C3295" i="1" s="1"/>
  <c r="C3294" i="1" s="1"/>
  <c r="C3293" i="1" s="1"/>
  <c r="C3292" i="1" s="1"/>
  <c r="C3291" i="1" s="1"/>
  <c r="C3290" i="1" s="1"/>
  <c r="C3289" i="1" s="1"/>
  <c r="C3288" i="1" s="1"/>
  <c r="C3287" i="1" s="1"/>
  <c r="C3286" i="1" s="1"/>
  <c r="C3285" i="1" s="1"/>
  <c r="C3284" i="1" s="1"/>
  <c r="C3283" i="1" s="1"/>
  <c r="C3282" i="1" s="1"/>
  <c r="C3281" i="1" s="1"/>
  <c r="C3280" i="1" s="1"/>
  <c r="C3279" i="1" s="1"/>
  <c r="C3278" i="1" s="1"/>
  <c r="C3277" i="1" s="1"/>
  <c r="C3276" i="1" s="1"/>
  <c r="C3275" i="1" s="1"/>
  <c r="C3274" i="1" s="1"/>
  <c r="C3273" i="1" s="1"/>
  <c r="C3272" i="1" s="1"/>
  <c r="C3271" i="1" s="1"/>
  <c r="C3270" i="1" s="1"/>
  <c r="C3269" i="1" s="1"/>
  <c r="C3268" i="1" s="1"/>
  <c r="C3267" i="1" s="1"/>
  <c r="C3266" i="1" s="1"/>
  <c r="C3265" i="1" s="1"/>
  <c r="C3264" i="1" s="1"/>
  <c r="C3263" i="1" s="1"/>
  <c r="C3262" i="1" s="1"/>
  <c r="C3261" i="1" s="1"/>
  <c r="C3260" i="1" s="1"/>
  <c r="C3259" i="1" s="1"/>
  <c r="C3258" i="1" s="1"/>
  <c r="C3257" i="1" s="1"/>
  <c r="C3256" i="1" s="1"/>
  <c r="C3255" i="1" s="1"/>
  <c r="C3254" i="1" s="1"/>
  <c r="C3253" i="1" s="1"/>
  <c r="C3252" i="1" s="1"/>
  <c r="C3251" i="1" s="1"/>
  <c r="C3250" i="1" s="1"/>
  <c r="C3249" i="1" s="1"/>
  <c r="C3248" i="1" s="1"/>
  <c r="C3247" i="1" s="1"/>
  <c r="C3246" i="1" s="1"/>
  <c r="C3245" i="1" s="1"/>
  <c r="C3244" i="1" s="1"/>
  <c r="C3243" i="1" s="1"/>
  <c r="C3242" i="1" s="1"/>
  <c r="C3241" i="1" s="1"/>
  <c r="C3240" i="1" s="1"/>
  <c r="C3239" i="1" s="1"/>
  <c r="C3238" i="1" s="1"/>
  <c r="C3237" i="1" s="1"/>
  <c r="C3236" i="1" s="1"/>
  <c r="C3235" i="1" s="1"/>
  <c r="C3234" i="1" s="1"/>
  <c r="C3233" i="1" s="1"/>
  <c r="C3232" i="1" s="1"/>
  <c r="C3231" i="1" s="1"/>
  <c r="C3230" i="1" s="1"/>
  <c r="C3229" i="1" s="1"/>
  <c r="C3228" i="1" s="1"/>
  <c r="C3227" i="1" s="1"/>
  <c r="C3226" i="1" s="1"/>
  <c r="C3225" i="1" s="1"/>
  <c r="C3224" i="1" s="1"/>
  <c r="C3223" i="1" s="1"/>
  <c r="C3222" i="1" s="1"/>
  <c r="C3221" i="1" s="1"/>
  <c r="C3220" i="1" s="1"/>
  <c r="C3219" i="1" s="1"/>
  <c r="C3218" i="1" s="1"/>
  <c r="C3217" i="1" s="1"/>
  <c r="C3216" i="1" s="1"/>
  <c r="C3215" i="1" s="1"/>
  <c r="C3214" i="1" s="1"/>
  <c r="C3213" i="1" s="1"/>
  <c r="C3212" i="1" s="1"/>
  <c r="C3211" i="1" s="1"/>
  <c r="C3210" i="1" s="1"/>
  <c r="C3209" i="1" s="1"/>
  <c r="C3208" i="1" s="1"/>
  <c r="C3207" i="1" s="1"/>
  <c r="C3206" i="1" s="1"/>
  <c r="C3205" i="1" s="1"/>
  <c r="C3204" i="1" s="1"/>
  <c r="C3203" i="1" s="1"/>
  <c r="C3202" i="1" s="1"/>
  <c r="C3201" i="1" s="1"/>
  <c r="C3200" i="1" s="1"/>
  <c r="C3199" i="1" s="1"/>
  <c r="C3198" i="1" s="1"/>
  <c r="C3197" i="1" s="1"/>
  <c r="C3196" i="1" s="1"/>
  <c r="C3195" i="1" s="1"/>
  <c r="C3194" i="1" s="1"/>
  <c r="C3193" i="1" s="1"/>
  <c r="C3192" i="1" s="1"/>
  <c r="C3191" i="1" s="1"/>
  <c r="C3190" i="1" s="1"/>
  <c r="C3189" i="1" s="1"/>
  <c r="C3188" i="1" s="1"/>
  <c r="C3187" i="1" s="1"/>
  <c r="C3186" i="1" s="1"/>
  <c r="C3185" i="1" s="1"/>
  <c r="C3184" i="1" s="1"/>
  <c r="C3183" i="1" s="1"/>
  <c r="C3182" i="1" s="1"/>
  <c r="C3181" i="1" s="1"/>
  <c r="C3180" i="1" s="1"/>
  <c r="C3179" i="1" s="1"/>
  <c r="C3178" i="1" s="1"/>
  <c r="C3177" i="1" s="1"/>
  <c r="C3176" i="1" s="1"/>
  <c r="C3175" i="1" s="1"/>
  <c r="C3174" i="1" s="1"/>
  <c r="C3173" i="1" s="1"/>
  <c r="C3172" i="1" s="1"/>
  <c r="C3171" i="1" s="1"/>
  <c r="C3170" i="1" s="1"/>
  <c r="C3169" i="1" s="1"/>
  <c r="C3168" i="1" s="1"/>
  <c r="C3167" i="1" s="1"/>
  <c r="C3166" i="1" s="1"/>
  <c r="C3165" i="1" s="1"/>
  <c r="C3164" i="1" s="1"/>
  <c r="C3163" i="1" s="1"/>
  <c r="C3162" i="1" s="1"/>
  <c r="C3161" i="1" s="1"/>
  <c r="C3160" i="1" s="1"/>
  <c r="C3159" i="1" s="1"/>
  <c r="C3158" i="1" s="1"/>
  <c r="C3157" i="1" s="1"/>
  <c r="C3156" i="1" s="1"/>
  <c r="C3155" i="1" s="1"/>
  <c r="C3154" i="1" s="1"/>
  <c r="C3153" i="1" s="1"/>
  <c r="C3152" i="1" s="1"/>
  <c r="C3151" i="1" s="1"/>
  <c r="C3150" i="1" s="1"/>
  <c r="C3149" i="1" s="1"/>
  <c r="C3148" i="1" s="1"/>
  <c r="C3147" i="1" s="1"/>
  <c r="C3146" i="1" s="1"/>
  <c r="C3145" i="1" s="1"/>
  <c r="C3144" i="1" s="1"/>
  <c r="C3143" i="1" s="1"/>
  <c r="C3142" i="1" s="1"/>
  <c r="C3141" i="1" s="1"/>
  <c r="C3140" i="1" s="1"/>
  <c r="C3139" i="1" s="1"/>
  <c r="C3138" i="1" s="1"/>
  <c r="C3137" i="1" s="1"/>
  <c r="C3136" i="1" s="1"/>
  <c r="C3135" i="1" s="1"/>
  <c r="C3134" i="1" s="1"/>
  <c r="C3133" i="1" s="1"/>
  <c r="C3132" i="1" s="1"/>
  <c r="C3131" i="1" s="1"/>
  <c r="C3130" i="1" s="1"/>
  <c r="C3129" i="1" s="1"/>
  <c r="C3128" i="1" s="1"/>
  <c r="C3127" i="1" s="1"/>
  <c r="C3126" i="1" s="1"/>
  <c r="C3125" i="1" s="1"/>
  <c r="C3124" i="1" s="1"/>
  <c r="C3123" i="1" s="1"/>
  <c r="C3122" i="1" s="1"/>
  <c r="C3121" i="1" s="1"/>
  <c r="C3120" i="1" s="1"/>
  <c r="C3119" i="1" s="1"/>
  <c r="C3118" i="1" s="1"/>
  <c r="C3117" i="1" s="1"/>
  <c r="C3116" i="1" s="1"/>
  <c r="C3115" i="1" s="1"/>
  <c r="C3114" i="1" s="1"/>
  <c r="C3113" i="1" s="1"/>
  <c r="C3112" i="1" s="1"/>
  <c r="C3111" i="1" s="1"/>
  <c r="C3110" i="1" s="1"/>
  <c r="C3109" i="1" s="1"/>
  <c r="C3108" i="1" s="1"/>
  <c r="C3107" i="1" s="1"/>
  <c r="C3106" i="1" s="1"/>
  <c r="C3105" i="1" s="1"/>
  <c r="C3104" i="1" s="1"/>
  <c r="C3103" i="1" s="1"/>
  <c r="C3102" i="1" s="1"/>
  <c r="C3101" i="1" s="1"/>
  <c r="C3100" i="1" s="1"/>
  <c r="C3099" i="1" s="1"/>
  <c r="C3098" i="1" s="1"/>
  <c r="C3097" i="1" s="1"/>
  <c r="C3096" i="1" s="1"/>
  <c r="C3095" i="1" s="1"/>
  <c r="C3094" i="1" s="1"/>
  <c r="C3093" i="1" s="1"/>
  <c r="C3092" i="1" s="1"/>
  <c r="C3091" i="1" s="1"/>
  <c r="C3090" i="1" s="1"/>
  <c r="C3089" i="1" s="1"/>
  <c r="C3088" i="1" s="1"/>
  <c r="C3087" i="1" s="1"/>
  <c r="C3086" i="1" s="1"/>
  <c r="C3085" i="1" s="1"/>
  <c r="C3084" i="1" s="1"/>
  <c r="C3083" i="1" s="1"/>
  <c r="C3082" i="1" s="1"/>
  <c r="C3081" i="1" s="1"/>
  <c r="C3080" i="1" s="1"/>
  <c r="C3079" i="1" s="1"/>
  <c r="C3078" i="1" s="1"/>
  <c r="C3077" i="1" s="1"/>
  <c r="C3076" i="1" s="1"/>
  <c r="C3075" i="1" s="1"/>
  <c r="C3074" i="1" s="1"/>
  <c r="C3073" i="1" s="1"/>
  <c r="C3072" i="1" s="1"/>
  <c r="C3071" i="1" s="1"/>
  <c r="C3070" i="1" s="1"/>
  <c r="C3069" i="1" s="1"/>
  <c r="C3068" i="1" s="1"/>
  <c r="C3067" i="1" s="1"/>
  <c r="C3066" i="1" s="1"/>
  <c r="C3065" i="1" s="1"/>
  <c r="C3064" i="1" s="1"/>
  <c r="C3063" i="1" s="1"/>
  <c r="C3062" i="1" s="1"/>
  <c r="C3061" i="1" s="1"/>
  <c r="C3060" i="1" s="1"/>
  <c r="C3059" i="1" s="1"/>
  <c r="C3058" i="1" s="1"/>
  <c r="C3057" i="1" s="1"/>
  <c r="C3056" i="1" s="1"/>
  <c r="C3055" i="1" s="1"/>
  <c r="C3054" i="1" s="1"/>
  <c r="C3053" i="1" s="1"/>
  <c r="C3052" i="1" s="1"/>
  <c r="C3051" i="1" s="1"/>
  <c r="C3050" i="1" s="1"/>
  <c r="C3049" i="1" s="1"/>
  <c r="C3048" i="1" s="1"/>
  <c r="C3047" i="1" s="1"/>
  <c r="C3046" i="1" s="1"/>
  <c r="C3045" i="1" s="1"/>
  <c r="C3044" i="1" s="1"/>
  <c r="C3043" i="1" s="1"/>
  <c r="C3042" i="1" s="1"/>
  <c r="C3041" i="1" s="1"/>
  <c r="C3040" i="1" s="1"/>
  <c r="C3039" i="1" s="1"/>
  <c r="C3038" i="1" s="1"/>
  <c r="C3037" i="1" s="1"/>
  <c r="C3036" i="1" s="1"/>
  <c r="C3035" i="1" s="1"/>
  <c r="C3034" i="1" s="1"/>
  <c r="C3033" i="1" s="1"/>
  <c r="C3032" i="1" s="1"/>
  <c r="C3031" i="1" s="1"/>
  <c r="C3030" i="1" s="1"/>
  <c r="C3029" i="1" s="1"/>
  <c r="C3028" i="1" s="1"/>
  <c r="C3027" i="1" s="1"/>
  <c r="C3026" i="1" s="1"/>
  <c r="C3025" i="1" s="1"/>
  <c r="C3024" i="1" s="1"/>
  <c r="C3023" i="1" s="1"/>
  <c r="C3022" i="1" s="1"/>
  <c r="C3021" i="1" s="1"/>
  <c r="C3020" i="1" s="1"/>
  <c r="C3019" i="1" s="1"/>
  <c r="C3018" i="1" s="1"/>
  <c r="C3017" i="1" s="1"/>
  <c r="C3016" i="1" s="1"/>
  <c r="C3015" i="1" s="1"/>
  <c r="C3014" i="1" s="1"/>
  <c r="C3013" i="1" s="1"/>
  <c r="C3012" i="1" s="1"/>
  <c r="C3011" i="1" s="1"/>
  <c r="C3010" i="1" s="1"/>
  <c r="C3009" i="1" s="1"/>
  <c r="C3008" i="1" s="1"/>
  <c r="C3007" i="1" s="1"/>
  <c r="C3006" i="1" s="1"/>
  <c r="C3005" i="1" s="1"/>
  <c r="C3004" i="1" s="1"/>
  <c r="C3003" i="1" s="1"/>
  <c r="C3002" i="1" s="1"/>
  <c r="C3001" i="1" s="1"/>
  <c r="C3000" i="1" s="1"/>
  <c r="C2999" i="1" s="1"/>
  <c r="C2998" i="1" s="1"/>
  <c r="C2997" i="1" s="1"/>
  <c r="C2996" i="1" s="1"/>
  <c r="C2995" i="1" s="1"/>
  <c r="C2994" i="1" s="1"/>
  <c r="C2993" i="1" s="1"/>
  <c r="C2992" i="1" s="1"/>
  <c r="C2991" i="1" s="1"/>
  <c r="C2990" i="1" s="1"/>
  <c r="C2989" i="1" s="1"/>
  <c r="C2988" i="1" s="1"/>
  <c r="C2987" i="1" s="1"/>
  <c r="C2986" i="1" s="1"/>
  <c r="C2985" i="1" s="1"/>
  <c r="C2984" i="1" s="1"/>
  <c r="C2983" i="1" s="1"/>
  <c r="C2982" i="1" s="1"/>
  <c r="C2981" i="1" s="1"/>
  <c r="C2980" i="1" s="1"/>
  <c r="C2979" i="1" s="1"/>
  <c r="C2978" i="1" s="1"/>
  <c r="C2977" i="1" s="1"/>
  <c r="C2976" i="1" s="1"/>
  <c r="C2975" i="1" s="1"/>
  <c r="C2974" i="1" s="1"/>
  <c r="C2973" i="1" s="1"/>
  <c r="C2972" i="1" s="1"/>
  <c r="C2971" i="1" s="1"/>
  <c r="C2970" i="1" s="1"/>
  <c r="C2969" i="1" s="1"/>
  <c r="C2968" i="1" s="1"/>
  <c r="C2967" i="1" s="1"/>
  <c r="C2966" i="1" s="1"/>
  <c r="C2965" i="1" s="1"/>
  <c r="C2964" i="1" s="1"/>
  <c r="C2963" i="1" s="1"/>
  <c r="C2962" i="1" s="1"/>
  <c r="C2961" i="1" s="1"/>
  <c r="C2960" i="1" s="1"/>
  <c r="C2959" i="1" s="1"/>
  <c r="C2958" i="1" s="1"/>
  <c r="C2957" i="1" s="1"/>
  <c r="C2956" i="1" s="1"/>
  <c r="C2955" i="1" s="1"/>
  <c r="C2954" i="1" s="1"/>
  <c r="C2953" i="1" s="1"/>
  <c r="C2952" i="1" s="1"/>
  <c r="C2951" i="1" s="1"/>
  <c r="C2950" i="1" s="1"/>
  <c r="C2949" i="1" s="1"/>
  <c r="C2948" i="1" s="1"/>
  <c r="C2947" i="1" s="1"/>
  <c r="C2946" i="1" s="1"/>
  <c r="C2945" i="1" s="1"/>
  <c r="C2944" i="1" s="1"/>
  <c r="C2943" i="1" s="1"/>
  <c r="C2942" i="1" s="1"/>
  <c r="C2941" i="1" s="1"/>
  <c r="C2940" i="1" s="1"/>
  <c r="C2939" i="1" s="1"/>
  <c r="C2938" i="1" s="1"/>
  <c r="C2937" i="1" s="1"/>
  <c r="C2936" i="1" s="1"/>
  <c r="C2935" i="1" s="1"/>
  <c r="C2934" i="1" s="1"/>
  <c r="C2933" i="1" s="1"/>
  <c r="C2932" i="1" s="1"/>
  <c r="C2931" i="1" s="1"/>
  <c r="C2930" i="1" s="1"/>
  <c r="C2929" i="1" s="1"/>
  <c r="C2928" i="1" s="1"/>
  <c r="C2927" i="1" s="1"/>
  <c r="C2926" i="1" s="1"/>
  <c r="C2925" i="1" s="1"/>
  <c r="C2924" i="1" s="1"/>
  <c r="C2923" i="1" s="1"/>
  <c r="C2922" i="1" s="1"/>
  <c r="C2921" i="1" s="1"/>
  <c r="C2920" i="1" s="1"/>
  <c r="C2919" i="1" s="1"/>
  <c r="C2918" i="1" s="1"/>
  <c r="C2917" i="1" s="1"/>
  <c r="C2916" i="1" s="1"/>
  <c r="C2915" i="1" s="1"/>
  <c r="C2914" i="1" s="1"/>
  <c r="C2913" i="1" s="1"/>
  <c r="C2912" i="1" s="1"/>
  <c r="C2911" i="1" s="1"/>
  <c r="C2910" i="1" s="1"/>
  <c r="C2909" i="1" s="1"/>
  <c r="C2908" i="1" s="1"/>
  <c r="C2907" i="1" s="1"/>
  <c r="C2906" i="1" s="1"/>
  <c r="C2905" i="1" s="1"/>
  <c r="C2904" i="1" s="1"/>
  <c r="C2903" i="1" s="1"/>
  <c r="C2902" i="1" s="1"/>
  <c r="C2901" i="1" s="1"/>
  <c r="C2900" i="1" s="1"/>
  <c r="C2899" i="1" s="1"/>
  <c r="C2898" i="1" s="1"/>
  <c r="C2897" i="1" s="1"/>
  <c r="C2896" i="1" s="1"/>
  <c r="C2895" i="1" s="1"/>
  <c r="C2894" i="1" s="1"/>
  <c r="C2893" i="1" s="1"/>
  <c r="C2892" i="1" s="1"/>
  <c r="C2891" i="1" s="1"/>
  <c r="C2890" i="1" s="1"/>
  <c r="C2889" i="1" s="1"/>
  <c r="C2888" i="1" s="1"/>
  <c r="C2887" i="1" s="1"/>
  <c r="C2886" i="1" s="1"/>
  <c r="C2885" i="1" s="1"/>
  <c r="C2884" i="1" s="1"/>
  <c r="C2883" i="1" s="1"/>
  <c r="C2882" i="1" s="1"/>
  <c r="C2881" i="1" s="1"/>
  <c r="C2880" i="1" s="1"/>
  <c r="C2879" i="1" s="1"/>
  <c r="C2878" i="1" s="1"/>
  <c r="C2877" i="1" s="1"/>
  <c r="C2876" i="1" s="1"/>
  <c r="C2875" i="1" s="1"/>
  <c r="C2874" i="1" s="1"/>
  <c r="C2873" i="1" s="1"/>
  <c r="C2872" i="1" s="1"/>
  <c r="C2871" i="1" s="1"/>
  <c r="C2870" i="1" s="1"/>
  <c r="C2869" i="1" s="1"/>
  <c r="C2868" i="1" s="1"/>
  <c r="C2867" i="1" s="1"/>
  <c r="C2866" i="1" s="1"/>
  <c r="C2865" i="1" s="1"/>
  <c r="C2864" i="1" s="1"/>
  <c r="C2863" i="1" s="1"/>
  <c r="C2862" i="1" s="1"/>
  <c r="C2861" i="1" s="1"/>
  <c r="C2860" i="1" s="1"/>
  <c r="C2859" i="1" s="1"/>
  <c r="C2858" i="1" s="1"/>
  <c r="C2857" i="1" s="1"/>
  <c r="C2856" i="1" s="1"/>
  <c r="C2855" i="1" s="1"/>
  <c r="C2854" i="1" s="1"/>
  <c r="C2853" i="1" s="1"/>
  <c r="C2852" i="1" s="1"/>
  <c r="C2851" i="1" s="1"/>
  <c r="C2850" i="1" s="1"/>
  <c r="C2849" i="1" s="1"/>
  <c r="C2848" i="1" s="1"/>
  <c r="C2847" i="1" s="1"/>
  <c r="C2846" i="1" s="1"/>
  <c r="C2845" i="1" s="1"/>
  <c r="C2844" i="1" s="1"/>
  <c r="C2843" i="1" s="1"/>
  <c r="C2842" i="1" s="1"/>
  <c r="C2841" i="1" s="1"/>
  <c r="C2840" i="1" s="1"/>
  <c r="C2839" i="1" s="1"/>
  <c r="C2838" i="1" s="1"/>
  <c r="C2837" i="1" s="1"/>
  <c r="C2836" i="1" s="1"/>
  <c r="C2835" i="1" s="1"/>
  <c r="C2834" i="1" s="1"/>
  <c r="C2833" i="1" s="1"/>
  <c r="C2832" i="1" s="1"/>
  <c r="C2831" i="1" s="1"/>
  <c r="C2830" i="1" s="1"/>
  <c r="C2829" i="1" s="1"/>
  <c r="C2828" i="1" s="1"/>
  <c r="C2827" i="1" s="1"/>
  <c r="C2826" i="1" s="1"/>
  <c r="C2825" i="1" s="1"/>
  <c r="C2824" i="1" s="1"/>
  <c r="C2823" i="1" s="1"/>
  <c r="C2822" i="1" s="1"/>
  <c r="C2821" i="1" s="1"/>
  <c r="C2820" i="1" s="1"/>
  <c r="C2819" i="1" s="1"/>
  <c r="C2818" i="1" s="1"/>
  <c r="C2817" i="1" s="1"/>
  <c r="C2816" i="1" s="1"/>
  <c r="C2815" i="1" s="1"/>
  <c r="C2814" i="1" s="1"/>
  <c r="C2813" i="1" s="1"/>
  <c r="C2812" i="1" s="1"/>
  <c r="C2811" i="1" s="1"/>
  <c r="C2810" i="1" s="1"/>
  <c r="C2809" i="1" s="1"/>
  <c r="C2808" i="1" s="1"/>
  <c r="C2807" i="1" s="1"/>
  <c r="C2806" i="1" s="1"/>
  <c r="C2805" i="1" s="1"/>
  <c r="C2804" i="1" s="1"/>
  <c r="C2803" i="1" s="1"/>
  <c r="C2802" i="1" s="1"/>
  <c r="C2801" i="1" s="1"/>
  <c r="C2800" i="1" s="1"/>
  <c r="C2799" i="1" s="1"/>
  <c r="C2798" i="1" s="1"/>
  <c r="C2797" i="1" s="1"/>
  <c r="C2796" i="1" s="1"/>
  <c r="C2795" i="1" s="1"/>
  <c r="C2794" i="1" s="1"/>
  <c r="C2793" i="1" s="1"/>
  <c r="C2792" i="1" s="1"/>
  <c r="C2791" i="1" s="1"/>
  <c r="C2790" i="1" s="1"/>
  <c r="C2789" i="1" s="1"/>
  <c r="C2788" i="1" s="1"/>
  <c r="C2787" i="1" s="1"/>
  <c r="C2786" i="1" s="1"/>
  <c r="C2785" i="1" s="1"/>
  <c r="C2784" i="1" s="1"/>
  <c r="C2783" i="1" s="1"/>
  <c r="C2782" i="1" s="1"/>
  <c r="C2781" i="1" s="1"/>
  <c r="C2780" i="1" s="1"/>
  <c r="C2779" i="1" s="1"/>
  <c r="C2778" i="1" s="1"/>
  <c r="C2777" i="1" s="1"/>
  <c r="C2776" i="1" s="1"/>
  <c r="C2775" i="1" s="1"/>
  <c r="C2774" i="1" s="1"/>
  <c r="C2773" i="1" s="1"/>
  <c r="C2772" i="1" s="1"/>
  <c r="C2771" i="1" s="1"/>
  <c r="C2770" i="1" s="1"/>
  <c r="C2769" i="1" s="1"/>
  <c r="C2768" i="1" s="1"/>
  <c r="C2767" i="1" s="1"/>
  <c r="C2766" i="1" s="1"/>
  <c r="C2765" i="1" s="1"/>
  <c r="C2764" i="1" s="1"/>
  <c r="C2763" i="1" s="1"/>
  <c r="C2762" i="1" s="1"/>
  <c r="C2761" i="1" s="1"/>
  <c r="C2760" i="1" s="1"/>
  <c r="C2759" i="1" s="1"/>
  <c r="C2758" i="1" s="1"/>
  <c r="C2757" i="1" s="1"/>
  <c r="C2756" i="1" s="1"/>
  <c r="C2755" i="1" s="1"/>
  <c r="C2754" i="1" s="1"/>
  <c r="C2753" i="1" s="1"/>
  <c r="C2752" i="1" s="1"/>
  <c r="C2751" i="1" s="1"/>
  <c r="C2750" i="1" s="1"/>
  <c r="C2749" i="1" s="1"/>
  <c r="C2748" i="1" s="1"/>
  <c r="C2747" i="1" s="1"/>
  <c r="C2746" i="1" s="1"/>
  <c r="C2745" i="1" s="1"/>
  <c r="C2744" i="1" s="1"/>
  <c r="C2743" i="1" s="1"/>
  <c r="C2742" i="1" s="1"/>
  <c r="C2741" i="1" s="1"/>
  <c r="C2740" i="1" s="1"/>
  <c r="C2739" i="1" s="1"/>
  <c r="C2738" i="1" s="1"/>
  <c r="C2737" i="1" s="1"/>
  <c r="C2736" i="1" s="1"/>
  <c r="C2735" i="1" s="1"/>
  <c r="C2734" i="1" s="1"/>
  <c r="C2733" i="1" s="1"/>
  <c r="C2732" i="1" s="1"/>
  <c r="C2731" i="1" s="1"/>
  <c r="C2730" i="1" s="1"/>
  <c r="C2729" i="1" s="1"/>
  <c r="C2728" i="1" s="1"/>
  <c r="C2727" i="1" s="1"/>
  <c r="C2726" i="1" s="1"/>
  <c r="C2725" i="1" s="1"/>
  <c r="C2724" i="1" s="1"/>
  <c r="C2723" i="1" s="1"/>
  <c r="C2722" i="1" s="1"/>
  <c r="C2721" i="1" s="1"/>
  <c r="C2720" i="1" s="1"/>
  <c r="C2719" i="1" s="1"/>
  <c r="C2718" i="1" s="1"/>
  <c r="C2717" i="1" s="1"/>
  <c r="C2716" i="1" s="1"/>
  <c r="C2715" i="1" s="1"/>
  <c r="C2714" i="1" s="1"/>
  <c r="C2713" i="1" s="1"/>
  <c r="C2712" i="1" s="1"/>
  <c r="C2711" i="1" s="1"/>
  <c r="C2710" i="1" s="1"/>
  <c r="C2709" i="1" s="1"/>
  <c r="C2708" i="1" s="1"/>
  <c r="C2707" i="1" s="1"/>
  <c r="C2706" i="1" s="1"/>
  <c r="C2705" i="1" s="1"/>
  <c r="C2704" i="1" s="1"/>
  <c r="C2703" i="1" s="1"/>
  <c r="C2702" i="1" s="1"/>
  <c r="C2701" i="1" s="1"/>
  <c r="C2700" i="1" s="1"/>
  <c r="C2699" i="1" s="1"/>
  <c r="C2698" i="1" s="1"/>
  <c r="C2697" i="1" s="1"/>
  <c r="C2696" i="1" s="1"/>
  <c r="C2695" i="1" s="1"/>
  <c r="C2694" i="1" s="1"/>
  <c r="C2693" i="1" s="1"/>
  <c r="C2692" i="1" s="1"/>
  <c r="C2691" i="1" s="1"/>
  <c r="C2690" i="1" s="1"/>
  <c r="C2689" i="1" s="1"/>
  <c r="C2688" i="1" s="1"/>
  <c r="C2687" i="1" s="1"/>
  <c r="C2686" i="1" s="1"/>
  <c r="C2685" i="1" s="1"/>
  <c r="C2684" i="1" s="1"/>
  <c r="C2683" i="1" s="1"/>
  <c r="C2682" i="1" s="1"/>
  <c r="C2681" i="1" s="1"/>
  <c r="C2680" i="1" s="1"/>
  <c r="C2679" i="1" s="1"/>
  <c r="C2678" i="1" s="1"/>
  <c r="C2677" i="1" s="1"/>
  <c r="C2676" i="1" s="1"/>
  <c r="C2675" i="1" s="1"/>
  <c r="C2674" i="1" s="1"/>
  <c r="C2673" i="1" s="1"/>
  <c r="C2672" i="1" s="1"/>
  <c r="C2671" i="1" s="1"/>
  <c r="C2670" i="1" s="1"/>
  <c r="C2669" i="1" s="1"/>
  <c r="C2668" i="1" s="1"/>
  <c r="C2667" i="1" s="1"/>
  <c r="C2666" i="1" s="1"/>
  <c r="C2665" i="1" s="1"/>
  <c r="C2664" i="1" s="1"/>
  <c r="C2663" i="1" s="1"/>
  <c r="C2662" i="1" s="1"/>
  <c r="C2661" i="1" s="1"/>
  <c r="C2660" i="1" s="1"/>
  <c r="C2659" i="1" s="1"/>
  <c r="C2658" i="1" s="1"/>
  <c r="C2657" i="1" s="1"/>
  <c r="C2656" i="1" s="1"/>
  <c r="C2655" i="1" s="1"/>
  <c r="C2654" i="1" s="1"/>
  <c r="C2653" i="1" s="1"/>
  <c r="C2652" i="1" s="1"/>
  <c r="C2651" i="1" s="1"/>
  <c r="C2650" i="1" s="1"/>
  <c r="C2649" i="1" s="1"/>
  <c r="C2648" i="1" s="1"/>
  <c r="C2647" i="1" s="1"/>
  <c r="C2646" i="1" s="1"/>
  <c r="C2645" i="1" s="1"/>
  <c r="C2644" i="1" s="1"/>
  <c r="C2643" i="1" s="1"/>
  <c r="C2642" i="1" s="1"/>
  <c r="C2641" i="1" s="1"/>
  <c r="C2640" i="1" s="1"/>
  <c r="C2639" i="1" s="1"/>
  <c r="C2638" i="1" s="1"/>
  <c r="C2637" i="1" s="1"/>
  <c r="C2636" i="1" s="1"/>
  <c r="C2635" i="1" s="1"/>
  <c r="C2634" i="1" s="1"/>
  <c r="C2633" i="1" s="1"/>
  <c r="C2632" i="1" s="1"/>
  <c r="C2631" i="1" s="1"/>
  <c r="C2630" i="1" s="1"/>
  <c r="C2629" i="1" s="1"/>
  <c r="C2628" i="1" s="1"/>
  <c r="C2627" i="1" s="1"/>
  <c r="C2626" i="1" s="1"/>
  <c r="C2625" i="1" s="1"/>
  <c r="C2624" i="1" s="1"/>
  <c r="C2623" i="1" s="1"/>
  <c r="C2622" i="1" s="1"/>
  <c r="C2621" i="1" s="1"/>
  <c r="C2620" i="1" s="1"/>
  <c r="C2619" i="1" s="1"/>
  <c r="C2618" i="1" s="1"/>
  <c r="C2617" i="1" s="1"/>
  <c r="C2616" i="1" s="1"/>
  <c r="C2615" i="1" s="1"/>
  <c r="C2614" i="1" s="1"/>
  <c r="C2613" i="1" s="1"/>
  <c r="C2612" i="1" s="1"/>
  <c r="C2611" i="1" s="1"/>
  <c r="C2610" i="1" s="1"/>
  <c r="C2609" i="1" s="1"/>
  <c r="C2608" i="1" s="1"/>
  <c r="C2607" i="1" s="1"/>
  <c r="C2606" i="1" s="1"/>
  <c r="C2605" i="1" s="1"/>
  <c r="C2604" i="1" s="1"/>
  <c r="C2603" i="1" s="1"/>
  <c r="C2602" i="1" s="1"/>
  <c r="C2601" i="1" s="1"/>
  <c r="C2600" i="1" s="1"/>
  <c r="C2599" i="1" s="1"/>
  <c r="C2598" i="1" s="1"/>
  <c r="C2597" i="1" s="1"/>
  <c r="C2596" i="1" s="1"/>
  <c r="C2595" i="1" s="1"/>
  <c r="C2594" i="1" s="1"/>
  <c r="C2593" i="1" s="1"/>
  <c r="C2592" i="1" s="1"/>
  <c r="C2591" i="1" s="1"/>
  <c r="C2590" i="1" s="1"/>
  <c r="C2589" i="1" s="1"/>
  <c r="C2588" i="1" s="1"/>
  <c r="C2587" i="1" s="1"/>
  <c r="C2586" i="1" s="1"/>
  <c r="C2585" i="1" s="1"/>
  <c r="C2584" i="1" s="1"/>
  <c r="C2583" i="1" s="1"/>
  <c r="C2582" i="1" s="1"/>
  <c r="C2581" i="1" s="1"/>
  <c r="C2580" i="1" s="1"/>
  <c r="C2579" i="1" s="1"/>
  <c r="C2578" i="1" s="1"/>
  <c r="C2577" i="1" s="1"/>
  <c r="C2576" i="1" s="1"/>
  <c r="C2575" i="1" s="1"/>
  <c r="C2574" i="1" s="1"/>
  <c r="C2573" i="1" s="1"/>
  <c r="C2572" i="1" s="1"/>
  <c r="C2571" i="1" s="1"/>
  <c r="C2570" i="1" s="1"/>
  <c r="C2569" i="1" s="1"/>
  <c r="C2568" i="1" s="1"/>
  <c r="C2567" i="1" s="1"/>
  <c r="C2566" i="1" s="1"/>
  <c r="C2565" i="1" s="1"/>
  <c r="C2564" i="1" s="1"/>
  <c r="C2563" i="1" s="1"/>
  <c r="C2562" i="1" s="1"/>
  <c r="C2561" i="1" s="1"/>
  <c r="C2560" i="1" s="1"/>
  <c r="C2559" i="1" s="1"/>
  <c r="C2558" i="1" s="1"/>
  <c r="C2557" i="1" s="1"/>
  <c r="C2556" i="1" s="1"/>
  <c r="C2555" i="1" s="1"/>
  <c r="C2554" i="1" s="1"/>
  <c r="C2553" i="1" s="1"/>
  <c r="C2552" i="1" s="1"/>
  <c r="C2551" i="1" s="1"/>
  <c r="C2550" i="1" s="1"/>
  <c r="C2549" i="1" s="1"/>
  <c r="C2548" i="1" s="1"/>
  <c r="C2547" i="1" s="1"/>
  <c r="C2546" i="1" s="1"/>
  <c r="C2545" i="1" s="1"/>
  <c r="C2544" i="1" s="1"/>
  <c r="C2543" i="1" s="1"/>
  <c r="C2542" i="1" s="1"/>
  <c r="C2541" i="1" s="1"/>
  <c r="C2540" i="1" s="1"/>
  <c r="C2539" i="1" s="1"/>
  <c r="C2538" i="1" s="1"/>
  <c r="C2537" i="1" s="1"/>
  <c r="C2536" i="1" s="1"/>
  <c r="C2535" i="1" s="1"/>
  <c r="C2534" i="1" s="1"/>
  <c r="C2533" i="1" s="1"/>
  <c r="C2532" i="1" s="1"/>
  <c r="C2531" i="1" s="1"/>
  <c r="C2530" i="1" s="1"/>
  <c r="C2529" i="1" s="1"/>
  <c r="C2528" i="1" s="1"/>
  <c r="C2527" i="1" s="1"/>
  <c r="C2526" i="1" s="1"/>
  <c r="C2525" i="1" s="1"/>
  <c r="C2524" i="1" s="1"/>
  <c r="C2523" i="1" s="1"/>
  <c r="C2522" i="1" s="1"/>
  <c r="C2521" i="1" s="1"/>
  <c r="C2520" i="1" s="1"/>
  <c r="C2519" i="1" s="1"/>
  <c r="C2518" i="1" s="1"/>
  <c r="C2517" i="1" s="1"/>
  <c r="C2516" i="1" s="1"/>
  <c r="C2515" i="1" s="1"/>
  <c r="C2514" i="1" s="1"/>
  <c r="C2513" i="1" s="1"/>
  <c r="C2512" i="1" s="1"/>
  <c r="C2511" i="1" s="1"/>
  <c r="C2510" i="1" s="1"/>
  <c r="C2509" i="1" s="1"/>
  <c r="C2508" i="1" s="1"/>
  <c r="C2507" i="1" s="1"/>
  <c r="C2506" i="1" s="1"/>
  <c r="C2505" i="1" s="1"/>
  <c r="C2504" i="1" s="1"/>
  <c r="C2503" i="1" s="1"/>
  <c r="C2502" i="1" s="1"/>
  <c r="C2501" i="1" s="1"/>
  <c r="C2500" i="1" s="1"/>
  <c r="C2499" i="1" s="1"/>
  <c r="C2498" i="1" s="1"/>
  <c r="C2497" i="1" s="1"/>
  <c r="C2496" i="1" s="1"/>
  <c r="C2495" i="1" s="1"/>
  <c r="C2494" i="1" s="1"/>
  <c r="C2493" i="1" s="1"/>
  <c r="C2492" i="1" s="1"/>
  <c r="C2491" i="1" s="1"/>
  <c r="C2490" i="1" s="1"/>
  <c r="C2489" i="1" s="1"/>
  <c r="C2488" i="1" s="1"/>
  <c r="C2487" i="1" s="1"/>
  <c r="C2486" i="1" s="1"/>
  <c r="C2485" i="1" s="1"/>
  <c r="C2484" i="1" s="1"/>
  <c r="C2483" i="1" s="1"/>
  <c r="C2482" i="1" s="1"/>
  <c r="C2481" i="1" s="1"/>
  <c r="C2480" i="1" s="1"/>
  <c r="C2479" i="1" s="1"/>
  <c r="C2478" i="1" s="1"/>
  <c r="C2477" i="1" s="1"/>
  <c r="C2476" i="1" s="1"/>
  <c r="C2475" i="1" s="1"/>
  <c r="C2474" i="1" s="1"/>
  <c r="C2473" i="1" s="1"/>
  <c r="C2472" i="1" s="1"/>
  <c r="C2471" i="1" s="1"/>
  <c r="C2470" i="1" s="1"/>
  <c r="C2469" i="1" s="1"/>
  <c r="C2468" i="1" s="1"/>
  <c r="C2467" i="1" s="1"/>
  <c r="C2466" i="1" s="1"/>
  <c r="C2465" i="1" s="1"/>
  <c r="C2464" i="1" s="1"/>
  <c r="C2463" i="1" s="1"/>
  <c r="C2462" i="1" s="1"/>
  <c r="C2461" i="1" s="1"/>
  <c r="C2460" i="1" s="1"/>
  <c r="C2459" i="1" s="1"/>
  <c r="C2458" i="1" s="1"/>
  <c r="C2457" i="1" s="1"/>
  <c r="C2456" i="1" s="1"/>
  <c r="C2455" i="1" s="1"/>
  <c r="C2454" i="1" s="1"/>
  <c r="C2453" i="1" s="1"/>
  <c r="C2452" i="1" s="1"/>
  <c r="C2451" i="1" s="1"/>
  <c r="C2450" i="1" s="1"/>
  <c r="C2449" i="1" s="1"/>
  <c r="C2448" i="1" s="1"/>
  <c r="C2447" i="1" s="1"/>
  <c r="C2446" i="1" s="1"/>
  <c r="C2445" i="1" s="1"/>
  <c r="C2444" i="1" s="1"/>
  <c r="C2443" i="1" s="1"/>
  <c r="C2442" i="1" s="1"/>
  <c r="C2441" i="1" s="1"/>
  <c r="C2440" i="1" s="1"/>
  <c r="C2439" i="1" s="1"/>
  <c r="C2438" i="1" s="1"/>
  <c r="C2437" i="1" s="1"/>
  <c r="C2436" i="1" s="1"/>
  <c r="C2435" i="1" s="1"/>
  <c r="C2434" i="1" s="1"/>
  <c r="C2433" i="1" s="1"/>
  <c r="C2432" i="1" s="1"/>
  <c r="C2431" i="1" s="1"/>
  <c r="C2430" i="1" s="1"/>
  <c r="C2429" i="1" s="1"/>
  <c r="C2428" i="1" s="1"/>
  <c r="C2427" i="1" s="1"/>
  <c r="C2426" i="1" s="1"/>
  <c r="C2425" i="1" s="1"/>
  <c r="C2424" i="1" s="1"/>
  <c r="C2423" i="1" s="1"/>
  <c r="C2422" i="1" s="1"/>
  <c r="C2421" i="1" s="1"/>
  <c r="C2420" i="1" s="1"/>
  <c r="C2419" i="1" s="1"/>
  <c r="C2418" i="1" s="1"/>
  <c r="C2417" i="1" s="1"/>
  <c r="C2416" i="1" s="1"/>
  <c r="C2415" i="1" s="1"/>
  <c r="C2414" i="1" s="1"/>
  <c r="C2413" i="1" s="1"/>
  <c r="C2412" i="1" s="1"/>
  <c r="C2411" i="1" s="1"/>
  <c r="C2410" i="1" s="1"/>
  <c r="C2409" i="1" s="1"/>
  <c r="C2408" i="1" s="1"/>
  <c r="C2407" i="1" s="1"/>
  <c r="C2406" i="1" s="1"/>
  <c r="C2405" i="1" s="1"/>
  <c r="C2404" i="1" s="1"/>
  <c r="C2403" i="1" s="1"/>
  <c r="C2402" i="1" s="1"/>
  <c r="C2401" i="1" s="1"/>
  <c r="C2400" i="1" s="1"/>
  <c r="C2399" i="1" s="1"/>
  <c r="C2398" i="1" s="1"/>
  <c r="C2397" i="1" s="1"/>
  <c r="C2396" i="1" s="1"/>
  <c r="C2395" i="1" s="1"/>
  <c r="C2394" i="1" s="1"/>
  <c r="C2393" i="1" s="1"/>
  <c r="C2392" i="1" s="1"/>
  <c r="C2391" i="1" s="1"/>
  <c r="C2390" i="1" s="1"/>
  <c r="C2389" i="1" s="1"/>
  <c r="C2388" i="1" s="1"/>
  <c r="C2387" i="1" s="1"/>
  <c r="C2386" i="1" s="1"/>
  <c r="C2385" i="1" s="1"/>
  <c r="C2384" i="1" s="1"/>
  <c r="C2383" i="1" s="1"/>
  <c r="C2382" i="1" s="1"/>
  <c r="C2381" i="1" s="1"/>
  <c r="C2380" i="1" s="1"/>
  <c r="C2379" i="1" s="1"/>
  <c r="C2378" i="1" s="1"/>
  <c r="C2377" i="1" s="1"/>
  <c r="C2376" i="1" s="1"/>
  <c r="C2375" i="1" s="1"/>
  <c r="C2374" i="1" s="1"/>
  <c r="C2373" i="1" s="1"/>
  <c r="C2372" i="1" s="1"/>
  <c r="C2371" i="1" s="1"/>
  <c r="C2370" i="1" s="1"/>
  <c r="C2369" i="1" s="1"/>
  <c r="C2368" i="1" s="1"/>
  <c r="C2367" i="1" s="1"/>
  <c r="C2366" i="1" s="1"/>
  <c r="C2365" i="1" s="1"/>
  <c r="C2364" i="1" s="1"/>
  <c r="C2363" i="1" s="1"/>
  <c r="C2362" i="1" s="1"/>
  <c r="C2361" i="1" s="1"/>
  <c r="C2360" i="1" s="1"/>
  <c r="C2359" i="1" s="1"/>
  <c r="C2358" i="1" s="1"/>
  <c r="C2357" i="1" s="1"/>
  <c r="C2356" i="1" s="1"/>
  <c r="C2355" i="1" s="1"/>
  <c r="C2354" i="1" s="1"/>
  <c r="C2353" i="1" s="1"/>
  <c r="C2352" i="1" s="1"/>
  <c r="C2351" i="1" s="1"/>
  <c r="C2350" i="1" s="1"/>
  <c r="C2349" i="1" s="1"/>
  <c r="C2348" i="1" s="1"/>
  <c r="C2347" i="1" s="1"/>
  <c r="C2346" i="1" s="1"/>
  <c r="C2345" i="1" s="1"/>
  <c r="C2344" i="1" s="1"/>
  <c r="C2343" i="1" s="1"/>
  <c r="C2342" i="1" s="1"/>
  <c r="C2341" i="1" s="1"/>
  <c r="C2340" i="1" s="1"/>
  <c r="C2339" i="1" s="1"/>
  <c r="C2338" i="1" s="1"/>
  <c r="C2337" i="1" s="1"/>
  <c r="C2336" i="1" s="1"/>
  <c r="C2335" i="1" s="1"/>
  <c r="C2334" i="1" s="1"/>
  <c r="C2333" i="1" s="1"/>
  <c r="C2332" i="1" s="1"/>
  <c r="C2331" i="1" s="1"/>
  <c r="C2330" i="1" s="1"/>
  <c r="C2329" i="1" s="1"/>
  <c r="C2328" i="1" s="1"/>
  <c r="C2327" i="1" s="1"/>
  <c r="C2326" i="1" s="1"/>
  <c r="C2325" i="1" s="1"/>
  <c r="C2324" i="1" s="1"/>
  <c r="C2323" i="1" s="1"/>
  <c r="C2322" i="1" s="1"/>
  <c r="C2321" i="1" s="1"/>
  <c r="C2320" i="1" s="1"/>
  <c r="C2319" i="1" s="1"/>
  <c r="C2318" i="1" s="1"/>
  <c r="C2317" i="1" s="1"/>
  <c r="C2316" i="1" s="1"/>
  <c r="C2315" i="1" s="1"/>
  <c r="C2314" i="1" s="1"/>
  <c r="C2313" i="1" s="1"/>
  <c r="C2312" i="1" s="1"/>
  <c r="C2311" i="1" s="1"/>
  <c r="C2310" i="1" s="1"/>
  <c r="C2309" i="1" s="1"/>
  <c r="C2308" i="1" s="1"/>
  <c r="C2307" i="1" s="1"/>
  <c r="C2306" i="1" s="1"/>
  <c r="C2305" i="1" s="1"/>
  <c r="C2304" i="1" s="1"/>
  <c r="C2303" i="1" s="1"/>
  <c r="C2302" i="1" s="1"/>
  <c r="C2301" i="1" s="1"/>
  <c r="C2300" i="1" s="1"/>
  <c r="C2299" i="1" s="1"/>
  <c r="C2298" i="1" s="1"/>
  <c r="C2297" i="1" s="1"/>
  <c r="C2296" i="1" s="1"/>
  <c r="C2295" i="1" s="1"/>
  <c r="C2294" i="1" s="1"/>
  <c r="C2293" i="1" s="1"/>
  <c r="C2292" i="1" s="1"/>
  <c r="C2291" i="1" s="1"/>
  <c r="C2290" i="1" s="1"/>
  <c r="C2289" i="1" s="1"/>
  <c r="C2288" i="1" s="1"/>
  <c r="C2287" i="1" s="1"/>
  <c r="C2286" i="1" s="1"/>
  <c r="C2285" i="1" s="1"/>
  <c r="C2284" i="1" s="1"/>
  <c r="C2283" i="1" s="1"/>
  <c r="C2282" i="1" s="1"/>
  <c r="C2281" i="1" s="1"/>
  <c r="C2280" i="1" s="1"/>
  <c r="C2279" i="1" s="1"/>
  <c r="C2278" i="1" s="1"/>
  <c r="C2277" i="1" s="1"/>
  <c r="C2276" i="1" s="1"/>
  <c r="C2275" i="1" s="1"/>
  <c r="C2274" i="1" s="1"/>
  <c r="C2273" i="1" s="1"/>
  <c r="C2272" i="1" s="1"/>
  <c r="C2271" i="1" s="1"/>
  <c r="C2270" i="1" s="1"/>
  <c r="C2269" i="1" s="1"/>
  <c r="C2268" i="1" s="1"/>
  <c r="C2267" i="1" s="1"/>
  <c r="C2266" i="1" s="1"/>
  <c r="C2265" i="1" s="1"/>
  <c r="C2264" i="1" s="1"/>
  <c r="C2263" i="1" s="1"/>
  <c r="C2262" i="1" s="1"/>
  <c r="C2261" i="1" s="1"/>
  <c r="C2260" i="1" s="1"/>
  <c r="C2259" i="1" s="1"/>
  <c r="C2258" i="1" s="1"/>
  <c r="C2257" i="1" s="1"/>
  <c r="C2256" i="1" s="1"/>
  <c r="C2255" i="1" s="1"/>
  <c r="C2254" i="1" s="1"/>
  <c r="C2253" i="1" s="1"/>
  <c r="C2252" i="1" s="1"/>
  <c r="C2251" i="1" s="1"/>
  <c r="C2250" i="1" s="1"/>
  <c r="C2249" i="1" s="1"/>
  <c r="C2248" i="1" s="1"/>
  <c r="C2247" i="1" s="1"/>
  <c r="C2246" i="1" s="1"/>
  <c r="C2245" i="1" s="1"/>
  <c r="C2244" i="1" s="1"/>
  <c r="C2243" i="1" s="1"/>
  <c r="C2242" i="1" s="1"/>
  <c r="C2241" i="1" s="1"/>
  <c r="C2240" i="1" s="1"/>
  <c r="C2239" i="1" s="1"/>
  <c r="C2238" i="1" s="1"/>
  <c r="C2237" i="1" s="1"/>
  <c r="C2236" i="1" s="1"/>
  <c r="C2235" i="1" s="1"/>
  <c r="C2234" i="1" s="1"/>
  <c r="C2233" i="1" s="1"/>
  <c r="C2232" i="1" s="1"/>
  <c r="C2231" i="1" s="1"/>
  <c r="C2230" i="1" s="1"/>
  <c r="C2229" i="1" s="1"/>
  <c r="C2228" i="1" s="1"/>
  <c r="C2227" i="1" s="1"/>
  <c r="C2226" i="1" s="1"/>
  <c r="C2225" i="1" s="1"/>
  <c r="C2224" i="1" s="1"/>
  <c r="C2223" i="1" s="1"/>
  <c r="C2222" i="1" s="1"/>
  <c r="C2221" i="1" s="1"/>
  <c r="C2220" i="1" s="1"/>
  <c r="C2219" i="1" s="1"/>
  <c r="C2218" i="1" s="1"/>
  <c r="C2217" i="1" s="1"/>
  <c r="C2216" i="1" s="1"/>
  <c r="C2215" i="1" s="1"/>
  <c r="C2214" i="1" s="1"/>
  <c r="C2213" i="1" s="1"/>
  <c r="C2212" i="1" s="1"/>
  <c r="C2211" i="1" s="1"/>
  <c r="C2210" i="1" s="1"/>
  <c r="C2209" i="1" s="1"/>
  <c r="C2208" i="1" s="1"/>
  <c r="C2207" i="1" s="1"/>
  <c r="C2206" i="1" s="1"/>
  <c r="C2205" i="1" s="1"/>
  <c r="C2204" i="1" s="1"/>
  <c r="C2203" i="1" s="1"/>
  <c r="C2202" i="1" s="1"/>
  <c r="C2201" i="1" s="1"/>
  <c r="C2200" i="1" s="1"/>
  <c r="C2199" i="1" s="1"/>
  <c r="C2198" i="1" s="1"/>
  <c r="C2197" i="1" s="1"/>
  <c r="C2196" i="1" s="1"/>
  <c r="C2195" i="1" s="1"/>
  <c r="C2194" i="1" s="1"/>
  <c r="C2193" i="1" s="1"/>
  <c r="C2192" i="1" s="1"/>
  <c r="C2191" i="1" s="1"/>
  <c r="C2190" i="1" s="1"/>
  <c r="C2189" i="1" s="1"/>
  <c r="C2188" i="1" s="1"/>
  <c r="C2187" i="1" s="1"/>
  <c r="C2186" i="1" s="1"/>
  <c r="C2185" i="1" s="1"/>
  <c r="C2184" i="1" s="1"/>
  <c r="C2183" i="1" s="1"/>
  <c r="C2182" i="1" s="1"/>
  <c r="C2181" i="1" s="1"/>
  <c r="C2180" i="1" s="1"/>
  <c r="C2179" i="1" s="1"/>
  <c r="C2178" i="1" s="1"/>
  <c r="C2177" i="1" s="1"/>
  <c r="C2176" i="1" s="1"/>
  <c r="C2175" i="1" s="1"/>
  <c r="C2174" i="1" s="1"/>
  <c r="C2173" i="1" s="1"/>
  <c r="C2172" i="1" s="1"/>
  <c r="C2171" i="1" s="1"/>
  <c r="C2170" i="1" s="1"/>
  <c r="C2169" i="1" s="1"/>
  <c r="C2168" i="1" s="1"/>
  <c r="C2167" i="1" s="1"/>
  <c r="C2166" i="1" s="1"/>
  <c r="C2165" i="1" s="1"/>
  <c r="C2164" i="1" s="1"/>
  <c r="C2163" i="1" s="1"/>
  <c r="C2162" i="1" s="1"/>
  <c r="C2161" i="1" s="1"/>
  <c r="C2160" i="1" s="1"/>
  <c r="C2159" i="1" s="1"/>
  <c r="C2158" i="1" s="1"/>
  <c r="C2157" i="1" s="1"/>
  <c r="C2156" i="1" s="1"/>
  <c r="C2155" i="1" s="1"/>
  <c r="C2154" i="1" s="1"/>
  <c r="C2153" i="1" s="1"/>
  <c r="C2152" i="1" s="1"/>
  <c r="C2151" i="1" s="1"/>
  <c r="C2150" i="1" s="1"/>
  <c r="C2149" i="1" s="1"/>
  <c r="C2148" i="1" s="1"/>
  <c r="C2147" i="1" s="1"/>
  <c r="C2146" i="1" s="1"/>
  <c r="C2145" i="1" s="1"/>
  <c r="C2144" i="1" s="1"/>
  <c r="C2143" i="1" s="1"/>
  <c r="C2142" i="1" s="1"/>
  <c r="C2141" i="1" s="1"/>
  <c r="C2140" i="1" s="1"/>
  <c r="C2139" i="1" s="1"/>
  <c r="C2138" i="1" s="1"/>
  <c r="C2137" i="1" s="1"/>
  <c r="C2136" i="1" s="1"/>
  <c r="C2135" i="1" s="1"/>
  <c r="C2134" i="1" s="1"/>
  <c r="C2133" i="1" s="1"/>
  <c r="C2132" i="1" s="1"/>
  <c r="C2131" i="1" s="1"/>
  <c r="C2130" i="1" s="1"/>
  <c r="C2129" i="1" s="1"/>
  <c r="C2128" i="1" s="1"/>
  <c r="C2127" i="1" s="1"/>
  <c r="C2126" i="1" s="1"/>
  <c r="C2125" i="1" s="1"/>
  <c r="C2124" i="1" s="1"/>
  <c r="C2123" i="1" s="1"/>
  <c r="C2122" i="1" s="1"/>
  <c r="C2121" i="1" s="1"/>
  <c r="C2120" i="1" s="1"/>
  <c r="C2119" i="1" s="1"/>
  <c r="C2118" i="1" s="1"/>
  <c r="C2117" i="1" s="1"/>
  <c r="C2116" i="1" s="1"/>
  <c r="C2115" i="1" s="1"/>
  <c r="C2114" i="1" s="1"/>
  <c r="C2113" i="1" s="1"/>
  <c r="C2112" i="1" s="1"/>
  <c r="C2111" i="1" s="1"/>
  <c r="C2110" i="1" s="1"/>
  <c r="C2109" i="1" s="1"/>
  <c r="C2108" i="1" s="1"/>
  <c r="C2107" i="1" s="1"/>
  <c r="C2106" i="1" s="1"/>
  <c r="C2105" i="1" s="1"/>
  <c r="C2104" i="1" s="1"/>
  <c r="C2103" i="1" s="1"/>
  <c r="C2102" i="1" s="1"/>
  <c r="C2101" i="1" s="1"/>
  <c r="C2100" i="1" s="1"/>
  <c r="C2099" i="1" s="1"/>
  <c r="C2098" i="1" s="1"/>
  <c r="C2097" i="1" s="1"/>
  <c r="C2096" i="1" s="1"/>
  <c r="C2095" i="1" s="1"/>
  <c r="C2094" i="1" s="1"/>
  <c r="C2093" i="1" s="1"/>
  <c r="C2092" i="1" s="1"/>
  <c r="C2091" i="1" s="1"/>
  <c r="C2090" i="1" s="1"/>
  <c r="C2089" i="1" s="1"/>
  <c r="C2088" i="1" s="1"/>
  <c r="C2087" i="1" s="1"/>
  <c r="C2086" i="1" s="1"/>
  <c r="C2085" i="1" s="1"/>
  <c r="C2084" i="1" s="1"/>
  <c r="C2083" i="1" s="1"/>
  <c r="C2082" i="1" s="1"/>
  <c r="C2081" i="1" s="1"/>
  <c r="C2080" i="1" s="1"/>
  <c r="C2079" i="1" s="1"/>
  <c r="C2078" i="1" s="1"/>
  <c r="C2077" i="1" s="1"/>
  <c r="C2076" i="1" s="1"/>
  <c r="C2075" i="1" s="1"/>
  <c r="C2074" i="1" s="1"/>
  <c r="C2073" i="1" s="1"/>
  <c r="C2072" i="1" s="1"/>
  <c r="C2071" i="1" s="1"/>
  <c r="C2070" i="1" s="1"/>
  <c r="C2069" i="1" s="1"/>
  <c r="C2068" i="1" s="1"/>
  <c r="C2067" i="1" s="1"/>
  <c r="C2066" i="1" s="1"/>
  <c r="C2065" i="1" s="1"/>
  <c r="C2064" i="1" s="1"/>
  <c r="C2063" i="1" s="1"/>
  <c r="C2062" i="1" s="1"/>
  <c r="C2061" i="1" s="1"/>
  <c r="C2060" i="1" s="1"/>
  <c r="C2059" i="1" s="1"/>
  <c r="C2058" i="1" s="1"/>
  <c r="C2057" i="1" s="1"/>
  <c r="C2056" i="1" s="1"/>
  <c r="C2055" i="1" s="1"/>
  <c r="C2054" i="1" s="1"/>
  <c r="C2053" i="1" s="1"/>
  <c r="C2052" i="1" s="1"/>
  <c r="C2051" i="1" s="1"/>
  <c r="C2050" i="1" s="1"/>
  <c r="C2049" i="1" s="1"/>
  <c r="C2048" i="1" s="1"/>
  <c r="C2047" i="1" s="1"/>
  <c r="C2046" i="1" s="1"/>
  <c r="C2045" i="1" s="1"/>
  <c r="C2044" i="1" s="1"/>
  <c r="C2043" i="1" s="1"/>
  <c r="C2042" i="1" s="1"/>
  <c r="C2041" i="1" s="1"/>
  <c r="C2040" i="1" s="1"/>
  <c r="C2039" i="1" s="1"/>
  <c r="C2038" i="1" s="1"/>
  <c r="C2037" i="1" s="1"/>
  <c r="C2036" i="1" s="1"/>
  <c r="C2035" i="1" s="1"/>
  <c r="C2034" i="1" s="1"/>
  <c r="C2033" i="1" s="1"/>
  <c r="C2032" i="1" s="1"/>
  <c r="C2031" i="1" s="1"/>
  <c r="C2030" i="1" s="1"/>
  <c r="C2029" i="1" s="1"/>
  <c r="C2028" i="1" s="1"/>
  <c r="C2027" i="1" s="1"/>
  <c r="C2026" i="1" s="1"/>
  <c r="C2025" i="1" s="1"/>
  <c r="C2024" i="1" s="1"/>
  <c r="C2023" i="1" s="1"/>
  <c r="C2022" i="1" s="1"/>
  <c r="C2021" i="1" s="1"/>
  <c r="C2020" i="1" s="1"/>
  <c r="C2019" i="1" s="1"/>
  <c r="C2018" i="1" s="1"/>
  <c r="C2017" i="1" s="1"/>
  <c r="C2016" i="1" s="1"/>
  <c r="C2015" i="1" s="1"/>
  <c r="C2014" i="1" s="1"/>
  <c r="C2013" i="1" s="1"/>
  <c r="C2012" i="1" s="1"/>
  <c r="C2011" i="1" s="1"/>
  <c r="C2010" i="1" s="1"/>
  <c r="C2009" i="1" s="1"/>
  <c r="C2008" i="1" s="1"/>
  <c r="C2007" i="1" s="1"/>
  <c r="C2006" i="1" s="1"/>
  <c r="C2005" i="1" s="1"/>
  <c r="C2004" i="1" s="1"/>
  <c r="C2003" i="1" s="1"/>
  <c r="C2002" i="1" s="1"/>
  <c r="C2001" i="1" s="1"/>
  <c r="C2000" i="1" s="1"/>
  <c r="C1999" i="1" s="1"/>
  <c r="C1998" i="1" s="1"/>
  <c r="C1997" i="1" s="1"/>
  <c r="C1996" i="1" s="1"/>
  <c r="C1995" i="1" s="1"/>
  <c r="C1994" i="1" s="1"/>
  <c r="C1993" i="1" s="1"/>
  <c r="C1992" i="1" s="1"/>
  <c r="C1991" i="1" s="1"/>
  <c r="C1990" i="1" s="1"/>
  <c r="C1989" i="1" s="1"/>
  <c r="C1988" i="1" s="1"/>
  <c r="C1987" i="1" s="1"/>
  <c r="C1986" i="1" s="1"/>
  <c r="C1985" i="1" s="1"/>
  <c r="C1984" i="1" s="1"/>
  <c r="C1983" i="1" s="1"/>
  <c r="C1982" i="1" s="1"/>
  <c r="C1981" i="1" s="1"/>
  <c r="C1980" i="1" s="1"/>
  <c r="C1979" i="1" s="1"/>
  <c r="C1978" i="1" s="1"/>
  <c r="C1977" i="1" s="1"/>
  <c r="C1976" i="1" s="1"/>
  <c r="C1975" i="1" s="1"/>
  <c r="C1974" i="1" s="1"/>
  <c r="C1973" i="1" s="1"/>
  <c r="C1972" i="1" s="1"/>
  <c r="C1971" i="1" s="1"/>
  <c r="C1970" i="1" s="1"/>
  <c r="C1969" i="1" s="1"/>
  <c r="C1968" i="1" s="1"/>
  <c r="C1967" i="1" s="1"/>
  <c r="C1966" i="1" s="1"/>
  <c r="C1965" i="1" s="1"/>
  <c r="C1964" i="1" s="1"/>
  <c r="C1963" i="1" s="1"/>
  <c r="C1962" i="1" s="1"/>
  <c r="C1961" i="1" s="1"/>
  <c r="C1960" i="1" s="1"/>
  <c r="C1959" i="1" s="1"/>
  <c r="C1958" i="1" s="1"/>
  <c r="C1957" i="1" s="1"/>
  <c r="C1956" i="1" s="1"/>
  <c r="C1955" i="1" s="1"/>
  <c r="C1954" i="1" s="1"/>
  <c r="C1953" i="1" s="1"/>
  <c r="C1952" i="1" s="1"/>
  <c r="C1951" i="1" s="1"/>
  <c r="C1950" i="1" s="1"/>
  <c r="C1949" i="1" s="1"/>
  <c r="C1948" i="1" s="1"/>
  <c r="C1947" i="1" s="1"/>
  <c r="C1946" i="1" s="1"/>
  <c r="C1945" i="1" s="1"/>
  <c r="C1944" i="1" s="1"/>
  <c r="C1943" i="1" s="1"/>
  <c r="C1942" i="1" s="1"/>
  <c r="C1941" i="1" s="1"/>
  <c r="C1940" i="1" s="1"/>
  <c r="C1939" i="1" s="1"/>
  <c r="C1938" i="1" s="1"/>
  <c r="C1937" i="1" s="1"/>
  <c r="C1936" i="1" s="1"/>
  <c r="C1935" i="1" s="1"/>
  <c r="C1934" i="1" s="1"/>
  <c r="C1933" i="1" s="1"/>
  <c r="C1932" i="1" s="1"/>
  <c r="C1931" i="1" s="1"/>
  <c r="C1930" i="1" s="1"/>
  <c r="C1929" i="1" s="1"/>
  <c r="C1928" i="1" s="1"/>
  <c r="C1927" i="1" s="1"/>
  <c r="C1926" i="1" s="1"/>
  <c r="C1925" i="1" s="1"/>
  <c r="C1924" i="1" s="1"/>
  <c r="C1923" i="1" s="1"/>
  <c r="C1922" i="1" s="1"/>
  <c r="C1921" i="1" s="1"/>
  <c r="C1920" i="1" s="1"/>
  <c r="C1919" i="1" s="1"/>
  <c r="C1918" i="1" s="1"/>
  <c r="C1917" i="1" s="1"/>
  <c r="C1916" i="1" s="1"/>
  <c r="C1915" i="1" s="1"/>
  <c r="C1914" i="1" s="1"/>
  <c r="C1913" i="1" s="1"/>
  <c r="C1912" i="1" s="1"/>
  <c r="C1911" i="1" s="1"/>
  <c r="C1910" i="1" s="1"/>
  <c r="C1909" i="1" s="1"/>
  <c r="C1908" i="1" s="1"/>
  <c r="C1907" i="1" s="1"/>
  <c r="C1906" i="1" s="1"/>
  <c r="C1905" i="1" s="1"/>
  <c r="C1904" i="1" s="1"/>
  <c r="C1903" i="1" s="1"/>
  <c r="C1902" i="1" s="1"/>
  <c r="C1901" i="1" s="1"/>
  <c r="C1900" i="1" s="1"/>
  <c r="C1899" i="1" s="1"/>
  <c r="C1898" i="1" s="1"/>
  <c r="C1897" i="1" s="1"/>
  <c r="C1896" i="1" s="1"/>
  <c r="C1895" i="1" s="1"/>
  <c r="C1894" i="1" s="1"/>
  <c r="C1893" i="1" s="1"/>
  <c r="C1892" i="1" s="1"/>
  <c r="C1891" i="1" s="1"/>
  <c r="C1890" i="1" s="1"/>
  <c r="C1889" i="1" s="1"/>
  <c r="C1888" i="1" s="1"/>
  <c r="C1887" i="1" s="1"/>
  <c r="C1886" i="1" s="1"/>
  <c r="C1885" i="1" s="1"/>
  <c r="C1884" i="1" s="1"/>
  <c r="C1883" i="1" s="1"/>
  <c r="C1882" i="1" s="1"/>
  <c r="C1881" i="1" s="1"/>
  <c r="C1880" i="1" s="1"/>
  <c r="C1879" i="1" s="1"/>
  <c r="C1878" i="1" s="1"/>
  <c r="C1877" i="1" s="1"/>
  <c r="C1876" i="1" s="1"/>
  <c r="C1875" i="1" s="1"/>
  <c r="C1874" i="1" s="1"/>
  <c r="C1873" i="1" s="1"/>
  <c r="C1872" i="1" s="1"/>
  <c r="C1871" i="1" s="1"/>
  <c r="C1870" i="1" s="1"/>
  <c r="C1869" i="1" s="1"/>
  <c r="C1868" i="1" s="1"/>
  <c r="C1867" i="1" s="1"/>
  <c r="C1866" i="1" s="1"/>
  <c r="C1865" i="1" s="1"/>
  <c r="C1864" i="1" s="1"/>
  <c r="C1863" i="1" s="1"/>
  <c r="C1862" i="1" s="1"/>
  <c r="C1861" i="1" s="1"/>
  <c r="C1860" i="1" s="1"/>
  <c r="C1859" i="1" s="1"/>
  <c r="C1858" i="1" s="1"/>
  <c r="C1857" i="1" s="1"/>
  <c r="C1856" i="1" s="1"/>
  <c r="C1855" i="1" s="1"/>
  <c r="C1854" i="1" s="1"/>
  <c r="C1853" i="1" s="1"/>
  <c r="C1852" i="1" s="1"/>
  <c r="C1851" i="1" s="1"/>
  <c r="C1850" i="1" s="1"/>
  <c r="C1849" i="1" s="1"/>
  <c r="C1848" i="1" s="1"/>
  <c r="C1847" i="1" s="1"/>
  <c r="C1846" i="1" s="1"/>
  <c r="C1845" i="1" s="1"/>
  <c r="C1844" i="1" s="1"/>
  <c r="C1843" i="1" s="1"/>
  <c r="C1842" i="1" s="1"/>
  <c r="C1841" i="1" s="1"/>
  <c r="C1840" i="1" s="1"/>
  <c r="C1839" i="1" s="1"/>
  <c r="C1838" i="1" s="1"/>
  <c r="C1837" i="1" s="1"/>
  <c r="C1836" i="1" s="1"/>
  <c r="C1835" i="1" s="1"/>
  <c r="C1834" i="1" s="1"/>
  <c r="C1833" i="1" s="1"/>
  <c r="C1832" i="1" s="1"/>
  <c r="C1831" i="1" s="1"/>
  <c r="C1830" i="1" s="1"/>
  <c r="C1829" i="1" s="1"/>
  <c r="C1828" i="1" s="1"/>
  <c r="C1827" i="1" s="1"/>
  <c r="C1826" i="1" s="1"/>
  <c r="C1825" i="1" s="1"/>
  <c r="C1824" i="1" s="1"/>
  <c r="C1823" i="1" s="1"/>
  <c r="C1822" i="1" s="1"/>
  <c r="C1821" i="1" s="1"/>
  <c r="C1820" i="1" s="1"/>
  <c r="C1819" i="1" s="1"/>
  <c r="C1818" i="1" s="1"/>
  <c r="C1817" i="1" s="1"/>
  <c r="C1816" i="1" s="1"/>
  <c r="C1815" i="1" s="1"/>
  <c r="C1814" i="1" s="1"/>
  <c r="C1813" i="1" s="1"/>
  <c r="C1812" i="1" s="1"/>
  <c r="C1811" i="1" s="1"/>
  <c r="C1810" i="1" s="1"/>
  <c r="C1809" i="1" s="1"/>
  <c r="C1808" i="1" s="1"/>
  <c r="C1807" i="1" s="1"/>
  <c r="C1806" i="1" s="1"/>
  <c r="C1805" i="1" s="1"/>
  <c r="C1804" i="1" s="1"/>
  <c r="C1803" i="1" s="1"/>
  <c r="C1802" i="1" s="1"/>
  <c r="C1801" i="1" s="1"/>
  <c r="C1800" i="1" s="1"/>
  <c r="C1799" i="1" s="1"/>
  <c r="C1798" i="1" s="1"/>
  <c r="C1797" i="1" s="1"/>
  <c r="C1796" i="1" s="1"/>
  <c r="C1795" i="1" s="1"/>
  <c r="C1794" i="1" s="1"/>
  <c r="C1793" i="1" s="1"/>
  <c r="C1792" i="1" s="1"/>
  <c r="C1791" i="1" s="1"/>
  <c r="C1790" i="1" s="1"/>
  <c r="C1789" i="1" s="1"/>
  <c r="C1788" i="1" s="1"/>
  <c r="C1787" i="1" s="1"/>
  <c r="C1786" i="1" s="1"/>
  <c r="C1785" i="1" s="1"/>
  <c r="C1784" i="1" s="1"/>
  <c r="C1783" i="1" s="1"/>
  <c r="C1782" i="1" s="1"/>
  <c r="C1781" i="1" s="1"/>
  <c r="C1780" i="1" s="1"/>
  <c r="C1779" i="1" s="1"/>
  <c r="C1778" i="1" s="1"/>
  <c r="C1777" i="1" s="1"/>
  <c r="C1776" i="1" s="1"/>
  <c r="C1775" i="1" s="1"/>
  <c r="C1774" i="1" s="1"/>
  <c r="C1773" i="1" s="1"/>
  <c r="C1772" i="1" s="1"/>
  <c r="C1771" i="1" s="1"/>
  <c r="C1770" i="1" s="1"/>
  <c r="C1769" i="1" s="1"/>
  <c r="C1768" i="1" s="1"/>
  <c r="C1767" i="1" s="1"/>
  <c r="C1766" i="1" s="1"/>
  <c r="C1765" i="1" s="1"/>
  <c r="C1764" i="1" s="1"/>
  <c r="C1763" i="1" s="1"/>
  <c r="C1762" i="1" s="1"/>
  <c r="C1761" i="1" s="1"/>
  <c r="C1760" i="1" s="1"/>
  <c r="C1759" i="1" s="1"/>
  <c r="C1758" i="1" s="1"/>
  <c r="C1757" i="1" s="1"/>
  <c r="C1756" i="1" s="1"/>
  <c r="C1755" i="1" s="1"/>
  <c r="C1754" i="1" s="1"/>
  <c r="C1753" i="1" s="1"/>
  <c r="C1752" i="1" s="1"/>
  <c r="C1751" i="1" s="1"/>
  <c r="C1750" i="1" s="1"/>
  <c r="C1749" i="1" s="1"/>
  <c r="C1748" i="1" s="1"/>
  <c r="C1747" i="1" s="1"/>
  <c r="C1746" i="1" s="1"/>
  <c r="C1745" i="1" s="1"/>
  <c r="C1744" i="1" s="1"/>
  <c r="C1743" i="1" s="1"/>
  <c r="C1742" i="1" s="1"/>
  <c r="C1741" i="1" s="1"/>
  <c r="C1740" i="1" s="1"/>
  <c r="C1739" i="1" s="1"/>
  <c r="C1738" i="1" s="1"/>
  <c r="C1737" i="1" s="1"/>
  <c r="C1736" i="1" s="1"/>
  <c r="C1735" i="1" s="1"/>
  <c r="C1734" i="1" s="1"/>
  <c r="C1733" i="1" s="1"/>
  <c r="C1732" i="1" s="1"/>
  <c r="C1731" i="1" s="1"/>
  <c r="C1730" i="1" s="1"/>
  <c r="C1729" i="1" s="1"/>
  <c r="C1728" i="1" s="1"/>
  <c r="C1727" i="1" s="1"/>
  <c r="C1726" i="1" s="1"/>
  <c r="C1725" i="1" s="1"/>
  <c r="C1724" i="1" s="1"/>
  <c r="C1723" i="1" s="1"/>
  <c r="C1722" i="1" s="1"/>
  <c r="C1721" i="1" s="1"/>
  <c r="C1720" i="1" s="1"/>
  <c r="C1719" i="1" s="1"/>
  <c r="C1718" i="1" s="1"/>
  <c r="C1717" i="1" s="1"/>
  <c r="C1716" i="1" s="1"/>
  <c r="C1715" i="1" s="1"/>
  <c r="C1714" i="1" s="1"/>
  <c r="C1713" i="1" s="1"/>
  <c r="C1712" i="1" s="1"/>
  <c r="C1711" i="1" s="1"/>
  <c r="C1710" i="1" s="1"/>
  <c r="C1709" i="1" s="1"/>
  <c r="C1708" i="1" s="1"/>
  <c r="C1707" i="1" s="1"/>
  <c r="C1706" i="1" s="1"/>
  <c r="C1705" i="1" s="1"/>
  <c r="C1704" i="1" s="1"/>
  <c r="C1703" i="1" s="1"/>
  <c r="C1702" i="1" s="1"/>
  <c r="C1701" i="1" s="1"/>
  <c r="C1700" i="1" s="1"/>
  <c r="C1699" i="1" s="1"/>
  <c r="C1698" i="1" s="1"/>
  <c r="C1697" i="1" s="1"/>
  <c r="C1696" i="1" s="1"/>
  <c r="C1695" i="1" s="1"/>
  <c r="C1694" i="1" s="1"/>
  <c r="C1693" i="1" s="1"/>
  <c r="C1692" i="1" s="1"/>
  <c r="C1691" i="1" s="1"/>
  <c r="C1690" i="1" s="1"/>
  <c r="C1689" i="1" s="1"/>
  <c r="C1688" i="1" s="1"/>
  <c r="C1687" i="1" s="1"/>
  <c r="C1686" i="1" s="1"/>
  <c r="C1685" i="1" s="1"/>
  <c r="C1684" i="1" s="1"/>
  <c r="C1683" i="1" s="1"/>
  <c r="C1682" i="1" s="1"/>
  <c r="C1681" i="1" s="1"/>
  <c r="C1680" i="1" s="1"/>
  <c r="C1679" i="1" s="1"/>
  <c r="C1678" i="1" s="1"/>
  <c r="C1677" i="1" s="1"/>
  <c r="C1676" i="1" s="1"/>
  <c r="C1675" i="1" s="1"/>
  <c r="C1674" i="1" s="1"/>
  <c r="C1673" i="1" s="1"/>
  <c r="C1672" i="1" s="1"/>
  <c r="C1671" i="1" s="1"/>
  <c r="C1670" i="1" s="1"/>
  <c r="C1669" i="1" s="1"/>
  <c r="C1668" i="1" s="1"/>
  <c r="C1667" i="1" s="1"/>
  <c r="C1666" i="1" s="1"/>
  <c r="C1665" i="1" s="1"/>
  <c r="C1664" i="1" s="1"/>
  <c r="C1663" i="1" s="1"/>
  <c r="C1662" i="1" s="1"/>
  <c r="C1661" i="1" s="1"/>
  <c r="C1660" i="1" s="1"/>
  <c r="C1659" i="1" s="1"/>
  <c r="C1658" i="1" s="1"/>
  <c r="C1657" i="1" s="1"/>
  <c r="C1656" i="1" s="1"/>
  <c r="C1655" i="1" s="1"/>
  <c r="C1654" i="1" s="1"/>
  <c r="C1653" i="1" s="1"/>
  <c r="C1652" i="1" s="1"/>
  <c r="C1651" i="1" s="1"/>
  <c r="C1650" i="1" s="1"/>
  <c r="C1649" i="1" s="1"/>
  <c r="C1648" i="1" s="1"/>
  <c r="C1647" i="1" s="1"/>
  <c r="C1646" i="1" s="1"/>
  <c r="C1645" i="1" s="1"/>
  <c r="C1644" i="1" s="1"/>
  <c r="C1643" i="1" s="1"/>
  <c r="C1642" i="1" s="1"/>
  <c r="C1641" i="1" s="1"/>
  <c r="C1640" i="1" s="1"/>
  <c r="C1639" i="1" s="1"/>
  <c r="C1638" i="1" s="1"/>
  <c r="C1637" i="1" s="1"/>
  <c r="C1636" i="1" s="1"/>
  <c r="C1635" i="1" s="1"/>
  <c r="C1634" i="1" s="1"/>
  <c r="C1633" i="1" s="1"/>
  <c r="C1632" i="1" s="1"/>
  <c r="C1631" i="1" s="1"/>
  <c r="C1630" i="1" s="1"/>
  <c r="C1629" i="1" s="1"/>
  <c r="C1628" i="1" s="1"/>
  <c r="C1627" i="1" s="1"/>
  <c r="C1626" i="1" s="1"/>
  <c r="C1625" i="1" s="1"/>
  <c r="C1624" i="1" s="1"/>
  <c r="C1623" i="1" s="1"/>
  <c r="C1622" i="1" s="1"/>
  <c r="C1621" i="1" s="1"/>
  <c r="C1620" i="1" s="1"/>
  <c r="C1619" i="1" s="1"/>
  <c r="C1618" i="1" s="1"/>
  <c r="C1617" i="1" s="1"/>
  <c r="C1616" i="1" s="1"/>
  <c r="C1615" i="1" s="1"/>
  <c r="C1614" i="1" s="1"/>
  <c r="C1613" i="1" s="1"/>
  <c r="C1612" i="1" s="1"/>
  <c r="C1611" i="1" s="1"/>
  <c r="C1610" i="1" s="1"/>
  <c r="C1609" i="1" s="1"/>
  <c r="C1608" i="1" s="1"/>
  <c r="C1607" i="1" s="1"/>
  <c r="C1606" i="1" s="1"/>
  <c r="C1605" i="1" s="1"/>
  <c r="C1604" i="1" s="1"/>
  <c r="C1603" i="1" s="1"/>
  <c r="C1602" i="1" s="1"/>
  <c r="C1601" i="1" s="1"/>
  <c r="C1600" i="1" s="1"/>
  <c r="C1599" i="1" s="1"/>
  <c r="C1598" i="1" s="1"/>
  <c r="C1597" i="1" s="1"/>
  <c r="C1596" i="1" s="1"/>
  <c r="C1595" i="1" s="1"/>
  <c r="C1594" i="1" s="1"/>
  <c r="C1593" i="1" s="1"/>
  <c r="C1592" i="1" s="1"/>
  <c r="C1591" i="1" s="1"/>
  <c r="C1590" i="1" s="1"/>
  <c r="C1589" i="1" s="1"/>
  <c r="C1588" i="1" s="1"/>
  <c r="C1587" i="1" s="1"/>
  <c r="C1586" i="1" s="1"/>
  <c r="C1585" i="1" s="1"/>
  <c r="C1584" i="1" s="1"/>
  <c r="C1583" i="1" s="1"/>
  <c r="C1582" i="1" s="1"/>
  <c r="C1581" i="1" s="1"/>
  <c r="C1580" i="1" s="1"/>
  <c r="C1579" i="1" s="1"/>
  <c r="C1578" i="1" s="1"/>
  <c r="C1577" i="1" s="1"/>
  <c r="C1576" i="1" s="1"/>
  <c r="C1575" i="1" s="1"/>
  <c r="C1574" i="1" s="1"/>
  <c r="C1573" i="1" s="1"/>
  <c r="C1572" i="1" s="1"/>
  <c r="C1571" i="1" s="1"/>
  <c r="C1570" i="1" s="1"/>
  <c r="C1569" i="1" s="1"/>
  <c r="C1568" i="1" s="1"/>
  <c r="C1567" i="1" s="1"/>
  <c r="C1566" i="1" s="1"/>
  <c r="C1565" i="1" s="1"/>
  <c r="C1564" i="1" s="1"/>
  <c r="C1563" i="1" s="1"/>
  <c r="C1562" i="1" s="1"/>
  <c r="C1561" i="1" s="1"/>
  <c r="C1560" i="1" s="1"/>
  <c r="C1559" i="1" s="1"/>
  <c r="C1558" i="1" s="1"/>
  <c r="C1557" i="1" s="1"/>
  <c r="C1556" i="1" s="1"/>
  <c r="C1555" i="1" s="1"/>
  <c r="C1554" i="1" s="1"/>
  <c r="C1553" i="1" s="1"/>
  <c r="C1552" i="1" s="1"/>
  <c r="C1551" i="1" s="1"/>
  <c r="C1550" i="1" s="1"/>
  <c r="C1549" i="1" s="1"/>
  <c r="C1548" i="1" s="1"/>
  <c r="C1547" i="1" s="1"/>
  <c r="C1546" i="1" s="1"/>
  <c r="C1545" i="1" s="1"/>
  <c r="C1544" i="1" s="1"/>
  <c r="C1543" i="1" s="1"/>
  <c r="C1542" i="1" s="1"/>
  <c r="C1541" i="1" s="1"/>
  <c r="C1540" i="1" s="1"/>
  <c r="C1539" i="1" s="1"/>
  <c r="C1538" i="1" s="1"/>
  <c r="C1537" i="1" s="1"/>
  <c r="C1536" i="1" s="1"/>
  <c r="C1535" i="1" s="1"/>
  <c r="C1534" i="1" s="1"/>
  <c r="C1533" i="1" s="1"/>
  <c r="C1532" i="1" s="1"/>
  <c r="C1531" i="1" s="1"/>
  <c r="C1530" i="1" s="1"/>
  <c r="C1529" i="1" s="1"/>
  <c r="C1528" i="1" s="1"/>
  <c r="C1527" i="1" s="1"/>
  <c r="C1526" i="1" s="1"/>
  <c r="C1525" i="1" s="1"/>
  <c r="C1524" i="1" s="1"/>
  <c r="C1523" i="1" s="1"/>
  <c r="C1522" i="1" s="1"/>
  <c r="C1521" i="1" s="1"/>
  <c r="C1520" i="1" s="1"/>
  <c r="C1519" i="1" s="1"/>
  <c r="C1518" i="1" s="1"/>
  <c r="C1517" i="1" s="1"/>
  <c r="C1516" i="1" s="1"/>
  <c r="C1515" i="1" s="1"/>
  <c r="C1514" i="1" s="1"/>
  <c r="C1513" i="1" s="1"/>
  <c r="C1512" i="1" s="1"/>
  <c r="C1511" i="1" s="1"/>
  <c r="C1510" i="1" s="1"/>
  <c r="C1509" i="1" s="1"/>
  <c r="C1508" i="1" s="1"/>
  <c r="C1507" i="1" s="1"/>
  <c r="C1506" i="1" s="1"/>
  <c r="C1505" i="1" s="1"/>
  <c r="C1504" i="1" s="1"/>
  <c r="C1503" i="1" s="1"/>
  <c r="C1502" i="1" s="1"/>
  <c r="C1501" i="1" s="1"/>
  <c r="C1500" i="1" s="1"/>
  <c r="C1499" i="1" s="1"/>
  <c r="C1498" i="1" s="1"/>
  <c r="C1497" i="1" s="1"/>
  <c r="C1496" i="1" s="1"/>
  <c r="C1495" i="1" s="1"/>
  <c r="C1494" i="1" s="1"/>
  <c r="C1493" i="1" s="1"/>
  <c r="C1492" i="1" s="1"/>
  <c r="C1491" i="1" s="1"/>
  <c r="C1490" i="1" s="1"/>
  <c r="C1489" i="1" s="1"/>
  <c r="C1488" i="1" s="1"/>
  <c r="C1487" i="1" s="1"/>
  <c r="C1486" i="1" s="1"/>
  <c r="C1485" i="1" s="1"/>
  <c r="C1484" i="1" s="1"/>
  <c r="C1483" i="1" s="1"/>
  <c r="C1482" i="1" s="1"/>
  <c r="C1481" i="1" s="1"/>
  <c r="C1480" i="1" s="1"/>
  <c r="C1479" i="1" s="1"/>
  <c r="C1478" i="1" s="1"/>
  <c r="C1477" i="1" s="1"/>
  <c r="C1476" i="1" s="1"/>
  <c r="C1475" i="1" s="1"/>
  <c r="C1474" i="1" s="1"/>
  <c r="C1473" i="1" s="1"/>
  <c r="C1472" i="1" s="1"/>
  <c r="C1471" i="1" s="1"/>
  <c r="C1470" i="1" s="1"/>
  <c r="C1469" i="1" s="1"/>
  <c r="C1468" i="1" s="1"/>
  <c r="C1467" i="1" s="1"/>
  <c r="C1466" i="1" s="1"/>
  <c r="C1465" i="1" s="1"/>
  <c r="C1464" i="1" s="1"/>
  <c r="C1463" i="1" s="1"/>
  <c r="C1462" i="1" s="1"/>
  <c r="C1461" i="1" s="1"/>
  <c r="C1460" i="1" s="1"/>
  <c r="C1459" i="1" s="1"/>
  <c r="C1458" i="1" s="1"/>
  <c r="C1457" i="1" s="1"/>
  <c r="C1456" i="1" s="1"/>
  <c r="C1455" i="1" s="1"/>
  <c r="C1454" i="1" s="1"/>
  <c r="C1453" i="1" s="1"/>
  <c r="C1452" i="1" s="1"/>
  <c r="C1451" i="1" s="1"/>
  <c r="C1450" i="1" s="1"/>
  <c r="C1449" i="1" s="1"/>
  <c r="C1448" i="1" s="1"/>
  <c r="C1447" i="1" s="1"/>
  <c r="C1446" i="1" s="1"/>
  <c r="C1445" i="1" s="1"/>
  <c r="C1444" i="1" s="1"/>
  <c r="C1443" i="1" s="1"/>
  <c r="C1442" i="1" s="1"/>
  <c r="C1441" i="1" s="1"/>
  <c r="C1440" i="1" s="1"/>
  <c r="C1439" i="1" s="1"/>
  <c r="C1438" i="1" s="1"/>
  <c r="C1437" i="1" s="1"/>
  <c r="C1436" i="1" s="1"/>
  <c r="C1435" i="1" s="1"/>
  <c r="C1434" i="1" s="1"/>
  <c r="C1433" i="1" s="1"/>
  <c r="C1432" i="1" s="1"/>
  <c r="C1431" i="1" s="1"/>
  <c r="C1430" i="1" s="1"/>
  <c r="C1429" i="1" s="1"/>
  <c r="C1428" i="1" s="1"/>
  <c r="C1427" i="1" s="1"/>
  <c r="C1426" i="1" s="1"/>
  <c r="C1425" i="1" s="1"/>
  <c r="C1424" i="1" s="1"/>
  <c r="C1423" i="1" s="1"/>
  <c r="C1422" i="1" s="1"/>
  <c r="C1421" i="1" s="1"/>
  <c r="C1420" i="1" s="1"/>
  <c r="C1419" i="1" s="1"/>
  <c r="C1418" i="1" s="1"/>
  <c r="C1417" i="1" s="1"/>
  <c r="C1416" i="1" s="1"/>
  <c r="C1415" i="1" s="1"/>
  <c r="C1414" i="1" s="1"/>
  <c r="C1413" i="1" s="1"/>
  <c r="C1412" i="1" s="1"/>
  <c r="C1411" i="1" s="1"/>
  <c r="C1410" i="1" s="1"/>
  <c r="C1409" i="1" s="1"/>
  <c r="C1408" i="1" s="1"/>
  <c r="C1407" i="1" s="1"/>
  <c r="C1406" i="1" s="1"/>
  <c r="C1405" i="1" s="1"/>
  <c r="C1404" i="1" s="1"/>
  <c r="C1403" i="1" s="1"/>
  <c r="C1402" i="1" s="1"/>
  <c r="C1401" i="1" s="1"/>
  <c r="C1400" i="1" s="1"/>
  <c r="C1399" i="1" s="1"/>
  <c r="C1398" i="1" s="1"/>
  <c r="C1397" i="1" s="1"/>
  <c r="C1396" i="1" s="1"/>
  <c r="C1395" i="1" s="1"/>
  <c r="C1394" i="1" s="1"/>
  <c r="C1393" i="1" s="1"/>
  <c r="C1392" i="1" s="1"/>
  <c r="C1391" i="1" s="1"/>
  <c r="C1390" i="1" s="1"/>
  <c r="C1389" i="1" s="1"/>
  <c r="C1388" i="1" s="1"/>
  <c r="C1387" i="1" s="1"/>
  <c r="C1386" i="1" s="1"/>
  <c r="C1385" i="1" s="1"/>
  <c r="C1384" i="1" s="1"/>
  <c r="C1383" i="1" s="1"/>
  <c r="C1382" i="1" s="1"/>
  <c r="C1381" i="1" s="1"/>
  <c r="C1380" i="1" s="1"/>
  <c r="C1379" i="1" s="1"/>
  <c r="C1378" i="1" s="1"/>
  <c r="C1377" i="1" s="1"/>
  <c r="C1376" i="1" s="1"/>
  <c r="C1375" i="1" s="1"/>
  <c r="C1374" i="1" s="1"/>
  <c r="C1373" i="1" s="1"/>
  <c r="C1372" i="1" s="1"/>
  <c r="C1371" i="1" s="1"/>
  <c r="C1370" i="1" s="1"/>
  <c r="C1369" i="1" s="1"/>
  <c r="C1368" i="1" s="1"/>
  <c r="C1367" i="1" s="1"/>
  <c r="C1366" i="1" s="1"/>
  <c r="C1365" i="1" s="1"/>
  <c r="C1364" i="1" s="1"/>
  <c r="C1363" i="1" s="1"/>
  <c r="C1362" i="1" s="1"/>
  <c r="C1361" i="1" s="1"/>
  <c r="C1360" i="1" s="1"/>
  <c r="C1359" i="1" s="1"/>
  <c r="C1358" i="1" s="1"/>
  <c r="C1357" i="1" s="1"/>
  <c r="C1356" i="1" s="1"/>
  <c r="C1355" i="1" s="1"/>
  <c r="C1354" i="1" s="1"/>
  <c r="C1353" i="1" s="1"/>
  <c r="C1352" i="1" s="1"/>
  <c r="C1351" i="1" s="1"/>
  <c r="C1350" i="1" s="1"/>
  <c r="C1349" i="1" s="1"/>
  <c r="C1348" i="1" s="1"/>
  <c r="C1347" i="1" s="1"/>
  <c r="C1346" i="1" s="1"/>
  <c r="C1345" i="1" s="1"/>
  <c r="C1344" i="1" s="1"/>
  <c r="C1343" i="1" s="1"/>
  <c r="C1342" i="1" s="1"/>
  <c r="C1341" i="1" s="1"/>
  <c r="C1340" i="1" s="1"/>
  <c r="C1339" i="1" s="1"/>
  <c r="C1338" i="1" s="1"/>
  <c r="C1337" i="1" s="1"/>
  <c r="C1336" i="1" s="1"/>
  <c r="C1335" i="1" s="1"/>
  <c r="C1334" i="1" s="1"/>
  <c r="C1333" i="1" s="1"/>
  <c r="C1332" i="1" s="1"/>
  <c r="C1331" i="1" s="1"/>
  <c r="C1330" i="1" s="1"/>
  <c r="C1329" i="1" s="1"/>
  <c r="C1328" i="1" s="1"/>
  <c r="C1327" i="1" s="1"/>
  <c r="C1326" i="1" s="1"/>
  <c r="C1325" i="1" s="1"/>
  <c r="C1324" i="1" s="1"/>
  <c r="C1323" i="1" s="1"/>
  <c r="C1322" i="1" s="1"/>
  <c r="C1321" i="1" s="1"/>
  <c r="C1320" i="1" s="1"/>
  <c r="C1319" i="1" s="1"/>
  <c r="C1318" i="1" s="1"/>
  <c r="C1317" i="1" s="1"/>
  <c r="C1316" i="1" s="1"/>
  <c r="C1315" i="1" s="1"/>
  <c r="C1314" i="1" s="1"/>
  <c r="C1313" i="1" s="1"/>
  <c r="C1312" i="1" s="1"/>
  <c r="C1311" i="1" s="1"/>
  <c r="C1310" i="1" s="1"/>
  <c r="C1309" i="1" s="1"/>
  <c r="C1308" i="1" s="1"/>
  <c r="C1307" i="1" s="1"/>
  <c r="C1306" i="1" s="1"/>
  <c r="C1305" i="1" s="1"/>
  <c r="C1304" i="1" s="1"/>
  <c r="C1303" i="1" s="1"/>
  <c r="C1302" i="1" s="1"/>
  <c r="C1301" i="1" s="1"/>
  <c r="C1300" i="1" s="1"/>
  <c r="C1299" i="1" s="1"/>
  <c r="C1298" i="1" s="1"/>
  <c r="C1297" i="1" s="1"/>
  <c r="C1296" i="1" s="1"/>
  <c r="C1295" i="1" s="1"/>
  <c r="C1294" i="1" s="1"/>
  <c r="C1293" i="1" s="1"/>
  <c r="C1292" i="1" s="1"/>
  <c r="C1291" i="1" s="1"/>
  <c r="C1290" i="1" s="1"/>
  <c r="C1289" i="1" s="1"/>
  <c r="C1288" i="1" s="1"/>
  <c r="C1287" i="1" s="1"/>
  <c r="C1286" i="1" s="1"/>
  <c r="C1285" i="1" s="1"/>
  <c r="C1284" i="1" s="1"/>
  <c r="C1283" i="1" s="1"/>
  <c r="C1282" i="1" s="1"/>
  <c r="C1281" i="1" s="1"/>
  <c r="C1280" i="1" s="1"/>
  <c r="C1279" i="1" s="1"/>
  <c r="C1278" i="1" s="1"/>
  <c r="C1277" i="1" s="1"/>
  <c r="C1276" i="1" s="1"/>
  <c r="C1275" i="1" s="1"/>
  <c r="C1274" i="1" s="1"/>
  <c r="C1273" i="1" s="1"/>
  <c r="C1272" i="1" s="1"/>
  <c r="C1271" i="1" s="1"/>
  <c r="C1270" i="1" s="1"/>
  <c r="C1269" i="1" s="1"/>
  <c r="C1268" i="1" s="1"/>
  <c r="C1267" i="1" s="1"/>
  <c r="C1266" i="1" s="1"/>
  <c r="C1265" i="1" s="1"/>
  <c r="C1264" i="1" s="1"/>
  <c r="C1263" i="1" s="1"/>
  <c r="C1262" i="1" s="1"/>
  <c r="C1261" i="1" s="1"/>
  <c r="C1260" i="1" s="1"/>
  <c r="C1259" i="1" s="1"/>
  <c r="C1258" i="1" s="1"/>
  <c r="C1257" i="1" s="1"/>
  <c r="C1256" i="1" s="1"/>
  <c r="C1255" i="1" s="1"/>
  <c r="C1254" i="1" s="1"/>
  <c r="C1253" i="1" s="1"/>
  <c r="C1252" i="1" s="1"/>
  <c r="C1251" i="1" s="1"/>
  <c r="C1250" i="1" s="1"/>
  <c r="C1249" i="1" s="1"/>
  <c r="C1248" i="1" s="1"/>
  <c r="C1247" i="1" s="1"/>
  <c r="C1246" i="1" s="1"/>
  <c r="C1245" i="1" s="1"/>
  <c r="C1244" i="1" s="1"/>
  <c r="C1243" i="1" s="1"/>
  <c r="C1242" i="1" s="1"/>
  <c r="C1241" i="1" s="1"/>
  <c r="C1240" i="1" s="1"/>
  <c r="C1239" i="1" s="1"/>
  <c r="C1238" i="1" s="1"/>
  <c r="C1237" i="1" s="1"/>
  <c r="C1236" i="1" s="1"/>
  <c r="C1235" i="1" s="1"/>
  <c r="C1234" i="1" s="1"/>
  <c r="C1233" i="1" s="1"/>
  <c r="C1232" i="1" s="1"/>
  <c r="C1231" i="1" s="1"/>
  <c r="C1230" i="1" s="1"/>
  <c r="C1229" i="1" s="1"/>
  <c r="C1228" i="1" s="1"/>
  <c r="C1227" i="1" s="1"/>
  <c r="C1226" i="1" s="1"/>
  <c r="C1225" i="1" s="1"/>
  <c r="C1224" i="1" s="1"/>
  <c r="C1223" i="1" s="1"/>
  <c r="C1222" i="1" s="1"/>
  <c r="C1221" i="1" s="1"/>
  <c r="C1220" i="1" s="1"/>
  <c r="C1219" i="1" s="1"/>
  <c r="C1218" i="1" s="1"/>
  <c r="C1217" i="1" s="1"/>
  <c r="C1216" i="1" s="1"/>
  <c r="C1215" i="1" s="1"/>
  <c r="C1214" i="1" s="1"/>
  <c r="C1213" i="1" s="1"/>
  <c r="C1212" i="1" s="1"/>
  <c r="C1211" i="1" s="1"/>
  <c r="C1210" i="1" s="1"/>
  <c r="C1209" i="1" s="1"/>
  <c r="C1208" i="1" s="1"/>
  <c r="C1207" i="1" s="1"/>
  <c r="C1206" i="1" s="1"/>
  <c r="C1205" i="1" s="1"/>
  <c r="C1204" i="1" s="1"/>
  <c r="C1203" i="1" s="1"/>
  <c r="C1202" i="1" s="1"/>
  <c r="C1201" i="1" s="1"/>
  <c r="C1200" i="1" s="1"/>
  <c r="C1199" i="1" s="1"/>
  <c r="C1198" i="1" s="1"/>
  <c r="C1197" i="1" s="1"/>
  <c r="C1196" i="1" s="1"/>
  <c r="C1195" i="1" s="1"/>
  <c r="C1194" i="1" s="1"/>
  <c r="C1193" i="1" s="1"/>
  <c r="C1192" i="1" s="1"/>
  <c r="C1191" i="1" s="1"/>
  <c r="C1190" i="1" s="1"/>
  <c r="C1189" i="1" s="1"/>
  <c r="C1188" i="1" s="1"/>
  <c r="C1187" i="1" s="1"/>
  <c r="C1186" i="1" s="1"/>
  <c r="C1185" i="1" s="1"/>
  <c r="C1184" i="1" s="1"/>
  <c r="C1183" i="1" s="1"/>
  <c r="C1182" i="1" s="1"/>
  <c r="C1181" i="1" s="1"/>
  <c r="C1180" i="1" s="1"/>
  <c r="C1179" i="1" s="1"/>
  <c r="C1178" i="1" s="1"/>
  <c r="C1177" i="1" s="1"/>
  <c r="C1176" i="1" s="1"/>
  <c r="C1175" i="1" s="1"/>
  <c r="C1174" i="1" s="1"/>
  <c r="C1173" i="1" s="1"/>
  <c r="C1172" i="1" s="1"/>
  <c r="C1171" i="1" s="1"/>
  <c r="C1170" i="1" s="1"/>
  <c r="C1169" i="1" s="1"/>
  <c r="C1168" i="1" s="1"/>
  <c r="C1167" i="1" s="1"/>
  <c r="C1166" i="1" s="1"/>
  <c r="C1165" i="1" s="1"/>
  <c r="C1164" i="1" s="1"/>
  <c r="C1163" i="1" s="1"/>
  <c r="C1162" i="1" s="1"/>
  <c r="C1161" i="1" s="1"/>
  <c r="C1160" i="1" s="1"/>
  <c r="C1159" i="1" s="1"/>
  <c r="C1158" i="1" s="1"/>
  <c r="C1157" i="1" s="1"/>
  <c r="C1156" i="1" s="1"/>
  <c r="C1155" i="1" s="1"/>
  <c r="C1154" i="1" s="1"/>
  <c r="C1153" i="1" s="1"/>
  <c r="C1152" i="1" s="1"/>
  <c r="C1151" i="1" s="1"/>
  <c r="C1150" i="1" s="1"/>
  <c r="C1149" i="1" s="1"/>
  <c r="C1148" i="1" s="1"/>
  <c r="C1147" i="1" s="1"/>
  <c r="C1146" i="1" s="1"/>
  <c r="C1145" i="1" s="1"/>
  <c r="C1144" i="1" s="1"/>
  <c r="C1143" i="1" s="1"/>
  <c r="C1142" i="1" s="1"/>
  <c r="C1141" i="1" s="1"/>
  <c r="C1140" i="1" s="1"/>
  <c r="C1139" i="1" s="1"/>
  <c r="C1138" i="1" s="1"/>
  <c r="C1137" i="1" s="1"/>
  <c r="C1136" i="1" s="1"/>
  <c r="C1135" i="1" s="1"/>
  <c r="C1134" i="1" s="1"/>
  <c r="C1133" i="1" s="1"/>
  <c r="C1132" i="1" s="1"/>
  <c r="C1131" i="1" s="1"/>
  <c r="C1130" i="1" s="1"/>
  <c r="C1129" i="1" s="1"/>
  <c r="C1128" i="1" s="1"/>
  <c r="C1127" i="1" s="1"/>
  <c r="C1126" i="1" s="1"/>
  <c r="C1125" i="1" s="1"/>
  <c r="C1124" i="1" s="1"/>
  <c r="C1123" i="1" s="1"/>
  <c r="C1122" i="1" s="1"/>
  <c r="C1121" i="1" s="1"/>
  <c r="C1120" i="1" s="1"/>
  <c r="C1119" i="1" s="1"/>
  <c r="C1118" i="1" s="1"/>
  <c r="C1117" i="1" s="1"/>
  <c r="C1116" i="1" s="1"/>
  <c r="C1115" i="1" s="1"/>
  <c r="C1114" i="1" s="1"/>
  <c r="C1113" i="1" s="1"/>
  <c r="C1112" i="1" s="1"/>
  <c r="C1111" i="1" s="1"/>
  <c r="C1110" i="1" s="1"/>
  <c r="C1109" i="1" s="1"/>
  <c r="C1108" i="1" s="1"/>
  <c r="C1107" i="1" s="1"/>
  <c r="C1106" i="1" s="1"/>
  <c r="C1105" i="1" s="1"/>
  <c r="C1104" i="1" s="1"/>
  <c r="C1103" i="1" s="1"/>
  <c r="C1102" i="1" s="1"/>
  <c r="C1101" i="1" s="1"/>
  <c r="C1100" i="1" s="1"/>
  <c r="C1099" i="1" s="1"/>
  <c r="C1098" i="1" s="1"/>
  <c r="C1097" i="1" s="1"/>
  <c r="C1096" i="1" s="1"/>
  <c r="C1095" i="1" s="1"/>
  <c r="C1094" i="1" s="1"/>
  <c r="C1093" i="1" s="1"/>
  <c r="C1092" i="1" s="1"/>
  <c r="C1091" i="1" s="1"/>
  <c r="C1090" i="1" s="1"/>
  <c r="C1089" i="1" s="1"/>
  <c r="C1088" i="1" s="1"/>
  <c r="C1087" i="1" s="1"/>
  <c r="C1086" i="1" s="1"/>
  <c r="C1085" i="1" s="1"/>
  <c r="C1084" i="1" s="1"/>
  <c r="C1083" i="1" s="1"/>
  <c r="C1082" i="1" s="1"/>
  <c r="C1081" i="1" s="1"/>
  <c r="C1080" i="1" s="1"/>
  <c r="C1079" i="1" s="1"/>
  <c r="C1078" i="1" s="1"/>
  <c r="C1077" i="1" s="1"/>
  <c r="C1076" i="1" s="1"/>
  <c r="C1075" i="1" s="1"/>
  <c r="C1074" i="1" s="1"/>
  <c r="C1073" i="1" s="1"/>
  <c r="C1072" i="1" s="1"/>
  <c r="C1071" i="1" s="1"/>
  <c r="C1070" i="1" s="1"/>
  <c r="C1069" i="1" s="1"/>
  <c r="C1068" i="1" s="1"/>
  <c r="C1067" i="1" s="1"/>
  <c r="C1066" i="1" s="1"/>
  <c r="C1065" i="1" s="1"/>
  <c r="C1064" i="1" s="1"/>
  <c r="C1063" i="1" s="1"/>
  <c r="C1062" i="1" s="1"/>
  <c r="C1061" i="1" s="1"/>
  <c r="C1060" i="1" s="1"/>
  <c r="C1059" i="1" s="1"/>
  <c r="C1058" i="1" s="1"/>
  <c r="C1057" i="1" s="1"/>
  <c r="C1056" i="1" s="1"/>
  <c r="C1055" i="1" s="1"/>
  <c r="C1054" i="1" s="1"/>
  <c r="C1053" i="1" s="1"/>
  <c r="C1052" i="1" s="1"/>
  <c r="C1051" i="1" s="1"/>
  <c r="C1050" i="1" s="1"/>
  <c r="C1049" i="1" s="1"/>
  <c r="C1048" i="1" s="1"/>
  <c r="C1047" i="1" s="1"/>
  <c r="C1046" i="1" s="1"/>
  <c r="C1045" i="1" s="1"/>
  <c r="C1044" i="1" s="1"/>
  <c r="C1043" i="1" s="1"/>
  <c r="C1042" i="1" s="1"/>
  <c r="C1041" i="1" s="1"/>
  <c r="C1040" i="1" s="1"/>
  <c r="C1039" i="1" s="1"/>
  <c r="C1038" i="1" s="1"/>
  <c r="C1037" i="1" s="1"/>
  <c r="C1036" i="1" s="1"/>
  <c r="C1035" i="1" s="1"/>
  <c r="C1034" i="1" s="1"/>
  <c r="C1033" i="1" s="1"/>
  <c r="C1032" i="1" s="1"/>
  <c r="C1031" i="1" s="1"/>
  <c r="C1030" i="1" s="1"/>
  <c r="C1029" i="1" s="1"/>
  <c r="C1028" i="1" s="1"/>
  <c r="C1027" i="1" s="1"/>
  <c r="C1026" i="1" s="1"/>
  <c r="C1025" i="1" s="1"/>
  <c r="C1024" i="1" s="1"/>
  <c r="C1023" i="1" s="1"/>
  <c r="C1022" i="1" s="1"/>
  <c r="C1021" i="1" s="1"/>
  <c r="C1020" i="1" s="1"/>
  <c r="C1019" i="1" s="1"/>
  <c r="C1018" i="1" s="1"/>
  <c r="C1017" i="1" s="1"/>
  <c r="C1016" i="1" s="1"/>
  <c r="C1015" i="1" s="1"/>
  <c r="C1014" i="1" s="1"/>
  <c r="C1013" i="1" s="1"/>
  <c r="C1012" i="1" s="1"/>
  <c r="C1011" i="1" s="1"/>
  <c r="C1010" i="1" s="1"/>
  <c r="C1009" i="1" s="1"/>
  <c r="C1008" i="1" s="1"/>
  <c r="C1007" i="1" s="1"/>
  <c r="C1006" i="1" s="1"/>
  <c r="C1005" i="1" s="1"/>
  <c r="C1004" i="1" s="1"/>
  <c r="C1003" i="1" s="1"/>
  <c r="C1002" i="1" s="1"/>
  <c r="C1001" i="1" s="1"/>
  <c r="C1000" i="1" s="1"/>
  <c r="C999" i="1" s="1"/>
  <c r="C998" i="1" s="1"/>
  <c r="C997" i="1" s="1"/>
  <c r="C996" i="1" s="1"/>
  <c r="C995" i="1" s="1"/>
  <c r="C994" i="1" s="1"/>
  <c r="C993" i="1" s="1"/>
  <c r="C992" i="1" s="1"/>
  <c r="C991" i="1" s="1"/>
  <c r="C990" i="1" s="1"/>
  <c r="C989" i="1" s="1"/>
  <c r="C988" i="1" s="1"/>
  <c r="C987" i="1" s="1"/>
  <c r="C986" i="1" s="1"/>
  <c r="C985" i="1" s="1"/>
  <c r="C984" i="1" s="1"/>
  <c r="C983" i="1" s="1"/>
  <c r="C982" i="1" s="1"/>
  <c r="C981" i="1" s="1"/>
  <c r="C980" i="1" s="1"/>
  <c r="C979" i="1" s="1"/>
  <c r="C978" i="1" s="1"/>
  <c r="C977" i="1" s="1"/>
  <c r="C976" i="1" s="1"/>
  <c r="C975" i="1" s="1"/>
  <c r="C974" i="1" s="1"/>
  <c r="C973" i="1" s="1"/>
  <c r="C972" i="1" s="1"/>
  <c r="C971" i="1" s="1"/>
  <c r="C970" i="1" s="1"/>
  <c r="C969" i="1" s="1"/>
  <c r="C968" i="1" s="1"/>
  <c r="C967" i="1" s="1"/>
  <c r="C966" i="1" s="1"/>
  <c r="C965" i="1" s="1"/>
  <c r="C964" i="1" s="1"/>
  <c r="C963" i="1" s="1"/>
  <c r="C962" i="1" s="1"/>
  <c r="C961" i="1" s="1"/>
  <c r="C960" i="1" s="1"/>
  <c r="C959" i="1" s="1"/>
  <c r="C958" i="1" s="1"/>
  <c r="C957" i="1" s="1"/>
  <c r="C956" i="1" s="1"/>
  <c r="C955" i="1" s="1"/>
  <c r="C954" i="1" s="1"/>
  <c r="C953" i="1" s="1"/>
  <c r="C952" i="1" s="1"/>
  <c r="C951" i="1" s="1"/>
  <c r="C950" i="1" s="1"/>
  <c r="C949" i="1" s="1"/>
  <c r="C948" i="1" s="1"/>
  <c r="C947" i="1" s="1"/>
  <c r="C946" i="1" s="1"/>
  <c r="C945" i="1" s="1"/>
  <c r="C944" i="1" s="1"/>
  <c r="C943" i="1" s="1"/>
  <c r="C942" i="1" s="1"/>
  <c r="C941" i="1" s="1"/>
  <c r="C940" i="1" s="1"/>
  <c r="C939" i="1" s="1"/>
  <c r="C938" i="1" s="1"/>
  <c r="C937" i="1" s="1"/>
  <c r="C936" i="1" s="1"/>
  <c r="C935" i="1" s="1"/>
  <c r="C934" i="1" s="1"/>
  <c r="C933" i="1" s="1"/>
  <c r="C932" i="1" s="1"/>
  <c r="C931" i="1" s="1"/>
  <c r="C930" i="1" s="1"/>
  <c r="C929" i="1" s="1"/>
  <c r="C928" i="1" s="1"/>
  <c r="C927" i="1" s="1"/>
  <c r="C926" i="1" s="1"/>
  <c r="C925" i="1" s="1"/>
  <c r="C924" i="1" s="1"/>
  <c r="C923" i="1" s="1"/>
  <c r="C922" i="1" s="1"/>
  <c r="C921" i="1" s="1"/>
  <c r="C920" i="1" s="1"/>
  <c r="C919" i="1" s="1"/>
  <c r="C918" i="1" s="1"/>
  <c r="C917" i="1" s="1"/>
  <c r="C916" i="1" s="1"/>
  <c r="C915" i="1" s="1"/>
  <c r="C914" i="1" s="1"/>
  <c r="C913" i="1" s="1"/>
  <c r="C912" i="1" s="1"/>
  <c r="C911" i="1" s="1"/>
  <c r="C910" i="1" s="1"/>
  <c r="C909" i="1" s="1"/>
  <c r="C908" i="1" s="1"/>
  <c r="C907" i="1" s="1"/>
  <c r="C906" i="1" s="1"/>
  <c r="C905" i="1" s="1"/>
  <c r="C904" i="1" s="1"/>
  <c r="C903" i="1" s="1"/>
  <c r="C902" i="1" s="1"/>
  <c r="C901" i="1" s="1"/>
  <c r="C900" i="1" s="1"/>
  <c r="C899" i="1" s="1"/>
  <c r="C898" i="1" s="1"/>
  <c r="C897" i="1" s="1"/>
  <c r="C896" i="1" s="1"/>
  <c r="C895" i="1" s="1"/>
  <c r="C894" i="1" s="1"/>
  <c r="C893" i="1" s="1"/>
  <c r="C892" i="1" s="1"/>
  <c r="C891" i="1" s="1"/>
  <c r="C890" i="1" s="1"/>
  <c r="C889" i="1" s="1"/>
  <c r="C888" i="1" s="1"/>
  <c r="C887" i="1" s="1"/>
  <c r="C886" i="1" s="1"/>
  <c r="C885" i="1" s="1"/>
  <c r="C884" i="1" s="1"/>
  <c r="C883" i="1" s="1"/>
  <c r="C882" i="1" s="1"/>
  <c r="C881" i="1" s="1"/>
  <c r="C880" i="1" s="1"/>
  <c r="C879" i="1" s="1"/>
  <c r="C878" i="1" s="1"/>
  <c r="C877" i="1" s="1"/>
  <c r="C876" i="1" s="1"/>
  <c r="C875" i="1" s="1"/>
  <c r="C874" i="1" s="1"/>
  <c r="C873" i="1" s="1"/>
  <c r="C872" i="1" s="1"/>
  <c r="C871" i="1" s="1"/>
  <c r="C870" i="1" s="1"/>
  <c r="C869" i="1" s="1"/>
  <c r="C868" i="1" s="1"/>
  <c r="C867" i="1" s="1"/>
  <c r="C866" i="1" s="1"/>
  <c r="C865" i="1" s="1"/>
  <c r="C864" i="1" s="1"/>
  <c r="C863" i="1" s="1"/>
  <c r="C862" i="1" s="1"/>
  <c r="C861" i="1" s="1"/>
  <c r="C860" i="1" s="1"/>
  <c r="C859" i="1" s="1"/>
  <c r="C858" i="1" s="1"/>
  <c r="C857" i="1" s="1"/>
  <c r="C856" i="1" s="1"/>
  <c r="C855" i="1" s="1"/>
  <c r="C854" i="1" s="1"/>
  <c r="C853" i="1" s="1"/>
  <c r="C852" i="1" s="1"/>
  <c r="C851" i="1" s="1"/>
  <c r="C850" i="1" s="1"/>
  <c r="C849" i="1" s="1"/>
  <c r="C848" i="1" s="1"/>
  <c r="C847" i="1" s="1"/>
  <c r="C846" i="1" s="1"/>
  <c r="C845" i="1" s="1"/>
  <c r="C844" i="1" s="1"/>
  <c r="C843" i="1" s="1"/>
  <c r="C842" i="1" s="1"/>
  <c r="C841" i="1" s="1"/>
  <c r="C840" i="1" s="1"/>
  <c r="C839" i="1" s="1"/>
  <c r="C838" i="1" s="1"/>
  <c r="C837" i="1" s="1"/>
  <c r="C836" i="1" s="1"/>
  <c r="C835" i="1" s="1"/>
  <c r="C834" i="1" s="1"/>
  <c r="C833" i="1" s="1"/>
  <c r="C832" i="1" s="1"/>
  <c r="C831" i="1" s="1"/>
  <c r="C830" i="1" s="1"/>
  <c r="C829" i="1" s="1"/>
  <c r="C828" i="1" s="1"/>
  <c r="C827" i="1" s="1"/>
  <c r="C826" i="1" s="1"/>
  <c r="C825" i="1" s="1"/>
  <c r="C824" i="1" s="1"/>
  <c r="C823" i="1" s="1"/>
  <c r="C822" i="1" s="1"/>
  <c r="C821" i="1" s="1"/>
  <c r="C820" i="1" s="1"/>
  <c r="C819" i="1" s="1"/>
  <c r="C818" i="1" s="1"/>
  <c r="C817" i="1" s="1"/>
  <c r="C816" i="1" s="1"/>
  <c r="C815" i="1" s="1"/>
  <c r="C814" i="1" s="1"/>
  <c r="C813" i="1" s="1"/>
  <c r="C812" i="1" s="1"/>
  <c r="C811" i="1" s="1"/>
  <c r="C810" i="1" s="1"/>
  <c r="C809" i="1" s="1"/>
  <c r="C808" i="1" s="1"/>
  <c r="C807" i="1" s="1"/>
  <c r="C806" i="1" s="1"/>
  <c r="C805" i="1" s="1"/>
  <c r="C804" i="1" s="1"/>
  <c r="C803" i="1" s="1"/>
  <c r="C802" i="1" s="1"/>
  <c r="C801" i="1" s="1"/>
  <c r="C800" i="1" s="1"/>
  <c r="C799" i="1" s="1"/>
  <c r="C798" i="1" s="1"/>
  <c r="C797" i="1" s="1"/>
  <c r="C796" i="1" s="1"/>
  <c r="C795" i="1" s="1"/>
  <c r="C794" i="1" s="1"/>
  <c r="C793" i="1" s="1"/>
  <c r="C792" i="1" s="1"/>
  <c r="C791" i="1" s="1"/>
  <c r="C790" i="1" s="1"/>
  <c r="C789" i="1" s="1"/>
  <c r="C788" i="1" s="1"/>
  <c r="C787" i="1" s="1"/>
  <c r="C786" i="1" s="1"/>
  <c r="C785" i="1" s="1"/>
  <c r="C784" i="1" s="1"/>
  <c r="C783" i="1" s="1"/>
  <c r="C782" i="1" s="1"/>
  <c r="C781" i="1" s="1"/>
  <c r="C780" i="1" s="1"/>
  <c r="C779" i="1" s="1"/>
  <c r="C778" i="1" s="1"/>
  <c r="C777" i="1" s="1"/>
  <c r="C776" i="1" s="1"/>
  <c r="C775" i="1" s="1"/>
  <c r="C774" i="1" s="1"/>
  <c r="C773" i="1" s="1"/>
  <c r="C772" i="1" s="1"/>
  <c r="C771" i="1" s="1"/>
  <c r="C770" i="1" s="1"/>
  <c r="C769" i="1" s="1"/>
  <c r="C768" i="1" s="1"/>
  <c r="C767" i="1" s="1"/>
  <c r="C766" i="1" s="1"/>
  <c r="C765" i="1" s="1"/>
  <c r="C764" i="1" s="1"/>
  <c r="C763" i="1" s="1"/>
  <c r="C762" i="1" s="1"/>
  <c r="C761" i="1" s="1"/>
  <c r="C760" i="1" s="1"/>
  <c r="C759" i="1" s="1"/>
  <c r="C758" i="1" s="1"/>
  <c r="C757" i="1" s="1"/>
  <c r="C756" i="1" s="1"/>
  <c r="C755" i="1" s="1"/>
  <c r="C754" i="1" s="1"/>
  <c r="C753" i="1" s="1"/>
  <c r="C752" i="1" s="1"/>
  <c r="C751" i="1" s="1"/>
  <c r="C750" i="1" s="1"/>
  <c r="C749" i="1" s="1"/>
  <c r="C748" i="1" s="1"/>
  <c r="C747" i="1" s="1"/>
  <c r="C746" i="1" s="1"/>
  <c r="C745" i="1" s="1"/>
  <c r="C744" i="1" s="1"/>
  <c r="C743" i="1" s="1"/>
  <c r="C742" i="1" s="1"/>
  <c r="C741" i="1" s="1"/>
  <c r="C740" i="1" s="1"/>
  <c r="C739" i="1" s="1"/>
  <c r="C738" i="1" s="1"/>
  <c r="C737" i="1" s="1"/>
  <c r="C736" i="1" s="1"/>
  <c r="C735" i="1" s="1"/>
  <c r="C734" i="1" s="1"/>
  <c r="C733" i="1" s="1"/>
  <c r="C732" i="1" s="1"/>
  <c r="C731" i="1" s="1"/>
  <c r="C730" i="1" s="1"/>
  <c r="C729" i="1" s="1"/>
  <c r="C728" i="1" s="1"/>
  <c r="C727" i="1" s="1"/>
  <c r="C726" i="1" s="1"/>
  <c r="C725" i="1" s="1"/>
  <c r="C724" i="1" s="1"/>
  <c r="C723" i="1" s="1"/>
  <c r="C722" i="1" s="1"/>
  <c r="C721" i="1" s="1"/>
  <c r="C720" i="1" s="1"/>
  <c r="C719" i="1" s="1"/>
  <c r="C718" i="1" s="1"/>
  <c r="C717" i="1" s="1"/>
  <c r="C716" i="1" s="1"/>
  <c r="C715" i="1" s="1"/>
  <c r="C714" i="1" s="1"/>
  <c r="C713" i="1" s="1"/>
  <c r="C712" i="1" s="1"/>
  <c r="C711" i="1" s="1"/>
  <c r="C710" i="1" s="1"/>
  <c r="C709" i="1" s="1"/>
  <c r="C708" i="1" s="1"/>
  <c r="C707" i="1" s="1"/>
  <c r="C706" i="1" s="1"/>
  <c r="C705" i="1" s="1"/>
  <c r="C704" i="1" s="1"/>
  <c r="C703" i="1" s="1"/>
  <c r="C702" i="1" s="1"/>
  <c r="C701" i="1" s="1"/>
  <c r="C700" i="1" s="1"/>
  <c r="C699" i="1" s="1"/>
  <c r="C698" i="1" s="1"/>
  <c r="C697" i="1" s="1"/>
  <c r="C696" i="1" s="1"/>
  <c r="C695" i="1" s="1"/>
  <c r="C694" i="1" s="1"/>
  <c r="C693" i="1" s="1"/>
  <c r="C692" i="1" s="1"/>
  <c r="C691" i="1" s="1"/>
  <c r="C690" i="1" s="1"/>
  <c r="C689" i="1" s="1"/>
  <c r="C688" i="1" s="1"/>
  <c r="C687" i="1" s="1"/>
  <c r="C686" i="1" s="1"/>
  <c r="C685" i="1" s="1"/>
  <c r="C684" i="1" s="1"/>
  <c r="C683" i="1" s="1"/>
  <c r="C682" i="1" s="1"/>
  <c r="C681" i="1" s="1"/>
  <c r="C680" i="1" s="1"/>
  <c r="C679" i="1" s="1"/>
  <c r="C678" i="1" s="1"/>
  <c r="C677" i="1" s="1"/>
  <c r="C676" i="1" s="1"/>
  <c r="C675" i="1" s="1"/>
  <c r="C674" i="1" s="1"/>
  <c r="C673" i="1" s="1"/>
  <c r="C672" i="1" s="1"/>
  <c r="C671" i="1" s="1"/>
  <c r="C670" i="1" s="1"/>
  <c r="C669" i="1" s="1"/>
  <c r="C668" i="1" s="1"/>
  <c r="C667" i="1" s="1"/>
  <c r="C666" i="1" s="1"/>
  <c r="C665" i="1" s="1"/>
  <c r="C664" i="1" s="1"/>
  <c r="C663" i="1" s="1"/>
  <c r="C662" i="1" s="1"/>
  <c r="C661" i="1" s="1"/>
  <c r="C660" i="1" s="1"/>
  <c r="C659" i="1" s="1"/>
  <c r="C658" i="1" s="1"/>
  <c r="C657" i="1" s="1"/>
  <c r="C656" i="1" s="1"/>
  <c r="C655" i="1" s="1"/>
  <c r="C654" i="1" s="1"/>
  <c r="C653" i="1" s="1"/>
  <c r="C652" i="1" s="1"/>
  <c r="C651" i="1" s="1"/>
  <c r="C650" i="1" s="1"/>
  <c r="C649" i="1" s="1"/>
  <c r="C648" i="1" s="1"/>
  <c r="C647" i="1" s="1"/>
  <c r="C646" i="1" s="1"/>
  <c r="C645" i="1" s="1"/>
  <c r="C644" i="1" s="1"/>
  <c r="C643" i="1" s="1"/>
  <c r="C642" i="1" s="1"/>
  <c r="C641" i="1" s="1"/>
  <c r="C640" i="1" s="1"/>
  <c r="C639" i="1" s="1"/>
  <c r="C638" i="1" s="1"/>
  <c r="C637" i="1" s="1"/>
  <c r="C636" i="1" s="1"/>
  <c r="C635" i="1" s="1"/>
  <c r="C634" i="1" s="1"/>
  <c r="C633" i="1" s="1"/>
  <c r="C632" i="1" s="1"/>
  <c r="C631" i="1" s="1"/>
  <c r="C630" i="1" s="1"/>
  <c r="C629" i="1" s="1"/>
  <c r="C628" i="1" s="1"/>
  <c r="C627" i="1" s="1"/>
  <c r="C626" i="1" s="1"/>
  <c r="C625" i="1" s="1"/>
  <c r="C624" i="1" s="1"/>
  <c r="C623" i="1" s="1"/>
  <c r="C622" i="1" s="1"/>
  <c r="C621" i="1" s="1"/>
  <c r="C620" i="1" s="1"/>
  <c r="C619" i="1" s="1"/>
  <c r="C618" i="1" s="1"/>
  <c r="C617" i="1" s="1"/>
  <c r="C616" i="1" s="1"/>
  <c r="C615" i="1" s="1"/>
  <c r="C614" i="1" s="1"/>
  <c r="C613" i="1" s="1"/>
  <c r="C612" i="1" s="1"/>
  <c r="C611" i="1" s="1"/>
  <c r="C610" i="1" s="1"/>
  <c r="C609" i="1" s="1"/>
  <c r="C608" i="1" s="1"/>
  <c r="C607" i="1" s="1"/>
  <c r="C606" i="1" s="1"/>
  <c r="C605" i="1" s="1"/>
  <c r="C604" i="1" s="1"/>
  <c r="C603" i="1" s="1"/>
  <c r="C602" i="1" s="1"/>
  <c r="C601" i="1" s="1"/>
  <c r="C600" i="1" s="1"/>
  <c r="C599" i="1" s="1"/>
  <c r="C598" i="1" s="1"/>
  <c r="C597" i="1" s="1"/>
  <c r="C596" i="1" s="1"/>
  <c r="C595" i="1" s="1"/>
  <c r="C594" i="1" s="1"/>
  <c r="C593" i="1" s="1"/>
  <c r="C592" i="1" s="1"/>
  <c r="C591" i="1" s="1"/>
  <c r="C590" i="1" s="1"/>
  <c r="C589" i="1" s="1"/>
  <c r="C588" i="1" s="1"/>
  <c r="C587" i="1" s="1"/>
  <c r="C586" i="1" s="1"/>
  <c r="C585" i="1" s="1"/>
  <c r="C584" i="1" s="1"/>
  <c r="C583" i="1" s="1"/>
  <c r="C582" i="1" s="1"/>
  <c r="C581" i="1" s="1"/>
  <c r="C580" i="1" s="1"/>
  <c r="C579" i="1" s="1"/>
  <c r="C578" i="1" s="1"/>
  <c r="C577" i="1" s="1"/>
  <c r="C576" i="1" s="1"/>
  <c r="C575" i="1" s="1"/>
  <c r="C574" i="1" s="1"/>
  <c r="C573" i="1" s="1"/>
  <c r="C572" i="1" s="1"/>
  <c r="C571" i="1" s="1"/>
  <c r="C570" i="1" s="1"/>
  <c r="C569" i="1" s="1"/>
  <c r="C568" i="1" s="1"/>
  <c r="C567" i="1" s="1"/>
  <c r="C566" i="1" s="1"/>
  <c r="C565" i="1" s="1"/>
  <c r="C564" i="1" s="1"/>
  <c r="C563" i="1" s="1"/>
  <c r="C562" i="1" s="1"/>
  <c r="C561" i="1" s="1"/>
  <c r="C560" i="1" s="1"/>
  <c r="C559" i="1" s="1"/>
  <c r="C558" i="1" s="1"/>
  <c r="C557" i="1" s="1"/>
  <c r="C556" i="1" s="1"/>
  <c r="C555" i="1" s="1"/>
  <c r="C554" i="1" s="1"/>
  <c r="C553" i="1" s="1"/>
  <c r="C552" i="1" s="1"/>
  <c r="C551" i="1" s="1"/>
  <c r="C550" i="1" s="1"/>
  <c r="C549" i="1" s="1"/>
  <c r="C548" i="1" s="1"/>
  <c r="C547" i="1" s="1"/>
  <c r="C546" i="1" s="1"/>
  <c r="C545" i="1" s="1"/>
  <c r="C544" i="1" s="1"/>
  <c r="C543" i="1" s="1"/>
  <c r="C542" i="1" s="1"/>
  <c r="C541" i="1" s="1"/>
  <c r="C540" i="1" s="1"/>
  <c r="C539" i="1" s="1"/>
  <c r="C538" i="1" s="1"/>
  <c r="C537" i="1" s="1"/>
  <c r="C536" i="1" s="1"/>
  <c r="C535" i="1" s="1"/>
  <c r="C534" i="1" s="1"/>
  <c r="C533" i="1" s="1"/>
  <c r="C532" i="1" s="1"/>
  <c r="C531" i="1" s="1"/>
  <c r="C530" i="1" s="1"/>
  <c r="C529" i="1" s="1"/>
  <c r="C528" i="1" s="1"/>
  <c r="C527" i="1" s="1"/>
  <c r="C526" i="1" s="1"/>
  <c r="C525" i="1" s="1"/>
  <c r="C524" i="1" s="1"/>
  <c r="C523" i="1" s="1"/>
  <c r="C522" i="1" s="1"/>
  <c r="C521" i="1" s="1"/>
  <c r="C520" i="1" s="1"/>
  <c r="C519" i="1" s="1"/>
  <c r="C518" i="1" s="1"/>
  <c r="C517" i="1" s="1"/>
  <c r="C516" i="1" s="1"/>
  <c r="C515" i="1" s="1"/>
  <c r="C514" i="1" s="1"/>
  <c r="C513" i="1" s="1"/>
  <c r="C512" i="1" s="1"/>
  <c r="C511" i="1" s="1"/>
  <c r="C510" i="1" s="1"/>
  <c r="C509" i="1" s="1"/>
  <c r="C508" i="1" s="1"/>
  <c r="C507" i="1" s="1"/>
  <c r="C506" i="1" s="1"/>
  <c r="C505" i="1" s="1"/>
  <c r="C504" i="1" s="1"/>
  <c r="C503" i="1" s="1"/>
  <c r="C502" i="1" s="1"/>
  <c r="C501" i="1" s="1"/>
  <c r="C500" i="1" s="1"/>
  <c r="C499" i="1" s="1"/>
  <c r="C498" i="1" s="1"/>
  <c r="C497" i="1" s="1"/>
  <c r="C496" i="1" s="1"/>
  <c r="C495" i="1" s="1"/>
  <c r="C494" i="1" s="1"/>
  <c r="C493" i="1" s="1"/>
  <c r="C492" i="1" s="1"/>
  <c r="C491" i="1" s="1"/>
  <c r="C490" i="1" s="1"/>
  <c r="C489" i="1" s="1"/>
  <c r="C488" i="1" s="1"/>
  <c r="C487" i="1" s="1"/>
  <c r="C486" i="1" s="1"/>
  <c r="C485" i="1" s="1"/>
  <c r="C484" i="1" s="1"/>
  <c r="C483" i="1" s="1"/>
  <c r="C482" i="1" s="1"/>
  <c r="C481" i="1" s="1"/>
  <c r="C480" i="1" s="1"/>
  <c r="C479" i="1" s="1"/>
  <c r="C478" i="1" s="1"/>
  <c r="C477" i="1" s="1"/>
  <c r="C476" i="1" s="1"/>
  <c r="C475" i="1" s="1"/>
  <c r="C474" i="1" s="1"/>
  <c r="C473" i="1" s="1"/>
  <c r="C472" i="1" s="1"/>
  <c r="C471" i="1" s="1"/>
  <c r="C470" i="1" s="1"/>
  <c r="C469" i="1" s="1"/>
  <c r="C468" i="1" s="1"/>
  <c r="C467" i="1" s="1"/>
  <c r="C466" i="1" s="1"/>
  <c r="C465" i="1" s="1"/>
  <c r="C464" i="1" s="1"/>
  <c r="C463" i="1" s="1"/>
  <c r="C462" i="1" s="1"/>
  <c r="C461" i="1" s="1"/>
  <c r="C460" i="1" s="1"/>
  <c r="C459" i="1" s="1"/>
  <c r="C458" i="1" s="1"/>
  <c r="C457" i="1" s="1"/>
  <c r="C456" i="1" s="1"/>
  <c r="C455" i="1" s="1"/>
  <c r="C454" i="1" s="1"/>
  <c r="C453" i="1" s="1"/>
  <c r="C452" i="1" s="1"/>
  <c r="C451" i="1" s="1"/>
  <c r="C450" i="1" s="1"/>
  <c r="C449" i="1" s="1"/>
  <c r="C448" i="1" s="1"/>
  <c r="C447" i="1" s="1"/>
  <c r="C446" i="1" s="1"/>
  <c r="C445" i="1" s="1"/>
  <c r="C444" i="1" s="1"/>
  <c r="C443" i="1" s="1"/>
  <c r="C442" i="1" s="1"/>
  <c r="C441" i="1" s="1"/>
  <c r="C440" i="1" s="1"/>
  <c r="C439" i="1" s="1"/>
  <c r="C438" i="1" s="1"/>
  <c r="C437" i="1" s="1"/>
  <c r="C436" i="1" s="1"/>
  <c r="C435" i="1" s="1"/>
  <c r="C434" i="1" s="1"/>
  <c r="C433" i="1" s="1"/>
  <c r="C432" i="1" s="1"/>
  <c r="C431" i="1" s="1"/>
  <c r="C430" i="1" s="1"/>
  <c r="C429" i="1" s="1"/>
  <c r="C428" i="1" s="1"/>
  <c r="C427" i="1" s="1"/>
  <c r="C426" i="1" s="1"/>
  <c r="C425" i="1" s="1"/>
  <c r="C424" i="1" s="1"/>
  <c r="C423" i="1" s="1"/>
  <c r="C422" i="1" s="1"/>
  <c r="C421" i="1" s="1"/>
  <c r="C420" i="1" s="1"/>
  <c r="C419" i="1" s="1"/>
  <c r="C418" i="1" s="1"/>
  <c r="C417" i="1" s="1"/>
  <c r="C416" i="1" s="1"/>
  <c r="C415" i="1" s="1"/>
  <c r="C414" i="1" s="1"/>
  <c r="C413" i="1" s="1"/>
  <c r="C412" i="1" s="1"/>
  <c r="C411" i="1" s="1"/>
  <c r="C410" i="1" s="1"/>
  <c r="C409" i="1" s="1"/>
  <c r="C408" i="1" s="1"/>
  <c r="C407" i="1" s="1"/>
  <c r="C406" i="1" s="1"/>
  <c r="C405" i="1" s="1"/>
  <c r="C404" i="1" s="1"/>
  <c r="C403" i="1" s="1"/>
  <c r="C402" i="1" s="1"/>
  <c r="C401" i="1" s="1"/>
  <c r="C400" i="1" s="1"/>
  <c r="C399" i="1" s="1"/>
  <c r="C398" i="1" s="1"/>
  <c r="C397" i="1" s="1"/>
  <c r="C396" i="1" s="1"/>
  <c r="C395" i="1" s="1"/>
  <c r="C394" i="1" s="1"/>
  <c r="C393" i="1" s="1"/>
  <c r="C392" i="1" s="1"/>
  <c r="C391" i="1" s="1"/>
  <c r="C390" i="1" s="1"/>
  <c r="C389" i="1" s="1"/>
  <c r="C388" i="1" s="1"/>
  <c r="C387" i="1" s="1"/>
  <c r="C386" i="1" s="1"/>
  <c r="C385" i="1" s="1"/>
  <c r="C384" i="1" s="1"/>
  <c r="C383" i="1" s="1"/>
  <c r="C382" i="1" s="1"/>
  <c r="C381" i="1" s="1"/>
  <c r="C380" i="1" s="1"/>
  <c r="C379" i="1" s="1"/>
  <c r="C378" i="1" s="1"/>
  <c r="C377" i="1" s="1"/>
  <c r="C376" i="1" s="1"/>
  <c r="C375" i="1" s="1"/>
  <c r="C374" i="1" s="1"/>
  <c r="C373" i="1" s="1"/>
  <c r="C372" i="1" s="1"/>
  <c r="C371" i="1" s="1"/>
  <c r="C370" i="1" s="1"/>
  <c r="C369" i="1" s="1"/>
  <c r="C368" i="1" s="1"/>
  <c r="C367" i="1" s="1"/>
  <c r="C366" i="1" s="1"/>
  <c r="C365" i="1" s="1"/>
  <c r="C364" i="1" s="1"/>
  <c r="C363" i="1" s="1"/>
  <c r="C362" i="1" s="1"/>
  <c r="C361" i="1" s="1"/>
  <c r="C360" i="1" s="1"/>
  <c r="C359" i="1" s="1"/>
  <c r="C358" i="1" s="1"/>
  <c r="C357" i="1" s="1"/>
  <c r="C356" i="1" s="1"/>
  <c r="C355" i="1" s="1"/>
  <c r="C354" i="1" s="1"/>
  <c r="C353" i="1" s="1"/>
  <c r="C352" i="1" s="1"/>
  <c r="C351" i="1" s="1"/>
  <c r="C350" i="1" s="1"/>
  <c r="C349" i="1" s="1"/>
  <c r="C348" i="1" s="1"/>
  <c r="C347" i="1" s="1"/>
  <c r="C346" i="1" s="1"/>
  <c r="C345" i="1" s="1"/>
  <c r="C344" i="1" s="1"/>
  <c r="C343" i="1" s="1"/>
  <c r="C342" i="1" s="1"/>
  <c r="C341" i="1" s="1"/>
  <c r="C340" i="1" s="1"/>
  <c r="C339" i="1" s="1"/>
  <c r="C338" i="1" s="1"/>
  <c r="C337" i="1" s="1"/>
  <c r="C336" i="1" s="1"/>
  <c r="C335" i="1" s="1"/>
  <c r="C334" i="1" s="1"/>
  <c r="C333" i="1" s="1"/>
  <c r="C332" i="1" s="1"/>
  <c r="C331" i="1" s="1"/>
  <c r="C330" i="1" s="1"/>
  <c r="C329" i="1" s="1"/>
  <c r="C328" i="1" s="1"/>
  <c r="C327" i="1" s="1"/>
  <c r="C326" i="1" s="1"/>
  <c r="C325" i="1" s="1"/>
  <c r="C324" i="1" s="1"/>
  <c r="C323" i="1" s="1"/>
  <c r="C322" i="1" s="1"/>
  <c r="C321" i="1" s="1"/>
  <c r="C320" i="1" s="1"/>
  <c r="C319" i="1" s="1"/>
  <c r="C318" i="1" s="1"/>
  <c r="C317" i="1" s="1"/>
  <c r="C316" i="1" s="1"/>
  <c r="C315" i="1" s="1"/>
  <c r="C314" i="1" s="1"/>
  <c r="C313" i="1" s="1"/>
  <c r="C312" i="1" s="1"/>
  <c r="C311" i="1" s="1"/>
  <c r="C310" i="1" s="1"/>
  <c r="C309" i="1" s="1"/>
  <c r="C308" i="1" s="1"/>
  <c r="C307" i="1" s="1"/>
  <c r="C306" i="1" s="1"/>
  <c r="C305" i="1" s="1"/>
  <c r="C304" i="1" s="1"/>
  <c r="C303" i="1" s="1"/>
  <c r="C302" i="1" s="1"/>
  <c r="C301" i="1" s="1"/>
  <c r="C300" i="1" s="1"/>
  <c r="C299" i="1" s="1"/>
  <c r="C298" i="1" s="1"/>
  <c r="C297" i="1" s="1"/>
  <c r="C296" i="1" s="1"/>
  <c r="C295" i="1" s="1"/>
  <c r="C294" i="1" s="1"/>
  <c r="C293" i="1" s="1"/>
  <c r="C292" i="1" s="1"/>
  <c r="C291" i="1" s="1"/>
  <c r="C290" i="1" s="1"/>
  <c r="C289" i="1" s="1"/>
  <c r="C288" i="1" s="1"/>
  <c r="C287" i="1" s="1"/>
  <c r="C286" i="1" s="1"/>
  <c r="C285" i="1" s="1"/>
  <c r="C284" i="1" s="1"/>
  <c r="C283" i="1" s="1"/>
  <c r="C282" i="1" s="1"/>
  <c r="C281" i="1" s="1"/>
  <c r="C280" i="1" s="1"/>
  <c r="C279" i="1" s="1"/>
  <c r="C278" i="1" s="1"/>
  <c r="C277" i="1" s="1"/>
  <c r="C276" i="1" s="1"/>
  <c r="C275" i="1" s="1"/>
  <c r="C274" i="1" s="1"/>
  <c r="C273" i="1" s="1"/>
  <c r="C272" i="1" s="1"/>
  <c r="C271" i="1" s="1"/>
  <c r="C270" i="1" s="1"/>
  <c r="C269" i="1" s="1"/>
  <c r="C268" i="1" s="1"/>
  <c r="C267" i="1" s="1"/>
  <c r="C266" i="1" s="1"/>
  <c r="C265" i="1" s="1"/>
  <c r="C264" i="1" s="1"/>
  <c r="C263" i="1" s="1"/>
  <c r="C262" i="1" s="1"/>
  <c r="C261" i="1" s="1"/>
  <c r="C260" i="1" s="1"/>
  <c r="C259" i="1" s="1"/>
  <c r="C258" i="1" s="1"/>
  <c r="C257" i="1" s="1"/>
  <c r="C256" i="1" s="1"/>
  <c r="C255" i="1" s="1"/>
  <c r="C254" i="1" s="1"/>
  <c r="C253" i="1" s="1"/>
  <c r="C252" i="1" s="1"/>
  <c r="C251" i="1" s="1"/>
  <c r="C250" i="1" s="1"/>
  <c r="C249" i="1" s="1"/>
  <c r="C248" i="1" s="1"/>
  <c r="C247" i="1" s="1"/>
  <c r="C246" i="1" s="1"/>
  <c r="C245" i="1" s="1"/>
  <c r="C244" i="1" s="1"/>
  <c r="C243" i="1" s="1"/>
  <c r="C242" i="1" s="1"/>
  <c r="C241" i="1" s="1"/>
  <c r="C240" i="1" s="1"/>
  <c r="C239" i="1" s="1"/>
  <c r="C238" i="1" s="1"/>
  <c r="C237" i="1" s="1"/>
  <c r="C236" i="1" s="1"/>
  <c r="C235" i="1" s="1"/>
  <c r="C234" i="1" s="1"/>
  <c r="C233" i="1" s="1"/>
  <c r="C232" i="1" s="1"/>
  <c r="C231" i="1" s="1"/>
  <c r="C230" i="1" s="1"/>
  <c r="C229" i="1" s="1"/>
  <c r="C228" i="1" s="1"/>
  <c r="C227" i="1" s="1"/>
  <c r="C226" i="1" s="1"/>
  <c r="C225" i="1" s="1"/>
  <c r="C224" i="1" s="1"/>
  <c r="C223" i="1" s="1"/>
  <c r="C222" i="1" s="1"/>
  <c r="C221" i="1" s="1"/>
  <c r="C220" i="1" s="1"/>
  <c r="C219" i="1" s="1"/>
  <c r="C218" i="1" s="1"/>
  <c r="C217" i="1" s="1"/>
  <c r="C216" i="1" s="1"/>
  <c r="C215" i="1" s="1"/>
  <c r="C214" i="1" s="1"/>
  <c r="C213" i="1" s="1"/>
  <c r="C212" i="1" s="1"/>
  <c r="C211" i="1" s="1"/>
  <c r="C210" i="1" s="1"/>
  <c r="C209" i="1" s="1"/>
  <c r="C208" i="1" s="1"/>
  <c r="C207" i="1" s="1"/>
  <c r="C206" i="1" s="1"/>
  <c r="C205" i="1" s="1"/>
  <c r="C204" i="1" s="1"/>
  <c r="C203" i="1" s="1"/>
  <c r="C202" i="1" s="1"/>
  <c r="C201" i="1" s="1"/>
  <c r="C200" i="1" s="1"/>
  <c r="C199" i="1" s="1"/>
  <c r="C198" i="1" s="1"/>
  <c r="C197" i="1" s="1"/>
  <c r="C196" i="1" s="1"/>
  <c r="C195" i="1" s="1"/>
  <c r="C194" i="1" s="1"/>
  <c r="C193" i="1" s="1"/>
  <c r="C192" i="1" s="1"/>
  <c r="C191" i="1" s="1"/>
  <c r="C190" i="1" s="1"/>
  <c r="C189" i="1" s="1"/>
  <c r="C188" i="1" s="1"/>
  <c r="C187" i="1" s="1"/>
  <c r="C186" i="1" s="1"/>
  <c r="C185" i="1" s="1"/>
  <c r="C184" i="1" s="1"/>
  <c r="C183" i="1" s="1"/>
  <c r="C182" i="1" s="1"/>
  <c r="C181" i="1" s="1"/>
  <c r="C180" i="1" s="1"/>
  <c r="C179" i="1" s="1"/>
  <c r="C178" i="1" s="1"/>
  <c r="C177" i="1" s="1"/>
  <c r="C176" i="1" s="1"/>
  <c r="C175" i="1" s="1"/>
  <c r="C174" i="1" s="1"/>
  <c r="C173" i="1" s="1"/>
  <c r="C172" i="1" s="1"/>
  <c r="C171" i="1" s="1"/>
  <c r="C170" i="1" s="1"/>
  <c r="C169" i="1" s="1"/>
  <c r="C168" i="1" s="1"/>
  <c r="C167" i="1" s="1"/>
  <c r="C166" i="1" s="1"/>
  <c r="C165" i="1" s="1"/>
  <c r="C164" i="1" s="1"/>
  <c r="C163" i="1" s="1"/>
  <c r="C162" i="1" s="1"/>
  <c r="C161" i="1" s="1"/>
  <c r="C160" i="1" s="1"/>
  <c r="C159" i="1" s="1"/>
  <c r="C158" i="1" s="1"/>
  <c r="C157" i="1" s="1"/>
  <c r="C156" i="1" s="1"/>
  <c r="C155" i="1" s="1"/>
  <c r="C154" i="1" s="1"/>
  <c r="C153" i="1" s="1"/>
  <c r="C152" i="1" s="1"/>
  <c r="C151" i="1" s="1"/>
  <c r="C150" i="1" s="1"/>
  <c r="C149" i="1" s="1"/>
  <c r="C148" i="1" s="1"/>
  <c r="C147" i="1" s="1"/>
  <c r="C146" i="1" s="1"/>
  <c r="C145" i="1" s="1"/>
  <c r="C144" i="1" s="1"/>
  <c r="C143" i="1" s="1"/>
  <c r="C142" i="1" s="1"/>
  <c r="C141" i="1" s="1"/>
  <c r="C140" i="1" s="1"/>
  <c r="C139" i="1" s="1"/>
  <c r="C138" i="1" s="1"/>
  <c r="C137" i="1" s="1"/>
  <c r="C136" i="1" s="1"/>
  <c r="C135" i="1" s="1"/>
  <c r="C134" i="1" s="1"/>
  <c r="C133" i="1" s="1"/>
  <c r="C132" i="1" s="1"/>
  <c r="C131" i="1" s="1"/>
  <c r="C130" i="1" s="1"/>
  <c r="C129" i="1" s="1"/>
  <c r="C128" i="1" s="1"/>
  <c r="C127" i="1" s="1"/>
  <c r="C126" i="1" s="1"/>
  <c r="C125" i="1" s="1"/>
  <c r="C124" i="1" s="1"/>
  <c r="C123" i="1" s="1"/>
  <c r="C122" i="1" s="1"/>
  <c r="C121" i="1" s="1"/>
  <c r="C120" i="1" s="1"/>
  <c r="C119" i="1" s="1"/>
  <c r="C118" i="1" s="1"/>
  <c r="C117" i="1" s="1"/>
  <c r="C116" i="1" s="1"/>
  <c r="C115" i="1" s="1"/>
  <c r="C114" i="1" s="1"/>
  <c r="C113" i="1" s="1"/>
  <c r="C112" i="1" s="1"/>
  <c r="C111" i="1" s="1"/>
  <c r="C110" i="1" s="1"/>
  <c r="C109" i="1" s="1"/>
  <c r="C108" i="1" s="1"/>
  <c r="C107" i="1" s="1"/>
  <c r="C106" i="1" s="1"/>
  <c r="C105" i="1" s="1"/>
  <c r="C104" i="1" s="1"/>
  <c r="C103" i="1" s="1"/>
  <c r="C102" i="1" s="1"/>
  <c r="C101" i="1" s="1"/>
  <c r="C100" i="1" s="1"/>
  <c r="C99" i="1" s="1"/>
  <c r="C98" i="1" s="1"/>
  <c r="C97" i="1" s="1"/>
  <c r="C96" i="1" s="1"/>
  <c r="C95" i="1" s="1"/>
  <c r="C94" i="1" s="1"/>
  <c r="C93" i="1" s="1"/>
  <c r="C92" i="1" s="1"/>
  <c r="C91" i="1" s="1"/>
  <c r="C90" i="1" s="1"/>
  <c r="C89" i="1" s="1"/>
  <c r="C88" i="1" s="1"/>
  <c r="C87" i="1" s="1"/>
  <c r="C86" i="1" s="1"/>
  <c r="C85" i="1" s="1"/>
  <c r="C84" i="1" s="1"/>
  <c r="C83" i="1" s="1"/>
  <c r="C82" i="1" s="1"/>
  <c r="C81" i="1" s="1"/>
  <c r="C80" i="1" s="1"/>
  <c r="C79" i="1" s="1"/>
  <c r="C78" i="1" s="1"/>
  <c r="C77" i="1" s="1"/>
  <c r="C76" i="1" s="1"/>
  <c r="C75" i="1" s="1"/>
  <c r="C74" i="1" s="1"/>
  <c r="C73" i="1" s="1"/>
  <c r="C72" i="1" s="1"/>
  <c r="C71" i="1" s="1"/>
  <c r="C70" i="1" s="1"/>
  <c r="C69" i="1" s="1"/>
  <c r="C68" i="1" s="1"/>
  <c r="C67" i="1" s="1"/>
  <c r="C66" i="1" s="1"/>
  <c r="C65" i="1" s="1"/>
  <c r="C64" i="1" s="1"/>
  <c r="C63" i="1" s="1"/>
  <c r="C62" i="1" s="1"/>
  <c r="C61" i="1" s="1"/>
  <c r="C60" i="1" s="1"/>
  <c r="C59" i="1" s="1"/>
  <c r="C58" i="1" s="1"/>
  <c r="C57" i="1" s="1"/>
  <c r="C56" i="1" s="1"/>
  <c r="C55" i="1" s="1"/>
  <c r="C54" i="1" s="1"/>
  <c r="C53" i="1" s="1"/>
  <c r="C52" i="1" s="1"/>
  <c r="C51" i="1" s="1"/>
  <c r="C50" i="1" s="1"/>
  <c r="C49" i="1" s="1"/>
  <c r="C48" i="1" s="1"/>
  <c r="C47" i="1" s="1"/>
  <c r="C46" i="1" s="1"/>
  <c r="C45" i="1" s="1"/>
  <c r="C44" i="1" s="1"/>
  <c r="C43" i="1" s="1"/>
  <c r="C42" i="1" s="1"/>
  <c r="C41" i="1" s="1"/>
  <c r="C40" i="1" s="1"/>
  <c r="C39" i="1" s="1"/>
  <c r="C38" i="1" s="1"/>
  <c r="C37" i="1" s="1"/>
  <c r="C36" i="1" s="1"/>
  <c r="C35" i="1" s="1"/>
  <c r="C34" i="1" s="1"/>
  <c r="C33" i="1" s="1"/>
  <c r="C32" i="1" s="1"/>
  <c r="C31" i="1" s="1"/>
  <c r="C30" i="1" s="1"/>
  <c r="C29" i="1" s="1"/>
  <c r="C28" i="1" s="1"/>
  <c r="C27" i="1" s="1"/>
  <c r="C26" i="1" s="1"/>
  <c r="C25" i="1" s="1"/>
  <c r="C24" i="1" s="1"/>
  <c r="C23" i="1" s="1"/>
  <c r="C22" i="1" s="1"/>
  <c r="C21" i="1" s="1"/>
  <c r="C20" i="1" s="1"/>
  <c r="C19" i="1" s="1"/>
  <c r="C18" i="1" s="1"/>
  <c r="C17" i="1" s="1"/>
  <c r="C16" i="1" s="1"/>
  <c r="C15" i="1" s="1"/>
  <c r="C14" i="1" s="1"/>
  <c r="C13" i="1" s="1"/>
  <c r="C12" i="1" s="1"/>
  <c r="C11" i="1" s="1"/>
  <c r="C10" i="1" s="1"/>
  <c r="C9" i="1" s="1"/>
  <c r="C8" i="1" s="1"/>
  <c r="C7" i="1" s="1"/>
  <c r="C6" i="1" s="1"/>
  <c r="C5" i="1" s="1"/>
  <c r="C4" i="1" s="1"/>
  <c r="C3" i="1" s="1"/>
  <c r="C2" i="1" s="1"/>
</calcChain>
</file>

<file path=xl/sharedStrings.xml><?xml version="1.0" encoding="utf-8"?>
<sst xmlns="http://schemas.openxmlformats.org/spreadsheetml/2006/main" count="7" uniqueCount="7">
  <si>
    <t>Date</t>
  </si>
  <si>
    <t>TQQQ Actual Close</t>
  </si>
  <si>
    <t>NASDAQ Close</t>
  </si>
  <si>
    <t>NASDAQ DAILY CHANGE</t>
  </si>
  <si>
    <t>TQQQ THOERY</t>
  </si>
  <si>
    <t>TQQQ REBUILD</t>
  </si>
  <si>
    <t>TQQQ FEE Yearly (DAILY)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</si>
</sst>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0C35-C960-4D2B-B253-E0813A6ED3E4}">
  <dimension ref="A1:G3998"/>
  <sheetViews>
    <sheetView tabSelected="1" topLeftCell="A3966" workbookViewId="0">
      <selection activeCell="E3998" sqref="E3998"/>
    </sheetView>
  </sheetViews>
  <sheetFormatPr defaultRowHeight="15" x14ac:dyDescent="0.25"/>
  <cols>
    <col min="1" max="1" width="10.42578125" bestFit="1" customWidth="1"/>
    <col min="2" max="2" width="17.85546875" bestFit="1" customWidth="1"/>
    <col min="3" max="3" width="13.7109375" bestFit="1" customWidth="1"/>
    <col min="4" max="4" width="14.140625" bestFit="1" customWidth="1"/>
    <col min="5" max="5" width="22.5703125" bestFit="1" customWidth="1"/>
    <col min="6" max="6" width="13.85546875" bestFit="1" customWidth="1"/>
    <col min="7" max="7" width="21.85546875" bestFit="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</v>
      </c>
      <c r="G1" t="s">
        <v>3</v>
      </c>
    </row>
    <row r="2" spans="1:7" x14ac:dyDescent="0.25">
      <c r="A2" s="1">
        <v>46022</v>
      </c>
      <c r="B2">
        <v>52.720001220703097</v>
      </c>
      <c r="C2">
        <f>C3*(1+G2*3)</f>
        <v>76.329741497712817</v>
      </c>
      <c r="D2">
        <f t="shared" ref="D2:D65" si="0">D3*(1+3*G2-0.000410422160027694)</f>
        <v>52.720001220712845</v>
      </c>
      <c r="F2">
        <v>25249.849609375</v>
      </c>
      <c r="G2">
        <f t="shared" ref="G2:G65" si="1">F2/F3-1</f>
        <v>-8.3538706607456659E-3</v>
      </c>
    </row>
    <row r="3" spans="1:7" x14ac:dyDescent="0.25">
      <c r="A3" s="1">
        <v>46021</v>
      </c>
      <c r="B3">
        <v>54.099998474121001</v>
      </c>
      <c r="C3">
        <f>C4*(1+G3*3)</f>
        <v>78.291861758470546</v>
      </c>
      <c r="D3">
        <f t="shared" si="0"/>
        <v>54.097986992411343</v>
      </c>
      <c r="F3">
        <v>25462.560546875</v>
      </c>
      <c r="G3">
        <f t="shared" si="1"/>
        <v>-2.4681142607743123E-3</v>
      </c>
    </row>
    <row r="4" spans="1:7" x14ac:dyDescent="0.25">
      <c r="A4" s="1">
        <v>46020</v>
      </c>
      <c r="B4">
        <v>54.490001678466797</v>
      </c>
      <c r="C4">
        <f>C5*(1+G4*3)</f>
        <v>78.875885854597357</v>
      </c>
      <c r="D4">
        <f t="shared" si="0"/>
        <v>54.524079860216894</v>
      </c>
      <c r="F4">
        <v>25525.560546875</v>
      </c>
      <c r="G4">
        <f t="shared" si="1"/>
        <v>-4.6337649376294587E-3</v>
      </c>
    </row>
    <row r="5" spans="1:7" x14ac:dyDescent="0.25">
      <c r="A5" s="1">
        <v>46017</v>
      </c>
      <c r="B5">
        <v>55.310001373291001</v>
      </c>
      <c r="C5">
        <f>C6*(1+G5*3)</f>
        <v>79.98782012357546</v>
      </c>
      <c r="D5">
        <f t="shared" si="0"/>
        <v>55.315743119895366</v>
      </c>
      <c r="F5">
        <v>25644.390625</v>
      </c>
      <c r="G5">
        <f t="shared" si="1"/>
        <v>-4.5836048845804278E-4</v>
      </c>
    </row>
    <row r="6" spans="1:7" x14ac:dyDescent="0.25">
      <c r="A6" s="1">
        <v>46015</v>
      </c>
      <c r="B6">
        <v>55.360000610351499</v>
      </c>
      <c r="C6">
        <f>C7*(1+G6*3)</f>
        <v>80.097961345636094</v>
      </c>
      <c r="D6">
        <f t="shared" si="0"/>
        <v>55.414686243082897</v>
      </c>
      <c r="F6">
        <v>25656.150390625</v>
      </c>
      <c r="G6">
        <f t="shared" si="1"/>
        <v>2.670031506829762E-3</v>
      </c>
    </row>
    <row r="7" spans="1:7" x14ac:dyDescent="0.25">
      <c r="A7" s="1">
        <v>46014</v>
      </c>
      <c r="B7">
        <v>55.009998321533203</v>
      </c>
      <c r="C7">
        <f>C8*(1+G7*3)</f>
        <v>79.461467480381458</v>
      </c>
      <c r="D7">
        <f t="shared" si="0"/>
        <v>54.996729120867244</v>
      </c>
      <c r="F7">
        <v>25587.830078125</v>
      </c>
      <c r="G7">
        <f t="shared" si="1"/>
        <v>4.9537486988344703E-3</v>
      </c>
    </row>
    <row r="8" spans="1:7" x14ac:dyDescent="0.25">
      <c r="A8" s="1">
        <v>46013</v>
      </c>
      <c r="B8">
        <v>54.25</v>
      </c>
      <c r="C8">
        <f>C9*(1+G8*3)</f>
        <v>78.29786365970412</v>
      </c>
      <c r="D8">
        <f t="shared" si="0"/>
        <v>54.213302235250687</v>
      </c>
      <c r="F8">
        <v>25461.69921875</v>
      </c>
      <c r="G8">
        <f t="shared" si="1"/>
        <v>4.5576703343175318E-3</v>
      </c>
    </row>
    <row r="9" spans="1:7" x14ac:dyDescent="0.25">
      <c r="A9" s="1">
        <v>46010</v>
      </c>
      <c r="B9">
        <v>53.520000457763601</v>
      </c>
      <c r="C9">
        <f>C10*(1+G9*3)</f>
        <v>77.241736546023176</v>
      </c>
      <c r="D9">
        <f t="shared" si="0"/>
        <v>53.503704599573233</v>
      </c>
      <c r="F9">
        <v>25346.1796875</v>
      </c>
      <c r="G9">
        <f t="shared" si="1"/>
        <v>1.3062301652696062E-2</v>
      </c>
    </row>
    <row r="10" spans="1:7" x14ac:dyDescent="0.25">
      <c r="A10" s="1">
        <v>46009</v>
      </c>
      <c r="B10">
        <v>51.509998321533203</v>
      </c>
      <c r="C10">
        <f>C11*(1+G10*3)</f>
        <v>74.329012593878332</v>
      </c>
      <c r="D10">
        <f t="shared" si="0"/>
        <v>51.506465043812916</v>
      </c>
      <c r="F10">
        <v>25019.369140625</v>
      </c>
      <c r="G10">
        <f t="shared" si="1"/>
        <v>1.5082994864486832E-2</v>
      </c>
    </row>
    <row r="11" spans="1:7" x14ac:dyDescent="0.25">
      <c r="A11" s="1">
        <v>46008</v>
      </c>
      <c r="B11">
        <v>49.400001525878899</v>
      </c>
      <c r="C11">
        <f>C12*(1+G11*3)</f>
        <v>71.111298541742073</v>
      </c>
      <c r="D11">
        <f t="shared" si="0"/>
        <v>49.29609883832596</v>
      </c>
      <c r="F11">
        <v>24647.609375</v>
      </c>
      <c r="G11">
        <f t="shared" si="1"/>
        <v>-1.9310517937234595E-2</v>
      </c>
    </row>
    <row r="12" spans="1:7" x14ac:dyDescent="0.25">
      <c r="A12" s="1">
        <v>46007</v>
      </c>
      <c r="B12">
        <v>52.330001831054602</v>
      </c>
      <c r="C12">
        <f>C13*(1+G12*3)</f>
        <v>75.484216491344711</v>
      </c>
      <c r="D12">
        <f t="shared" si="0"/>
        <v>52.350319946773048</v>
      </c>
      <c r="F12">
        <v>25132.939453125</v>
      </c>
      <c r="G12">
        <f t="shared" si="1"/>
        <v>2.6197477069902497E-3</v>
      </c>
    </row>
    <row r="13" spans="1:7" x14ac:dyDescent="0.25">
      <c r="A13" s="1">
        <v>46006</v>
      </c>
      <c r="B13">
        <v>52.020000457763601</v>
      </c>
      <c r="C13">
        <f>C14*(1+G13*3)</f>
        <v>74.895593810895406</v>
      </c>
      <c r="D13">
        <f t="shared" si="0"/>
        <v>51.963254963998388</v>
      </c>
      <c r="F13">
        <v>25067.26953125</v>
      </c>
      <c r="G13">
        <f t="shared" si="1"/>
        <v>-5.1380054114783524E-3</v>
      </c>
    </row>
    <row r="14" spans="1:7" x14ac:dyDescent="0.25">
      <c r="A14" s="1">
        <v>46003</v>
      </c>
      <c r="B14">
        <v>52.819999694824197</v>
      </c>
      <c r="C14">
        <f>C15*(1+G14*3)</f>
        <v>76.068108876033364</v>
      </c>
      <c r="D14">
        <f t="shared" si="0"/>
        <v>52.7987657803939</v>
      </c>
      <c r="F14">
        <v>25196.73046875</v>
      </c>
      <c r="G14">
        <f t="shared" si="1"/>
        <v>-1.907443095261907E-2</v>
      </c>
    </row>
    <row r="15" spans="1:7" x14ac:dyDescent="0.25">
      <c r="A15" s="1">
        <v>46002</v>
      </c>
      <c r="B15">
        <v>56.110000610351499</v>
      </c>
      <c r="C15">
        <f>C16*(1+G15*3)</f>
        <v>80.685180594480414</v>
      </c>
      <c r="D15">
        <f t="shared" si="0"/>
        <v>56.027859465914524</v>
      </c>
      <c r="F15">
        <v>25686.689453125</v>
      </c>
      <c r="G15">
        <f t="shared" si="1"/>
        <v>-3.4818618049716754E-3</v>
      </c>
    </row>
    <row r="16" spans="1:7" x14ac:dyDescent="0.25">
      <c r="A16" s="1">
        <v>46001</v>
      </c>
      <c r="B16">
        <v>56.650001525878899</v>
      </c>
      <c r="C16">
        <f>C17*(1+G16*3)</f>
        <v>81.536881049953465</v>
      </c>
      <c r="D16">
        <f t="shared" si="0"/>
        <v>56.642773847872803</v>
      </c>
      <c r="F16">
        <v>25776.439453125</v>
      </c>
      <c r="G16">
        <f t="shared" si="1"/>
        <v>4.1977211262291814E-3</v>
      </c>
    </row>
    <row r="17" spans="1:7" x14ac:dyDescent="0.25">
      <c r="A17" s="1">
        <v>46000</v>
      </c>
      <c r="B17">
        <v>56.009998321533203</v>
      </c>
      <c r="C17">
        <f>C18*(1+G17*3)</f>
        <v>80.522843723230295</v>
      </c>
      <c r="D17">
        <f t="shared" si="0"/>
        <v>55.961015280378476</v>
      </c>
      <c r="F17">
        <v>25668.689453125</v>
      </c>
      <c r="G17">
        <f t="shared" si="1"/>
        <v>1.5896798462982087E-3</v>
      </c>
    </row>
    <row r="18" spans="1:7" x14ac:dyDescent="0.25">
      <c r="A18" s="1">
        <v>45999</v>
      </c>
      <c r="B18">
        <v>55.799999237060497</v>
      </c>
      <c r="C18">
        <f>C19*(1+G18*3)</f>
        <v>80.140649795681981</v>
      </c>
      <c r="D18">
        <f t="shared" si="0"/>
        <v>55.718161134937226</v>
      </c>
      <c r="F18">
        <v>25627.94921875</v>
      </c>
      <c r="G18">
        <f t="shared" si="1"/>
        <v>-2.4949959443012482E-3</v>
      </c>
    </row>
    <row r="19" spans="1:7" x14ac:dyDescent="0.25">
      <c r="A19" s="1">
        <v>45996</v>
      </c>
      <c r="B19">
        <v>56.150001525878899</v>
      </c>
      <c r="C19">
        <f>C20*(1+G19*3)</f>
        <v>80.745025327828273</v>
      </c>
      <c r="D19">
        <f t="shared" si="0"/>
        <v>56.161579833574045</v>
      </c>
      <c r="F19">
        <v>25692.05078125</v>
      </c>
      <c r="G19">
        <f t="shared" si="1"/>
        <v>4.3136916573203177E-3</v>
      </c>
    </row>
    <row r="20" spans="1:7" x14ac:dyDescent="0.25">
      <c r="A20" s="1">
        <v>45995</v>
      </c>
      <c r="B20">
        <v>55.509998321533203</v>
      </c>
      <c r="C20">
        <f>C21*(1+G20*3)</f>
        <v>79.713447625828934</v>
      </c>
      <c r="D20">
        <f t="shared" si="0"/>
        <v>55.466547780658104</v>
      </c>
      <c r="F20">
        <v>25581.69921875</v>
      </c>
      <c r="G20">
        <f t="shared" si="1"/>
        <v>-9.7005861234789048E-4</v>
      </c>
    </row>
    <row r="21" spans="1:7" x14ac:dyDescent="0.25">
      <c r="A21" s="1">
        <v>45994</v>
      </c>
      <c r="B21">
        <v>55.689998626708899</v>
      </c>
      <c r="C21">
        <f>C22*(1+G21*3)</f>
        <v>79.946104848424582</v>
      </c>
      <c r="D21">
        <f t="shared" si="0"/>
        <v>55.651343520486563</v>
      </c>
      <c r="F21">
        <v>25606.5390625</v>
      </c>
      <c r="G21">
        <f t="shared" si="1"/>
        <v>1.9830946303287522E-3</v>
      </c>
    </row>
    <row r="22" spans="1:7" x14ac:dyDescent="0.25">
      <c r="A22" s="1">
        <v>45993</v>
      </c>
      <c r="B22">
        <v>55.299999237060497</v>
      </c>
      <c r="C22">
        <f>C23*(1+G22*3)</f>
        <v>79.473295650845415</v>
      </c>
      <c r="D22">
        <f t="shared" si="0"/>
        <v>55.344796345998013</v>
      </c>
      <c r="F22">
        <v>25555.859375</v>
      </c>
      <c r="G22">
        <f t="shared" si="1"/>
        <v>8.4051229008674788E-3</v>
      </c>
    </row>
    <row r="23" spans="1:7" x14ac:dyDescent="0.25">
      <c r="A23" s="1">
        <v>45992</v>
      </c>
      <c r="B23">
        <v>54.049999237060497</v>
      </c>
      <c r="C23">
        <f>C24*(1+G23*3)</f>
        <v>77.518634695671707</v>
      </c>
      <c r="D23">
        <f t="shared" si="0"/>
        <v>54.005200240998988</v>
      </c>
      <c r="F23">
        <v>25342.849609375</v>
      </c>
      <c r="G23">
        <f t="shared" si="1"/>
        <v>-3.6186912293828533E-3</v>
      </c>
    </row>
    <row r="24" spans="1:7" x14ac:dyDescent="0.25">
      <c r="A24" s="1">
        <v>45989</v>
      </c>
      <c r="B24">
        <v>54.540000915527301</v>
      </c>
      <c r="C24">
        <f>C25*(1+G24*3)</f>
        <v>78.36941888195156</v>
      </c>
      <c r="D24">
        <f t="shared" si="0"/>
        <v>54.620582810457982</v>
      </c>
      <c r="F24">
        <v>25434.890625</v>
      </c>
      <c r="G24">
        <f t="shared" si="1"/>
        <v>7.8437075241502008E-3</v>
      </c>
    </row>
    <row r="25" spans="1:7" x14ac:dyDescent="0.25">
      <c r="A25" s="1">
        <v>45987</v>
      </c>
      <c r="B25">
        <v>53.369998931884702</v>
      </c>
      <c r="C25">
        <f>C26*(1+G25*3)</f>
        <v>76.567695064303422</v>
      </c>
      <c r="D25">
        <f t="shared" si="0"/>
        <v>53.386255197886491</v>
      </c>
      <c r="F25">
        <v>25236.939453125</v>
      </c>
      <c r="G25">
        <f t="shared" si="1"/>
        <v>8.7367870470123066E-3</v>
      </c>
    </row>
    <row r="26" spans="1:7" x14ac:dyDescent="0.25">
      <c r="A26" s="1">
        <v>45986</v>
      </c>
      <c r="B26">
        <v>52.009998321533203</v>
      </c>
      <c r="C26">
        <f>C27*(1+G26*3)</f>
        <v>74.612085361492817</v>
      </c>
      <c r="D26">
        <f t="shared" si="0"/>
        <v>52.043535166241448</v>
      </c>
      <c r="F26">
        <v>25018.359375</v>
      </c>
      <c r="G26">
        <f t="shared" si="1"/>
        <v>5.8097064947491006E-3</v>
      </c>
    </row>
    <row r="27" spans="1:7" x14ac:dyDescent="0.25">
      <c r="A27" s="1">
        <v>45985</v>
      </c>
      <c r="B27">
        <v>51.080001831054602</v>
      </c>
      <c r="C27">
        <f>C28*(1+G27*3)</f>
        <v>73.333939369963176</v>
      </c>
      <c r="D27">
        <f t="shared" si="0"/>
        <v>51.172643436318523</v>
      </c>
      <c r="F27">
        <v>24873.849609375</v>
      </c>
      <c r="G27">
        <f t="shared" si="1"/>
        <v>2.616710150789725E-2</v>
      </c>
    </row>
    <row r="28" spans="1:7" x14ac:dyDescent="0.25">
      <c r="A28" s="1">
        <v>45982</v>
      </c>
      <c r="B28">
        <v>47.4799995422363</v>
      </c>
      <c r="C28">
        <f>C29*(1+G28*3)</f>
        <v>67.996152681846127</v>
      </c>
      <c r="D28">
        <f t="shared" si="0"/>
        <v>47.465982945820748</v>
      </c>
      <c r="F28">
        <v>24239.5703125</v>
      </c>
      <c r="G28">
        <f t="shared" si="1"/>
        <v>7.6987827792218688E-3</v>
      </c>
    </row>
    <row r="29" spans="1:7" x14ac:dyDescent="0.25">
      <c r="A29" s="1">
        <v>45981</v>
      </c>
      <c r="B29">
        <v>46.450000762939403</v>
      </c>
      <c r="C29">
        <f>C30*(1+G29*3)</f>
        <v>66.461142972826337</v>
      </c>
      <c r="D29">
        <f t="shared" si="0"/>
        <v>46.413059699792939</v>
      </c>
      <c r="F29">
        <v>24054.380859375</v>
      </c>
      <c r="G29">
        <f t="shared" si="1"/>
        <v>-2.3787593891096193E-2</v>
      </c>
    </row>
    <row r="30" spans="1:7" x14ac:dyDescent="0.25">
      <c r="A30" s="1">
        <v>45980</v>
      </c>
      <c r="B30">
        <v>50.025001525878899</v>
      </c>
      <c r="C30">
        <f>C31*(1+G30*3)</f>
        <v>71.568467923976854</v>
      </c>
      <c r="D30">
        <f t="shared" si="0"/>
        <v>50.001852878483852</v>
      </c>
      <c r="F30">
        <v>24640.51953125</v>
      </c>
      <c r="G30">
        <f t="shared" si="1"/>
        <v>5.6082668750374598E-3</v>
      </c>
    </row>
    <row r="31" spans="1:7" x14ac:dyDescent="0.25">
      <c r="A31" s="1">
        <v>45979</v>
      </c>
      <c r="B31">
        <v>49.180000305175703</v>
      </c>
      <c r="C31">
        <f>C32*(1+G31*3)</f>
        <v>70.38426667010755</v>
      </c>
      <c r="D31">
        <f t="shared" si="0"/>
        <v>49.194358066828045</v>
      </c>
      <c r="F31">
        <v>24503.099609375</v>
      </c>
      <c r="G31">
        <f t="shared" si="1"/>
        <v>-1.196859963399266E-2</v>
      </c>
    </row>
    <row r="32" spans="1:7" x14ac:dyDescent="0.25">
      <c r="A32" s="1">
        <v>45978</v>
      </c>
      <c r="B32">
        <v>51.025001525878899</v>
      </c>
      <c r="C32">
        <f>C33*(1+G32*3)</f>
        <v>73.005590729563366</v>
      </c>
      <c r="D32">
        <f t="shared" si="0"/>
        <v>51.048237131314551</v>
      </c>
      <c r="F32">
        <v>24799.919921875</v>
      </c>
      <c r="G32">
        <f t="shared" si="1"/>
        <v>-8.3300668318778692E-3</v>
      </c>
    </row>
    <row r="33" spans="1:7" x14ac:dyDescent="0.25">
      <c r="A33" s="1">
        <v>45975</v>
      </c>
      <c r="B33">
        <v>52.369998931884702</v>
      </c>
      <c r="C33">
        <f>C34*(1+G33*3)</f>
        <v>74.876776383862818</v>
      </c>
      <c r="D33">
        <f t="shared" si="0"/>
        <v>52.378688431357929</v>
      </c>
      <c r="F33">
        <v>25008.240234375</v>
      </c>
      <c r="G33">
        <f t="shared" si="1"/>
        <v>5.9132654384908001E-4</v>
      </c>
    </row>
    <row r="34" spans="1:7" x14ac:dyDescent="0.25">
      <c r="A34" s="1">
        <v>45974</v>
      </c>
      <c r="B34">
        <v>52.330001831054602</v>
      </c>
      <c r="C34">
        <f>C35*(1+G34*3)</f>
        <v>74.744181727900852</v>
      </c>
      <c r="D34">
        <f t="shared" si="0"/>
        <v>52.307364333904935</v>
      </c>
      <c r="F34">
        <v>24993.4609375</v>
      </c>
      <c r="G34">
        <f t="shared" si="1"/>
        <v>-2.0529935499564389E-2</v>
      </c>
    </row>
    <row r="35" spans="1:7" x14ac:dyDescent="0.25">
      <c r="A35" s="1">
        <v>45973</v>
      </c>
      <c r="B35">
        <v>55.775001525878899</v>
      </c>
      <c r="C35">
        <f>C36*(1+G35*3)</f>
        <v>79.649797333320166</v>
      </c>
      <c r="D35">
        <f t="shared" si="0"/>
        <v>55.764794333700941</v>
      </c>
      <c r="F35">
        <v>25517.330078125</v>
      </c>
      <c r="G35">
        <f t="shared" si="1"/>
        <v>-6.3290040263452862E-4</v>
      </c>
    </row>
    <row r="36" spans="1:7" x14ac:dyDescent="0.25">
      <c r="A36" s="1">
        <v>45972</v>
      </c>
      <c r="B36">
        <v>55.889999389648402</v>
      </c>
      <c r="C36">
        <f>C37*(1+G36*3)</f>
        <v>79.801316188760055</v>
      </c>
      <c r="D36">
        <f t="shared" si="0"/>
        <v>55.893860152302508</v>
      </c>
      <c r="F36">
        <v>25533.490234375</v>
      </c>
      <c r="G36">
        <f t="shared" si="1"/>
        <v>-3.0552394832966678E-3</v>
      </c>
    </row>
    <row r="37" spans="1:7" x14ac:dyDescent="0.25">
      <c r="A37" s="1">
        <v>45971</v>
      </c>
      <c r="B37">
        <v>56.3549995422363</v>
      </c>
      <c r="C37">
        <f>C38*(1+G37*3)</f>
        <v>80.539518741635518</v>
      </c>
      <c r="D37">
        <f t="shared" si="0"/>
        <v>56.434282779418076</v>
      </c>
      <c r="F37">
        <v>25611.740234375</v>
      </c>
      <c r="G37">
        <f t="shared" si="1"/>
        <v>2.202449561490516E-2</v>
      </c>
    </row>
    <row r="38" spans="1:7" x14ac:dyDescent="0.25">
      <c r="A38" s="1">
        <v>45968</v>
      </c>
      <c r="B38">
        <v>52.889999389648402</v>
      </c>
      <c r="C38">
        <f>C39*(1+G38*3)</f>
        <v>75.547811417776046</v>
      </c>
      <c r="D38">
        <f t="shared" si="0"/>
        <v>52.956966089573584</v>
      </c>
      <c r="F38">
        <v>25059.810546875</v>
      </c>
      <c r="G38">
        <f t="shared" si="1"/>
        <v>-2.7946043159876588E-3</v>
      </c>
    </row>
    <row r="39" spans="1:7" x14ac:dyDescent="0.25">
      <c r="A39" s="1">
        <v>45967</v>
      </c>
      <c r="B39">
        <v>53.444999694824197</v>
      </c>
      <c r="C39">
        <f>C40*(1+G39*3)</f>
        <v>76.186545161562123</v>
      </c>
      <c r="D39">
        <f t="shared" si="0"/>
        <v>53.426814053430356</v>
      </c>
      <c r="F39">
        <v>25130.0390625</v>
      </c>
      <c r="G39">
        <f t="shared" si="1"/>
        <v>-1.9125280018113311E-2</v>
      </c>
    </row>
    <row r="40" spans="1:7" x14ac:dyDescent="0.25">
      <c r="A40" s="1">
        <v>45966</v>
      </c>
      <c r="B40">
        <v>56.619998931884702</v>
      </c>
      <c r="C40">
        <f>C41*(1+G40*3)</f>
        <v>80.823883366148905</v>
      </c>
      <c r="D40">
        <f t="shared" si="0"/>
        <v>56.703497211782057</v>
      </c>
      <c r="F40">
        <v>25620.029296875</v>
      </c>
      <c r="G40">
        <f t="shared" si="1"/>
        <v>7.2469043032683533E-3</v>
      </c>
    </row>
    <row r="41" spans="1:7" x14ac:dyDescent="0.25">
      <c r="A41" s="1">
        <v>45965</v>
      </c>
      <c r="B41">
        <v>55.540000915527301</v>
      </c>
      <c r="C41">
        <f>C42*(1+G41*3)</f>
        <v>79.104103756393712</v>
      </c>
      <c r="D41">
        <f t="shared" si="0"/>
        <v>55.519255352893694</v>
      </c>
      <c r="F41">
        <v>25435.69921875</v>
      </c>
      <c r="G41">
        <f t="shared" si="1"/>
        <v>-2.0684614282668767E-2</v>
      </c>
    </row>
    <row r="42" spans="1:7" x14ac:dyDescent="0.25">
      <c r="A42" s="1">
        <v>45964</v>
      </c>
      <c r="B42">
        <v>59.159999847412102</v>
      </c>
      <c r="C42">
        <f>C43*(1+G42*3)</f>
        <v>84.337574340714454</v>
      </c>
      <c r="D42">
        <f t="shared" si="0"/>
        <v>59.218281800607265</v>
      </c>
      <c r="F42">
        <v>25972.939453125</v>
      </c>
      <c r="G42">
        <f t="shared" si="1"/>
        <v>4.439941710186579E-3</v>
      </c>
    </row>
    <row r="43" spans="1:7" x14ac:dyDescent="0.25">
      <c r="A43" s="1">
        <v>45961</v>
      </c>
      <c r="B43">
        <v>58.360000610351499</v>
      </c>
      <c r="C43">
        <f>C44*(1+G43*3)</f>
        <v>83.228978896024358</v>
      </c>
      <c r="D43">
        <f t="shared" si="0"/>
        <v>58.46355224558031</v>
      </c>
      <c r="F43">
        <v>25858.130859375</v>
      </c>
      <c r="G43">
        <f t="shared" si="1"/>
        <v>4.7919650418788429E-3</v>
      </c>
    </row>
    <row r="44" spans="1:7" x14ac:dyDescent="0.25">
      <c r="A44" s="1">
        <v>45960</v>
      </c>
      <c r="B44">
        <v>57.544998168945298</v>
      </c>
      <c r="C44">
        <f>C45*(1+G44*3)</f>
        <v>82.049444684128616</v>
      </c>
      <c r="D44">
        <f t="shared" si="0"/>
        <v>57.658326446351538</v>
      </c>
      <c r="F44">
        <v>25734.810546875</v>
      </c>
      <c r="G44">
        <f t="shared" si="1"/>
        <v>-1.4741243470322352E-2</v>
      </c>
    </row>
    <row r="45" spans="1:7" x14ac:dyDescent="0.25">
      <c r="A45" s="1">
        <v>45959</v>
      </c>
      <c r="B45">
        <v>60.305000305175703</v>
      </c>
      <c r="C45">
        <f>C46*(1+G45*3)</f>
        <v>85.845869263325028</v>
      </c>
      <c r="D45">
        <f t="shared" si="0"/>
        <v>60.352090878605772</v>
      </c>
      <c r="F45">
        <v>26119.849609375</v>
      </c>
      <c r="G45">
        <f t="shared" si="1"/>
        <v>4.1403427680017924E-3</v>
      </c>
    </row>
    <row r="46" spans="1:7" x14ac:dyDescent="0.25">
      <c r="A46" s="1">
        <v>45958</v>
      </c>
      <c r="B46">
        <v>59.544998168945298</v>
      </c>
      <c r="C46">
        <f>C47*(1+G46*3)</f>
        <v>84.792657267434393</v>
      </c>
      <c r="D46">
        <f t="shared" si="0"/>
        <v>59.635828431248221</v>
      </c>
      <c r="F46">
        <v>26012.150390625</v>
      </c>
      <c r="G46">
        <f t="shared" si="1"/>
        <v>7.3814160500926818E-3</v>
      </c>
    </row>
    <row r="47" spans="1:7" x14ac:dyDescent="0.25">
      <c r="A47" s="1">
        <v>45957</v>
      </c>
      <c r="B47">
        <v>58.215000152587798</v>
      </c>
      <c r="C47">
        <f>C48*(1+G47*3)</f>
        <v>82.955666405088436</v>
      </c>
      <c r="D47">
        <f t="shared" si="0"/>
        <v>58.36728403647593</v>
      </c>
      <c r="F47">
        <v>25821.55078125</v>
      </c>
      <c r="G47">
        <f t="shared" si="1"/>
        <v>1.8273826734459986E-2</v>
      </c>
    </row>
    <row r="48" spans="1:7" x14ac:dyDescent="0.25">
      <c r="A48" s="1">
        <v>45954</v>
      </c>
      <c r="B48">
        <v>55.279998779296797</v>
      </c>
      <c r="C48">
        <f>C49*(1+G48*3)</f>
        <v>78.644271056267996</v>
      </c>
      <c r="D48">
        <f t="shared" si="0"/>
        <v>55.355341345515505</v>
      </c>
      <c r="F48">
        <v>25358.16015625</v>
      </c>
      <c r="G48">
        <f t="shared" si="1"/>
        <v>1.0389518216287641E-2</v>
      </c>
    </row>
    <row r="49" spans="1:7" x14ac:dyDescent="0.25">
      <c r="A49" s="1">
        <v>45953</v>
      </c>
      <c r="B49">
        <v>53.610000610351499</v>
      </c>
      <c r="C49">
        <f>C50*(1+G49*3)</f>
        <v>76.267134700444984</v>
      </c>
      <c r="D49">
        <f t="shared" si="0"/>
        <v>53.703521321589079</v>
      </c>
      <c r="F49">
        <v>25097.41015625</v>
      </c>
      <c r="G49">
        <f t="shared" si="1"/>
        <v>8.7785001365592308E-3</v>
      </c>
    </row>
    <row r="50" spans="1:7" x14ac:dyDescent="0.25">
      <c r="A50" s="1">
        <v>45952</v>
      </c>
      <c r="B50">
        <v>52.299999237060497</v>
      </c>
      <c r="C50">
        <f>C51*(1+G50*3)</f>
        <v>74.310139978595473</v>
      </c>
      <c r="D50">
        <f t="shared" si="0"/>
        <v>52.346435875428313</v>
      </c>
      <c r="F50">
        <v>24879.009765625</v>
      </c>
      <c r="G50">
        <f t="shared" si="1"/>
        <v>-9.8746289474361815E-3</v>
      </c>
    </row>
    <row r="51" spans="1:7" x14ac:dyDescent="0.25">
      <c r="A51" s="1">
        <v>45951</v>
      </c>
      <c r="B51">
        <v>53.884998321533203</v>
      </c>
      <c r="C51">
        <f>C52*(1+G51*3)</f>
        <v>76.57869868290922</v>
      </c>
      <c r="D51">
        <f t="shared" si="0"/>
        <v>53.967306639049355</v>
      </c>
      <c r="F51">
        <v>25127.130859375</v>
      </c>
      <c r="G51">
        <f t="shared" si="1"/>
        <v>-5.5243073407329479E-4</v>
      </c>
    </row>
    <row r="52" spans="1:7" x14ac:dyDescent="0.25">
      <c r="A52" s="1">
        <v>45950</v>
      </c>
      <c r="B52">
        <v>53.944999694824197</v>
      </c>
      <c r="C52">
        <f>C53*(1+G52*3)</f>
        <v>76.70582264464305</v>
      </c>
      <c r="D52">
        <f t="shared" si="0"/>
        <v>54.079126826285879</v>
      </c>
      <c r="F52">
        <v>25141.01953125</v>
      </c>
      <c r="G52">
        <f t="shared" si="1"/>
        <v>1.301760712186173E-2</v>
      </c>
    </row>
    <row r="53" spans="1:7" x14ac:dyDescent="0.25">
      <c r="A53" s="1">
        <v>45947</v>
      </c>
      <c r="B53">
        <v>51.994998931884702</v>
      </c>
      <c r="C53">
        <f>C54*(1+G53*3)</f>
        <v>73.822832744760447</v>
      </c>
      <c r="D53">
        <f t="shared" si="0"/>
        <v>52.067128077623458</v>
      </c>
      <c r="F53">
        <v>24817.94921875</v>
      </c>
      <c r="G53">
        <f t="shared" si="1"/>
        <v>6.5177198602686115E-3</v>
      </c>
    </row>
    <row r="54" spans="1:7" x14ac:dyDescent="0.25">
      <c r="A54" s="1">
        <v>45946</v>
      </c>
      <c r="B54">
        <v>51.025001525878899</v>
      </c>
      <c r="C54">
        <f>C55*(1+G54*3)</f>
        <v>72.407046215337175</v>
      </c>
      <c r="D54">
        <f t="shared" si="0"/>
        <v>51.089142046376828</v>
      </c>
      <c r="F54">
        <v>24657.240234375</v>
      </c>
      <c r="G54">
        <f t="shared" si="1"/>
        <v>-3.5610370126216706E-3</v>
      </c>
    </row>
    <row r="55" spans="1:7" x14ac:dyDescent="0.25">
      <c r="A55" s="1">
        <v>45945</v>
      </c>
      <c r="B55">
        <v>51.599998474121001</v>
      </c>
      <c r="C55">
        <f>C56*(1+G55*3)</f>
        <v>73.188931699424856</v>
      </c>
      <c r="D55">
        <f t="shared" si="0"/>
        <v>51.662259032026753</v>
      </c>
      <c r="F55">
        <v>24745.359375</v>
      </c>
      <c r="G55">
        <f t="shared" si="1"/>
        <v>6.7552340906498198E-3</v>
      </c>
    </row>
    <row r="56" spans="1:7" x14ac:dyDescent="0.25">
      <c r="A56" s="1">
        <v>45944</v>
      </c>
      <c r="B56">
        <v>50.564998626708899</v>
      </c>
      <c r="C56">
        <f>C57*(1+G56*3)</f>
        <v>71.735168139481885</v>
      </c>
      <c r="D56">
        <f t="shared" si="0"/>
        <v>50.656460813103983</v>
      </c>
      <c r="F56">
        <v>24579.3203125</v>
      </c>
      <c r="G56">
        <f t="shared" si="1"/>
        <v>-6.9061802406036321E-3</v>
      </c>
    </row>
    <row r="57" spans="1:7" x14ac:dyDescent="0.25">
      <c r="A57" s="1">
        <v>45943</v>
      </c>
      <c r="B57">
        <v>51.615001678466797</v>
      </c>
      <c r="C57">
        <f>C58*(1+G57*3)</f>
        <v>73.252860513009807</v>
      </c>
      <c r="D57">
        <f t="shared" si="0"/>
        <v>51.749882152238143</v>
      </c>
      <c r="F57">
        <v>24750.25</v>
      </c>
      <c r="G57">
        <f t="shared" si="1"/>
        <v>2.1819644687417927E-2</v>
      </c>
    </row>
    <row r="58" spans="1:7" x14ac:dyDescent="0.25">
      <c r="A58" s="1">
        <v>45940</v>
      </c>
      <c r="B58">
        <v>48.534999847412102</v>
      </c>
      <c r="C58">
        <f>C59*(1+G58*3)</f>
        <v>68.752401590664888</v>
      </c>
      <c r="D58">
        <f t="shared" si="0"/>
        <v>48.589225348815752</v>
      </c>
      <c r="F58">
        <v>24221.740234375</v>
      </c>
      <c r="G58">
        <f t="shared" si="1"/>
        <v>-3.4920439013412019E-2</v>
      </c>
    </row>
    <row r="59" spans="1:7" x14ac:dyDescent="0.25">
      <c r="A59" s="1">
        <v>45939</v>
      </c>
      <c r="B59">
        <v>54.224998474121001</v>
      </c>
      <c r="C59">
        <f>C60*(1+G59*3)</f>
        <v>76.79784497622623</v>
      </c>
      <c r="D59">
        <f t="shared" si="0"/>
        <v>54.300056756578108</v>
      </c>
      <c r="F59">
        <v>25098.1796875</v>
      </c>
      <c r="G59">
        <f t="shared" si="1"/>
        <v>-1.529221289066518E-3</v>
      </c>
    </row>
    <row r="60" spans="1:7" x14ac:dyDescent="0.25">
      <c r="A60" s="1">
        <v>45938</v>
      </c>
      <c r="B60">
        <v>54.439998626708899</v>
      </c>
      <c r="C60">
        <f>C61*(1+G60*3)</f>
        <v>77.151791462207115</v>
      </c>
      <c r="D60">
        <f t="shared" si="0"/>
        <v>54.572816387631569</v>
      </c>
      <c r="F60">
        <v>25136.619140625</v>
      </c>
      <c r="G60">
        <f t="shared" si="1"/>
        <v>1.1931800401283166E-2</v>
      </c>
    </row>
    <row r="61" spans="1:7" x14ac:dyDescent="0.25">
      <c r="A61" s="1">
        <v>45937</v>
      </c>
      <c r="B61">
        <v>52.654998779296797</v>
      </c>
      <c r="C61">
        <f>C62*(1+G61*3)</f>
        <v>74.485551270586569</v>
      </c>
      <c r="D61">
        <f t="shared" si="0"/>
        <v>52.707753629987536</v>
      </c>
      <c r="F61">
        <v>24840.23046875</v>
      </c>
      <c r="G61">
        <f t="shared" si="1"/>
        <v>-5.5379523517942175E-3</v>
      </c>
    </row>
    <row r="62" spans="1:7" x14ac:dyDescent="0.25">
      <c r="A62" s="1">
        <v>45936</v>
      </c>
      <c r="B62">
        <v>53.520000457763601</v>
      </c>
      <c r="C62">
        <f>C63*(1+G62*3)</f>
        <v>75.743950435939254</v>
      </c>
      <c r="D62">
        <f t="shared" si="0"/>
        <v>53.620605794736584</v>
      </c>
      <c r="F62">
        <v>24978.560546875</v>
      </c>
      <c r="G62">
        <f t="shared" si="1"/>
        <v>7.7884595229731346E-3</v>
      </c>
    </row>
    <row r="63" spans="1:7" x14ac:dyDescent="0.25">
      <c r="A63" s="1">
        <v>45933</v>
      </c>
      <c r="B63">
        <v>52.349998474121001</v>
      </c>
      <c r="C63">
        <f>C64*(1+G63*3)</f>
        <v>74.01457194287741</v>
      </c>
      <c r="D63">
        <f t="shared" si="0"/>
        <v>52.417367410753862</v>
      </c>
      <c r="F63">
        <v>24785.51953125</v>
      </c>
      <c r="G63">
        <f t="shared" si="1"/>
        <v>-4.3080893956599642E-3</v>
      </c>
    </row>
    <row r="64" spans="1:7" x14ac:dyDescent="0.25">
      <c r="A64" s="1">
        <v>45932</v>
      </c>
      <c r="B64">
        <v>53.069999694824197</v>
      </c>
      <c r="C64">
        <f>C65*(1+G64*3)</f>
        <v>74.983681147676975</v>
      </c>
      <c r="D64">
        <f t="shared" si="0"/>
        <v>53.125783280238075</v>
      </c>
      <c r="F64">
        <v>24892.759765625</v>
      </c>
      <c r="G64">
        <f t="shared" si="1"/>
        <v>3.7055325073791501E-3</v>
      </c>
    </row>
    <row r="65" spans="1:7" x14ac:dyDescent="0.25">
      <c r="A65" s="1">
        <v>45931</v>
      </c>
      <c r="B65">
        <v>52.430000305175703</v>
      </c>
      <c r="C65">
        <f>C66*(1+G65*3)</f>
        <v>74.159282254325049</v>
      </c>
      <c r="D65">
        <f t="shared" si="0"/>
        <v>52.563034218332035</v>
      </c>
      <c r="F65">
        <v>24800.859375</v>
      </c>
      <c r="G65">
        <f t="shared" si="1"/>
        <v>4.8974549615765639E-3</v>
      </c>
    </row>
    <row r="66" spans="1:7" x14ac:dyDescent="0.25">
      <c r="A66" s="1">
        <v>45930</v>
      </c>
      <c r="B66">
        <v>51.700000762939403</v>
      </c>
      <c r="C66">
        <f>C67*(1+G66*3)</f>
        <v>73.085483660606471</v>
      </c>
      <c r="D66">
        <f t="shared" ref="D66:D129" si="2">D67*(1+3*G66-0.000410422160027694)</f>
        <v>51.822902493097793</v>
      </c>
      <c r="F66">
        <v>24679.990234375</v>
      </c>
      <c r="G66">
        <f t="shared" ref="G66:G129" si="3">F66/F67-1</f>
        <v>2.788982566557463E-3</v>
      </c>
    </row>
    <row r="67" spans="1:7" x14ac:dyDescent="0.25">
      <c r="A67" s="1">
        <v>45929</v>
      </c>
      <c r="B67">
        <v>51.299999237060497</v>
      </c>
      <c r="C67">
        <f>C68*(1+G67*3)</f>
        <v>72.479055196456059</v>
      </c>
      <c r="D67">
        <f t="shared" si="2"/>
        <v>51.413827064964522</v>
      </c>
      <c r="F67">
        <v>24611.349609375</v>
      </c>
      <c r="G67">
        <f t="shared" si="3"/>
        <v>4.3870657759370602E-3</v>
      </c>
    </row>
    <row r="68" spans="1:7" x14ac:dyDescent="0.25">
      <c r="A68" s="1">
        <v>45926</v>
      </c>
      <c r="B68">
        <v>50.625</v>
      </c>
      <c r="C68">
        <f>C69*(1+G68*3)</f>
        <v>71.537535574415855</v>
      </c>
      <c r="D68">
        <f t="shared" si="2"/>
        <v>50.766514650602694</v>
      </c>
      <c r="F68">
        <v>24503.849609375</v>
      </c>
      <c r="G68">
        <f t="shared" si="3"/>
        <v>4.3668363484288264E-3</v>
      </c>
    </row>
    <row r="69" spans="1:7" x14ac:dyDescent="0.25">
      <c r="A69" s="1">
        <v>45925</v>
      </c>
      <c r="B69">
        <v>50.025001525878899</v>
      </c>
      <c r="C69">
        <f>C70*(1+G69*3)</f>
        <v>70.612476191360855</v>
      </c>
      <c r="D69">
        <f t="shared" si="2"/>
        <v>50.130356076404162</v>
      </c>
      <c r="F69">
        <v>24397.310546875</v>
      </c>
      <c r="G69">
        <f t="shared" si="3"/>
        <v>-4.3365013453078305E-3</v>
      </c>
    </row>
    <row r="70" spans="1:7" x14ac:dyDescent="0.25">
      <c r="A70" s="1">
        <v>45924</v>
      </c>
      <c r="B70">
        <v>50.705001831054602</v>
      </c>
      <c r="C70">
        <f>C71*(1+G70*3)</f>
        <v>71.543217974341005</v>
      </c>
      <c r="D70">
        <f t="shared" si="2"/>
        <v>50.812252758270169</v>
      </c>
      <c r="F70">
        <v>24503.5703125</v>
      </c>
      <c r="G70">
        <f t="shared" si="3"/>
        <v>-3.1163173248379694E-3</v>
      </c>
    </row>
    <row r="71" spans="1:7" x14ac:dyDescent="0.25">
      <c r="A71" s="1">
        <v>45923</v>
      </c>
      <c r="B71">
        <v>51.305000305175703</v>
      </c>
      <c r="C71">
        <f>C72*(1+G71*3)</f>
        <v>72.21838417971415</v>
      </c>
      <c r="D71">
        <f t="shared" si="2"/>
        <v>51.313035873337228</v>
      </c>
      <c r="F71">
        <v>24580.169921875</v>
      </c>
      <c r="G71">
        <f t="shared" si="3"/>
        <v>-7.3058388971851684E-3</v>
      </c>
    </row>
    <row r="72" spans="1:7" x14ac:dyDescent="0.25">
      <c r="A72" s="1">
        <v>45922</v>
      </c>
      <c r="B72">
        <v>52.360000610351499</v>
      </c>
      <c r="C72">
        <f>C73*(1+G72*3)</f>
        <v>73.836701313195505</v>
      </c>
      <c r="D72">
        <f t="shared" si="2"/>
        <v>52.484915865410606</v>
      </c>
      <c r="F72">
        <v>24761.0703125</v>
      </c>
      <c r="G72">
        <f t="shared" si="3"/>
        <v>5.4746586467691039E-3</v>
      </c>
    </row>
    <row r="73" spans="1:7" x14ac:dyDescent="0.25">
      <c r="A73" s="1">
        <v>45919</v>
      </c>
      <c r="B73">
        <v>51.490001678466797</v>
      </c>
      <c r="C73">
        <f>C74*(1+G73*3)</f>
        <v>72.643604500659478</v>
      </c>
      <c r="D73">
        <f t="shared" si="2"/>
        <v>51.657692626373027</v>
      </c>
      <c r="F73">
        <v>24626.25</v>
      </c>
      <c r="G73">
        <f t="shared" si="3"/>
        <v>7.0071617832068167E-3</v>
      </c>
    </row>
    <row r="74" spans="1:7" x14ac:dyDescent="0.25">
      <c r="A74" s="1">
        <v>45918</v>
      </c>
      <c r="B74">
        <v>50.490001678466797</v>
      </c>
      <c r="C74">
        <f>C75*(1+G74*3)</f>
        <v>71.14796852270419</v>
      </c>
      <c r="D74">
        <f t="shared" si="2"/>
        <v>50.614474494263725</v>
      </c>
      <c r="F74">
        <v>24454.890625</v>
      </c>
      <c r="G74">
        <f t="shared" si="3"/>
        <v>9.5444243669979834E-3</v>
      </c>
    </row>
    <row r="75" spans="1:7" x14ac:dyDescent="0.25">
      <c r="A75" s="1">
        <v>45917</v>
      </c>
      <c r="B75">
        <v>49.165000915527301</v>
      </c>
      <c r="C75">
        <f>C76*(1+G75*3)</f>
        <v>69.167477256706135</v>
      </c>
      <c r="D75">
        <f t="shared" si="2"/>
        <v>49.225199039239861</v>
      </c>
      <c r="F75">
        <v>24223.689453125</v>
      </c>
      <c r="G75">
        <f t="shared" si="3"/>
        <v>-2.0828881170376068E-3</v>
      </c>
    </row>
    <row r="76" spans="1:7" x14ac:dyDescent="0.25">
      <c r="A76" s="1">
        <v>45916</v>
      </c>
      <c r="B76">
        <v>49.4799995422363</v>
      </c>
      <c r="C76">
        <f>C77*(1+G76*3)</f>
        <v>69.602399287888289</v>
      </c>
      <c r="D76">
        <f t="shared" si="2"/>
        <v>49.555191345485575</v>
      </c>
      <c r="F76">
        <v>24274.25</v>
      </c>
      <c r="G76">
        <f t="shared" si="3"/>
        <v>-8.0388055873681363E-4</v>
      </c>
    </row>
    <row r="77" spans="1:7" x14ac:dyDescent="0.25">
      <c r="A77" s="1">
        <v>45915</v>
      </c>
      <c r="B77">
        <v>49.615001678466797</v>
      </c>
      <c r="C77">
        <f>C78*(1+G77*3)</f>
        <v>69.770661122026922</v>
      </c>
      <c r="D77">
        <f t="shared" si="2"/>
        <v>49.695435035525456</v>
      </c>
      <c r="F77">
        <v>24293.779296875</v>
      </c>
      <c r="G77">
        <f t="shared" si="3"/>
        <v>8.3674356015763784E-3</v>
      </c>
    </row>
    <row r="78" spans="1:7" x14ac:dyDescent="0.25">
      <c r="A78" s="1">
        <v>45912</v>
      </c>
      <c r="B78">
        <v>48.380001068115199</v>
      </c>
      <c r="C78">
        <f>C79*(1+G78*3)</f>
        <v>68.062144294166998</v>
      </c>
      <c r="D78">
        <f t="shared" si="2"/>
        <v>48.497929748664589</v>
      </c>
      <c r="F78">
        <v>24092.189453125</v>
      </c>
      <c r="G78">
        <f t="shared" si="3"/>
        <v>4.1524916048603089E-3</v>
      </c>
    </row>
    <row r="79" spans="1:7" x14ac:dyDescent="0.25">
      <c r="A79" s="1">
        <v>45911</v>
      </c>
      <c r="B79">
        <v>47.784999847412102</v>
      </c>
      <c r="C79">
        <f>C80*(1+G79*3)</f>
        <v>67.224694357293117</v>
      </c>
      <c r="D79">
        <f t="shared" si="2"/>
        <v>47.920627426814526</v>
      </c>
      <c r="F79">
        <v>23992.560546875</v>
      </c>
      <c r="G79">
        <f t="shared" si="3"/>
        <v>6.0081930575375253E-3</v>
      </c>
    </row>
    <row r="80" spans="1:7" x14ac:dyDescent="0.25">
      <c r="A80" s="1">
        <v>45910</v>
      </c>
      <c r="B80">
        <v>46.994998931884702</v>
      </c>
      <c r="C80">
        <f>C81*(1+G80*3)</f>
        <v>66.034451164164608</v>
      </c>
      <c r="D80">
        <f t="shared" si="2"/>
        <v>47.0911564040101</v>
      </c>
      <c r="F80">
        <v>23849.26953125</v>
      </c>
      <c r="G80">
        <f t="shared" si="3"/>
        <v>3.9718242978969975E-4</v>
      </c>
    </row>
    <row r="81" spans="1:7" x14ac:dyDescent="0.25">
      <c r="A81" s="1">
        <v>45909</v>
      </c>
      <c r="B81">
        <v>46.944999694824197</v>
      </c>
      <c r="C81">
        <f>C82*(1+G81*3)</f>
        <v>65.955861636014205</v>
      </c>
      <c r="D81">
        <f t="shared" si="2"/>
        <v>47.054401028920296</v>
      </c>
      <c r="F81">
        <v>23839.80078125</v>
      </c>
      <c r="G81">
        <f t="shared" si="3"/>
        <v>3.2614686899827827E-3</v>
      </c>
    </row>
    <row r="82" spans="1:7" x14ac:dyDescent="0.25">
      <c r="A82" s="1">
        <v>45908</v>
      </c>
      <c r="B82">
        <v>46.564998626708899</v>
      </c>
      <c r="C82">
        <f>C83*(1+G82*3)</f>
        <v>65.31677577861646</v>
      </c>
      <c r="D82">
        <f t="shared" si="2"/>
        <v>46.617410176008221</v>
      </c>
      <c r="F82">
        <v>23762.30078125</v>
      </c>
      <c r="G82">
        <f t="shared" si="3"/>
        <v>4.6448201819826451E-3</v>
      </c>
    </row>
    <row r="83" spans="1:7" x14ac:dyDescent="0.25">
      <c r="A83" s="1">
        <v>45905</v>
      </c>
      <c r="B83">
        <v>45.909999847412102</v>
      </c>
      <c r="C83">
        <f>C84*(1+G83*3)</f>
        <v>64.41912995386997</v>
      </c>
      <c r="D83">
        <f t="shared" si="2"/>
        <v>45.995367066230031</v>
      </c>
      <c r="F83">
        <v>23652.439453125</v>
      </c>
      <c r="G83">
        <f t="shared" si="3"/>
        <v>8.2214189782381375E-4</v>
      </c>
    </row>
    <row r="84" spans="1:7" x14ac:dyDescent="0.25">
      <c r="A84" s="1">
        <v>45904</v>
      </c>
      <c r="B84">
        <v>45.759998321533203</v>
      </c>
      <c r="C84">
        <f>C85*(1+G84*3)</f>
        <v>64.260635870480201</v>
      </c>
      <c r="D84">
        <f t="shared" si="2"/>
        <v>45.900994459432852</v>
      </c>
      <c r="F84">
        <v>23633.009765625</v>
      </c>
      <c r="G84">
        <f t="shared" si="3"/>
        <v>9.3175918917607348E-3</v>
      </c>
    </row>
    <row r="85" spans="1:7" x14ac:dyDescent="0.25">
      <c r="A85" s="1">
        <v>45903</v>
      </c>
      <c r="B85">
        <v>44.555000305175703</v>
      </c>
      <c r="C85">
        <f>C86*(1+G85*3)</f>
        <v>62.513217913406706</v>
      </c>
      <c r="D85">
        <f t="shared" si="2"/>
        <v>44.670659367377034</v>
      </c>
      <c r="F85">
        <v>23414.83984375</v>
      </c>
      <c r="G85">
        <f t="shared" si="3"/>
        <v>7.9088116621637283E-3</v>
      </c>
    </row>
    <row r="86" spans="1:7" x14ac:dyDescent="0.25">
      <c r="A86" s="1">
        <v>45902</v>
      </c>
      <c r="B86">
        <v>43.540000915527301</v>
      </c>
      <c r="C86">
        <f>C87*(1+G86*3)</f>
        <v>61.064377920681139</v>
      </c>
      <c r="D86">
        <f t="shared" si="2"/>
        <v>43.652848980632918</v>
      </c>
      <c r="F86">
        <v>23231.109375</v>
      </c>
      <c r="G86">
        <f t="shared" si="3"/>
        <v>-7.8713321174657125E-3</v>
      </c>
    </row>
    <row r="87" spans="1:7" x14ac:dyDescent="0.25">
      <c r="A87" s="1">
        <v>45898</v>
      </c>
      <c r="B87">
        <v>44.680000305175703</v>
      </c>
      <c r="C87">
        <f>C88*(1+G87*3)</f>
        <v>62.541226208236885</v>
      </c>
      <c r="D87">
        <f t="shared" si="2"/>
        <v>44.727398726613174</v>
      </c>
      <c r="F87">
        <v>23415.419921875</v>
      </c>
      <c r="G87">
        <f t="shared" si="3"/>
        <v>-1.2151366420004472E-2</v>
      </c>
    </row>
    <row r="88" spans="1:7" x14ac:dyDescent="0.25">
      <c r="A88" s="1">
        <v>45897</v>
      </c>
      <c r="B88">
        <v>46.349998474121001</v>
      </c>
      <c r="C88">
        <f>C89*(1+G88*3)</f>
        <v>64.907365762447128</v>
      </c>
      <c r="D88">
        <f t="shared" si="2"/>
        <v>46.439363642339273</v>
      </c>
      <c r="F88">
        <v>23703.44921875</v>
      </c>
      <c r="G88">
        <f t="shared" si="3"/>
        <v>5.8389411651111889E-3</v>
      </c>
    </row>
    <row r="89" spans="1:7" x14ac:dyDescent="0.25">
      <c r="A89" s="1">
        <v>45896</v>
      </c>
      <c r="B89">
        <v>45.520000457763601</v>
      </c>
      <c r="C89">
        <f>C90*(1+G89*3)</f>
        <v>63.789968149597676</v>
      </c>
      <c r="D89">
        <f t="shared" si="2"/>
        <v>45.658314195418939</v>
      </c>
      <c r="F89">
        <v>23565.849609375</v>
      </c>
      <c r="G89">
        <f t="shared" si="3"/>
        <v>1.7241253345385843E-3</v>
      </c>
    </row>
    <row r="90" spans="1:7" x14ac:dyDescent="0.25">
      <c r="A90" s="1">
        <v>45895</v>
      </c>
      <c r="B90">
        <v>45.314998626708899</v>
      </c>
      <c r="C90">
        <f>C91*(1+G90*3)</f>
        <v>63.46172027052225</v>
      </c>
      <c r="D90">
        <f t="shared" si="2"/>
        <v>45.441921860953144</v>
      </c>
      <c r="F90">
        <v>23525.2890625</v>
      </c>
      <c r="G90">
        <f t="shared" si="3"/>
        <v>4.255158783889712E-3</v>
      </c>
    </row>
    <row r="91" spans="1:7" x14ac:dyDescent="0.25">
      <c r="A91" s="1">
        <v>45894</v>
      </c>
      <c r="B91">
        <v>44.794998168945298</v>
      </c>
      <c r="C91">
        <f>C92*(1+G91*3)</f>
        <v>62.661812386351549</v>
      </c>
      <c r="D91">
        <f t="shared" si="2"/>
        <v>44.887336387368762</v>
      </c>
      <c r="F91">
        <v>23425.609375</v>
      </c>
      <c r="G91">
        <f t="shared" si="3"/>
        <v>-3.085768915846554E-3</v>
      </c>
    </row>
    <row r="92" spans="1:7" x14ac:dyDescent="0.25">
      <c r="A92" s="1">
        <v>45891</v>
      </c>
      <c r="B92">
        <v>45.189998626708899</v>
      </c>
      <c r="C92">
        <f>C93*(1+G92*3)</f>
        <v>63.247312155936449</v>
      </c>
      <c r="D92">
        <f t="shared" si="2"/>
        <v>45.325531336925607</v>
      </c>
      <c r="F92">
        <v>23498.119140625</v>
      </c>
      <c r="G92">
        <f t="shared" si="3"/>
        <v>1.5362982921513835E-2</v>
      </c>
    </row>
    <row r="93" spans="1:7" x14ac:dyDescent="0.25">
      <c r="A93" s="1">
        <v>45890</v>
      </c>
      <c r="B93">
        <v>43.244998931884702</v>
      </c>
      <c r="C93">
        <f>C94*(1+G93*3)</f>
        <v>60.460740198654413</v>
      </c>
      <c r="D93">
        <f t="shared" si="2"/>
        <v>43.345569583517111</v>
      </c>
      <c r="F93">
        <v>23142.580078125</v>
      </c>
      <c r="G93">
        <f t="shared" si="3"/>
        <v>-4.6018155577471909E-3</v>
      </c>
    </row>
    <row r="94" spans="1:7" x14ac:dyDescent="0.25">
      <c r="A94" s="1">
        <v>45889</v>
      </c>
      <c r="B94">
        <v>43.8549995422363</v>
      </c>
      <c r="C94">
        <f>C95*(1+G94*3)</f>
        <v>61.307112267757375</v>
      </c>
      <c r="D94">
        <f t="shared" si="2"/>
        <v>43.970650584743339</v>
      </c>
      <c r="F94">
        <v>23249.5703125</v>
      </c>
      <c r="G94">
        <f t="shared" si="3"/>
        <v>-5.7815074281287737E-3</v>
      </c>
    </row>
    <row r="95" spans="1:7" x14ac:dyDescent="0.25">
      <c r="A95" s="1">
        <v>45888</v>
      </c>
      <c r="B95">
        <v>44.669998168945298</v>
      </c>
      <c r="C95">
        <f>C96*(1+G95*3)</f>
        <v>62.389223545854001</v>
      </c>
      <c r="D95">
        <f t="shared" si="2"/>
        <v>44.765458819105255</v>
      </c>
      <c r="F95">
        <v>23384.76953125</v>
      </c>
      <c r="G95">
        <f t="shared" si="3"/>
        <v>-1.3873389864221264E-2</v>
      </c>
    </row>
    <row r="96" spans="1:7" x14ac:dyDescent="0.25">
      <c r="A96" s="1">
        <v>45887</v>
      </c>
      <c r="B96">
        <v>46.569999694824197</v>
      </c>
      <c r="C96">
        <f>C97*(1+G96*3)</f>
        <v>65.098639982163405</v>
      </c>
      <c r="D96">
        <f t="shared" si="2"/>
        <v>46.729528556666232</v>
      </c>
      <c r="F96">
        <v>23713.759765625</v>
      </c>
      <c r="G96">
        <f t="shared" si="3"/>
        <v>7.1248655336031419E-5</v>
      </c>
    </row>
    <row r="97" spans="1:7" x14ac:dyDescent="0.25">
      <c r="A97" s="1">
        <v>45884</v>
      </c>
      <c r="B97">
        <v>46.630001068115199</v>
      </c>
      <c r="C97">
        <f>C98*(1+G97*3)</f>
        <v>65.084728384022583</v>
      </c>
      <c r="D97">
        <f t="shared" si="2"/>
        <v>46.738720950416102</v>
      </c>
      <c r="F97">
        <v>23712.0703125</v>
      </c>
      <c r="G97">
        <f t="shared" si="3"/>
        <v>-5.0506428794983016E-3</v>
      </c>
    </row>
    <row r="98" spans="1:7" x14ac:dyDescent="0.25">
      <c r="A98" s="1">
        <v>45883</v>
      </c>
      <c r="B98">
        <v>47.299999237060497</v>
      </c>
      <c r="C98">
        <f>C99*(1+G98*3)</f>
        <v>66.086059643743909</v>
      </c>
      <c r="D98">
        <f t="shared" si="2"/>
        <v>47.477583764017993</v>
      </c>
      <c r="F98">
        <v>23832.439453125</v>
      </c>
      <c r="G98">
        <f t="shared" si="3"/>
        <v>-6.9602843668037373E-4</v>
      </c>
    </row>
    <row r="99" spans="1:7" x14ac:dyDescent="0.25">
      <c r="A99" s="1">
        <v>45882</v>
      </c>
      <c r="B99">
        <v>47.430000305175703</v>
      </c>
      <c r="C99">
        <f>C100*(1+G99*3)</f>
        <v>66.224341718854191</v>
      </c>
      <c r="D99">
        <f t="shared" si="2"/>
        <v>47.596503984773108</v>
      </c>
      <c r="F99">
        <v>23849.0390625</v>
      </c>
      <c r="G99">
        <f t="shared" si="3"/>
        <v>4.1275898824078006E-4</v>
      </c>
    </row>
    <row r="100" spans="1:7" x14ac:dyDescent="0.25">
      <c r="A100" s="1">
        <v>45881</v>
      </c>
      <c r="B100">
        <v>47.360000610351499</v>
      </c>
      <c r="C100">
        <f>C101*(1+G100*3)</f>
        <v>66.14243906017542</v>
      </c>
      <c r="D100">
        <f t="shared" si="2"/>
        <v>47.557133583238716</v>
      </c>
      <c r="F100">
        <v>23839.19921875</v>
      </c>
      <c r="G100">
        <f t="shared" si="3"/>
        <v>1.3285725493093592E-2</v>
      </c>
    </row>
    <row r="101" spans="1:7" x14ac:dyDescent="0.25">
      <c r="A101" s="1">
        <v>45880</v>
      </c>
      <c r="B101">
        <v>45.674999237060497</v>
      </c>
      <c r="C101">
        <f>C102*(1+G101*3)</f>
        <v>63.607234297424036</v>
      </c>
      <c r="D101">
        <f t="shared" si="2"/>
        <v>45.752351802170459</v>
      </c>
      <c r="F101">
        <v>23526.630859375</v>
      </c>
      <c r="G101">
        <f t="shared" si="3"/>
        <v>-3.5846726396044915E-3</v>
      </c>
    </row>
    <row r="102" spans="1:7" x14ac:dyDescent="0.25">
      <c r="A102" s="1">
        <v>45877</v>
      </c>
      <c r="B102">
        <v>46.080001831054602</v>
      </c>
      <c r="C102">
        <f>C103*(1+G102*3)</f>
        <v>64.298703709270001</v>
      </c>
      <c r="D102">
        <f t="shared" si="2"/>
        <v>46.268918368811853</v>
      </c>
      <c r="F102">
        <v>23611.26953125</v>
      </c>
      <c r="G102">
        <f t="shared" si="3"/>
        <v>9.4803205126758883E-3</v>
      </c>
    </row>
    <row r="103" spans="1:7" x14ac:dyDescent="0.25">
      <c r="A103" s="1">
        <v>45876</v>
      </c>
      <c r="B103">
        <v>44.869998931884702</v>
      </c>
      <c r="C103">
        <f>C104*(1+G103*3)</f>
        <v>62.52055889830725</v>
      </c>
      <c r="D103">
        <f t="shared" si="2"/>
        <v>45.007338397560069</v>
      </c>
      <c r="F103">
        <v>23389.529296875</v>
      </c>
      <c r="G103">
        <f t="shared" si="3"/>
        <v>3.1949435802065551E-3</v>
      </c>
    </row>
    <row r="104" spans="1:7" x14ac:dyDescent="0.25">
      <c r="A104" s="1">
        <v>45875</v>
      </c>
      <c r="B104">
        <v>44.419998168945298</v>
      </c>
      <c r="C104">
        <f>C105*(1+G104*3)</f>
        <v>61.926999093719445</v>
      </c>
      <c r="D104">
        <f t="shared" si="2"/>
        <v>44.598176504359714</v>
      </c>
      <c r="F104">
        <v>23315.0390625</v>
      </c>
      <c r="G104">
        <f t="shared" si="3"/>
        <v>1.2879976357394352E-2</v>
      </c>
    </row>
    <row r="105" spans="1:7" x14ac:dyDescent="0.25">
      <c r="A105" s="1">
        <v>45874</v>
      </c>
      <c r="B105">
        <v>42.819999694824197</v>
      </c>
      <c r="C105">
        <f>C106*(1+G105*3)</f>
        <v>59.62316425581561</v>
      </c>
      <c r="D105">
        <f t="shared" si="2"/>
        <v>42.955990180823441</v>
      </c>
      <c r="F105">
        <v>23018.560546875</v>
      </c>
      <c r="G105">
        <f t="shared" si="3"/>
        <v>-7.3332913317489812E-3</v>
      </c>
    </row>
    <row r="106" spans="1:7" x14ac:dyDescent="0.25">
      <c r="A106" s="1">
        <v>45873</v>
      </c>
      <c r="B106">
        <v>43.7299995422363</v>
      </c>
      <c r="C106">
        <f>C107*(1+G106*3)</f>
        <v>60.96437277506633</v>
      </c>
      <c r="D106">
        <f t="shared" si="2"/>
        <v>43.940714608473741</v>
      </c>
      <c r="F106">
        <v>23188.609375</v>
      </c>
      <c r="G106">
        <f t="shared" si="3"/>
        <v>1.8683522647077622E-2</v>
      </c>
    </row>
    <row r="107" spans="1:7" x14ac:dyDescent="0.25">
      <c r="A107" s="1">
        <v>45870</v>
      </c>
      <c r="B107">
        <v>41.459999084472599</v>
      </c>
      <c r="C107">
        <f>C108*(1+G107*3)</f>
        <v>57.72864920087698</v>
      </c>
      <c r="D107">
        <f t="shared" si="2"/>
        <v>41.624709693051983</v>
      </c>
      <c r="F107">
        <v>22763.310546875</v>
      </c>
      <c r="G107">
        <f t="shared" si="3"/>
        <v>-1.9588520112045482E-2</v>
      </c>
    </row>
    <row r="108" spans="1:7" x14ac:dyDescent="0.25">
      <c r="A108" s="1">
        <v>45869</v>
      </c>
      <c r="B108">
        <v>44.1049995422363</v>
      </c>
      <c r="C108">
        <f>C109*(1+G108*3)</f>
        <v>61.332912150444905</v>
      </c>
      <c r="D108">
        <f t="shared" si="2"/>
        <v>44.242822162947469</v>
      </c>
      <c r="F108">
        <v>23218.119140625</v>
      </c>
      <c r="G108">
        <f t="shared" si="3"/>
        <v>-5.4525071426479998E-3</v>
      </c>
    </row>
    <row r="109" spans="1:7" x14ac:dyDescent="0.25">
      <c r="A109" s="1">
        <v>45868</v>
      </c>
      <c r="B109">
        <v>44.845001220703097</v>
      </c>
      <c r="C109">
        <f>C110*(1+G109*3)</f>
        <v>62.352850234244947</v>
      </c>
      <c r="D109">
        <f t="shared" si="2"/>
        <v>44.997334936776404</v>
      </c>
      <c r="F109">
        <v>23345.41015625</v>
      </c>
      <c r="G109">
        <f t="shared" si="3"/>
        <v>1.5921098388198551E-3</v>
      </c>
    </row>
    <row r="110" spans="1:7" x14ac:dyDescent="0.25">
      <c r="A110" s="1">
        <v>45867</v>
      </c>
      <c r="B110">
        <v>44.689998626708899</v>
      </c>
      <c r="C110">
        <f>C111*(1+G110*3)</f>
        <v>62.056448189072832</v>
      </c>
      <c r="D110">
        <f t="shared" si="2"/>
        <v>44.801734713609342</v>
      </c>
      <c r="F110">
        <v>23308.30078125</v>
      </c>
      <c r="G110">
        <f t="shared" si="3"/>
        <v>-2.0537847422860134E-3</v>
      </c>
    </row>
    <row r="111" spans="1:7" x14ac:dyDescent="0.25">
      <c r="A111" s="1">
        <v>45866</v>
      </c>
      <c r="B111">
        <v>44.895000457763601</v>
      </c>
      <c r="C111">
        <f>C112*(1+G111*3)</f>
        <v>62.441170357987986</v>
      </c>
      <c r="D111">
        <f t="shared" si="2"/>
        <v>45.098109404084298</v>
      </c>
      <c r="F111">
        <v>23356.26953125</v>
      </c>
      <c r="G111">
        <f t="shared" si="3"/>
        <v>3.6102882725133068E-3</v>
      </c>
    </row>
    <row r="112" spans="1:7" x14ac:dyDescent="0.25">
      <c r="A112" s="1">
        <v>45863</v>
      </c>
      <c r="B112">
        <v>44.459999084472599</v>
      </c>
      <c r="C112">
        <f>C113*(1+G112*3)</f>
        <v>61.772124824521391</v>
      </c>
      <c r="D112">
        <f t="shared" si="2"/>
        <v>44.63301364476704</v>
      </c>
      <c r="F112">
        <v>23272.25</v>
      </c>
      <c r="G112">
        <f t="shared" si="3"/>
        <v>2.2558636768263973E-3</v>
      </c>
    </row>
    <row r="113" spans="1:7" x14ac:dyDescent="0.25">
      <c r="A113" s="1">
        <v>45862</v>
      </c>
      <c r="B113">
        <v>44.209999084472599</v>
      </c>
      <c r="C113">
        <f>C114*(1+G113*3)</f>
        <v>61.356886509720077</v>
      </c>
      <c r="D113">
        <f t="shared" si="2"/>
        <v>44.351066425912897</v>
      </c>
      <c r="F113">
        <v>23219.869140625</v>
      </c>
      <c r="G113">
        <f t="shared" si="3"/>
        <v>2.4806997193898006E-3</v>
      </c>
    </row>
    <row r="114" spans="1:7" x14ac:dyDescent="0.25">
      <c r="A114" s="1">
        <v>45861</v>
      </c>
      <c r="B114">
        <v>43.919998168945298</v>
      </c>
      <c r="C114">
        <f>C115*(1+G114*3)</f>
        <v>60.903635614384811</v>
      </c>
      <c r="D114">
        <f t="shared" si="2"/>
        <v>44.041381655559121</v>
      </c>
      <c r="F114">
        <v>23162.41015625</v>
      </c>
      <c r="G114">
        <f t="shared" si="3"/>
        <v>4.2851143573645611E-3</v>
      </c>
    </row>
    <row r="115" spans="1:7" x14ac:dyDescent="0.25">
      <c r="A115" s="1">
        <v>45860</v>
      </c>
      <c r="B115">
        <v>43.349998474121001</v>
      </c>
      <c r="C115">
        <f>C116*(1+G115*3)</f>
        <v>60.130635663783799</v>
      </c>
      <c r="D115">
        <f t="shared" si="2"/>
        <v>43.500027256677058</v>
      </c>
      <c r="F115">
        <v>23063.580078125</v>
      </c>
      <c r="G115">
        <f t="shared" si="3"/>
        <v>-5.0250286669636379E-3</v>
      </c>
    </row>
    <row r="116" spans="1:7" x14ac:dyDescent="0.25">
      <c r="A116" s="1">
        <v>45859</v>
      </c>
      <c r="B116">
        <v>44.034999847412102</v>
      </c>
      <c r="C116">
        <f>C117*(1+G116*3)</f>
        <v>61.050984505645467</v>
      </c>
      <c r="D116">
        <f t="shared" si="2"/>
        <v>44.184242707711334</v>
      </c>
      <c r="F116">
        <v>23180.060546875</v>
      </c>
      <c r="G116">
        <f t="shared" si="3"/>
        <v>4.9680253754575965E-3</v>
      </c>
    </row>
    <row r="117" spans="1:7" x14ac:dyDescent="0.25">
      <c r="A117" s="1">
        <v>45856</v>
      </c>
      <c r="B117">
        <v>43.375</v>
      </c>
      <c r="C117">
        <f>C118*(1+G117*3)</f>
        <v>60.154438179676383</v>
      </c>
      <c r="D117">
        <f t="shared" si="2"/>
        <v>43.55300058799294</v>
      </c>
      <c r="F117">
        <v>23065.470703125</v>
      </c>
      <c r="G117">
        <f t="shared" si="3"/>
        <v>-6.750159805400946E-4</v>
      </c>
    </row>
    <row r="118" spans="1:7" x14ac:dyDescent="0.25">
      <c r="A118" s="1">
        <v>45855</v>
      </c>
      <c r="B118">
        <v>43.525001525878899</v>
      </c>
      <c r="C118">
        <f>C119*(1+G118*3)</f>
        <v>60.276500983921949</v>
      </c>
      <c r="D118">
        <f t="shared" si="2"/>
        <v>43.659331584725479</v>
      </c>
      <c r="F118">
        <v>23081.05078125</v>
      </c>
      <c r="G118">
        <f t="shared" si="3"/>
        <v>7.5554522208896024E-3</v>
      </c>
    </row>
    <row r="119" spans="1:7" x14ac:dyDescent="0.25">
      <c r="A119" s="1">
        <v>45854</v>
      </c>
      <c r="B119">
        <v>42.534999847412102</v>
      </c>
      <c r="C119">
        <f>C120*(1+G119*3)</f>
        <v>58.940533822414999</v>
      </c>
      <c r="D119">
        <f t="shared" si="2"/>
        <v>42.708807169671338</v>
      </c>
      <c r="F119">
        <v>22907.970703125</v>
      </c>
      <c r="G119">
        <f t="shared" si="3"/>
        <v>1.0216857516187616E-3</v>
      </c>
    </row>
    <row r="120" spans="1:7" x14ac:dyDescent="0.25">
      <c r="A120" s="1">
        <v>45853</v>
      </c>
      <c r="B120">
        <v>42.415000915527301</v>
      </c>
      <c r="C120">
        <f>C121*(1+G120*3)</f>
        <v>58.76042974093906</v>
      </c>
      <c r="D120">
        <f t="shared" si="2"/>
        <v>42.595731047143708</v>
      </c>
      <c r="F120">
        <v>22884.58984375</v>
      </c>
      <c r="G120">
        <f t="shared" si="3"/>
        <v>1.2670393809375291E-3</v>
      </c>
    </row>
    <row r="121" spans="1:7" x14ac:dyDescent="0.25">
      <c r="A121" s="1">
        <v>45852</v>
      </c>
      <c r="B121">
        <v>42.305000305175703</v>
      </c>
      <c r="C121">
        <f>C122*(1+G121*3)</f>
        <v>58.537920190460582</v>
      </c>
      <c r="D121">
        <f t="shared" si="2"/>
        <v>42.451789933553975</v>
      </c>
      <c r="F121">
        <v>22855.630859375</v>
      </c>
      <c r="G121">
        <f t="shared" si="3"/>
        <v>3.2936468436555177E-3</v>
      </c>
    </row>
    <row r="122" spans="1:7" x14ac:dyDescent="0.25">
      <c r="A122" s="1">
        <v>45849</v>
      </c>
      <c r="B122">
        <v>41.860000610351499</v>
      </c>
      <c r="C122">
        <f>C123*(1+G122*3)</f>
        <v>57.96516979485029</v>
      </c>
      <c r="D122">
        <f t="shared" si="2"/>
        <v>42.053521287636741</v>
      </c>
      <c r="F122">
        <v>22780.599609375</v>
      </c>
      <c r="G122">
        <f t="shared" si="3"/>
        <v>-2.1314819993974998E-3</v>
      </c>
    </row>
    <row r="123" spans="1:7" x14ac:dyDescent="0.25">
      <c r="A123" s="1">
        <v>45848</v>
      </c>
      <c r="B123">
        <v>42.180000305175703</v>
      </c>
      <c r="C123">
        <f>C124*(1+G123*3)</f>
        <v>58.33821033043948</v>
      </c>
      <c r="D123">
        <f t="shared" si="2"/>
        <v>42.341650637828586</v>
      </c>
      <c r="F123">
        <v>22829.259765625</v>
      </c>
      <c r="G123">
        <f t="shared" si="3"/>
        <v>-1.5591747521148669E-3</v>
      </c>
    </row>
    <row r="124" spans="1:7" x14ac:dyDescent="0.25">
      <c r="A124" s="1">
        <v>45847</v>
      </c>
      <c r="B124">
        <v>42.375</v>
      </c>
      <c r="C124">
        <f>C125*(1+G124*3)</f>
        <v>58.612371118066108</v>
      </c>
      <c r="D124">
        <f t="shared" si="2"/>
        <v>42.558184399632005</v>
      </c>
      <c r="F124">
        <v>22864.91015625</v>
      </c>
      <c r="G124">
        <f t="shared" si="3"/>
        <v>7.1649354689513611E-3</v>
      </c>
    </row>
    <row r="125" spans="1:7" x14ac:dyDescent="0.25">
      <c r="A125" s="1">
        <v>45846</v>
      </c>
      <c r="B125">
        <v>41.514999389648402</v>
      </c>
      <c r="C125">
        <f>C126*(1+G125*3)</f>
        <v>57.379020187324592</v>
      </c>
      <c r="D125">
        <f t="shared" si="2"/>
        <v>41.679399916612986</v>
      </c>
      <c r="F125">
        <v>22702.25</v>
      </c>
      <c r="G125">
        <f t="shared" si="3"/>
        <v>7.3525537468244195E-4</v>
      </c>
    </row>
    <row r="126" spans="1:7" x14ac:dyDescent="0.25">
      <c r="A126" s="1">
        <v>45845</v>
      </c>
      <c r="B126">
        <v>41.459999084472599</v>
      </c>
      <c r="C126">
        <f>C127*(1+G126*3)</f>
        <v>57.252734046056709</v>
      </c>
      <c r="D126">
        <f t="shared" si="2"/>
        <v>41.604705160328571</v>
      </c>
      <c r="F126">
        <v>22685.5703125</v>
      </c>
      <c r="G126">
        <f t="shared" si="3"/>
        <v>-7.9328562134471925E-3</v>
      </c>
    </row>
    <row r="127" spans="1:7" x14ac:dyDescent="0.25">
      <c r="A127" s="1">
        <v>45841</v>
      </c>
      <c r="B127">
        <v>42.404998779296797</v>
      </c>
      <c r="C127">
        <f>C128*(1+G127*3)</f>
        <v>58.648484018625958</v>
      </c>
      <c r="D127">
        <f t="shared" si="2"/>
        <v>42.636901516907642</v>
      </c>
      <c r="F127">
        <v>22866.970703125</v>
      </c>
      <c r="G127">
        <f t="shared" si="3"/>
        <v>9.9408694199978331E-3</v>
      </c>
    </row>
    <row r="128" spans="1:7" x14ac:dyDescent="0.25">
      <c r="A128" s="1">
        <v>45840</v>
      </c>
      <c r="B128">
        <v>41.25</v>
      </c>
      <c r="C128">
        <f>C129*(1+G128*3)</f>
        <v>56.950083973898643</v>
      </c>
      <c r="D128">
        <f t="shared" si="2"/>
        <v>41.41868737579447</v>
      </c>
      <c r="F128">
        <v>22641.890625</v>
      </c>
      <c r="G128">
        <f t="shared" si="3"/>
        <v>7.2852928319304677E-3</v>
      </c>
    </row>
    <row r="129" spans="1:7" x14ac:dyDescent="0.25">
      <c r="A129" s="1">
        <v>45839</v>
      </c>
      <c r="B129">
        <v>40.444999694824197</v>
      </c>
      <c r="C129">
        <f>C130*(1+G129*3)</f>
        <v>55.732011893625561</v>
      </c>
      <c r="D129">
        <f t="shared" si="2"/>
        <v>40.549093560390318</v>
      </c>
      <c r="F129">
        <v>22478.130859375</v>
      </c>
      <c r="G129">
        <f t="shared" si="3"/>
        <v>-8.8574813594585189E-3</v>
      </c>
    </row>
    <row r="130" spans="1:7" x14ac:dyDescent="0.25">
      <c r="A130" s="1">
        <v>45838</v>
      </c>
      <c r="B130">
        <v>41.5</v>
      </c>
      <c r="C130">
        <f>C131*(1+G130*3)</f>
        <v>57.253373971789252</v>
      </c>
      <c r="D130">
        <f t="shared" ref="D130:D193" si="4">D131*(1+3*G130-0.000410422160027694)</f>
        <v>41.673565812383153</v>
      </c>
      <c r="F130">
        <v>22679.009765625</v>
      </c>
      <c r="G130">
        <f t="shared" ref="G130:G193" si="5">F130/F131-1</f>
        <v>6.426256618629056E-3</v>
      </c>
    </row>
    <row r="131" spans="1:7" x14ac:dyDescent="0.25">
      <c r="A131" s="1">
        <v>45835</v>
      </c>
      <c r="B131">
        <v>40.709999084472599</v>
      </c>
      <c r="C131">
        <f>C132*(1+G131*3)</f>
        <v>56.170476286761215</v>
      </c>
      <c r="D131">
        <f t="shared" si="4"/>
        <v>40.901816124356678</v>
      </c>
      <c r="F131">
        <v>22534.19921875</v>
      </c>
      <c r="G131">
        <f t="shared" si="5"/>
        <v>3.8717439779929474E-3</v>
      </c>
    </row>
    <row r="132" spans="1:7" x14ac:dyDescent="0.25">
      <c r="A132" s="1">
        <v>45834</v>
      </c>
      <c r="B132">
        <v>40.314998626708899</v>
      </c>
      <c r="C132">
        <f>C133*(1+G132*3)</f>
        <v>55.525534327291616</v>
      </c>
      <c r="D132">
        <f t="shared" si="4"/>
        <v>40.448597286142295</v>
      </c>
      <c r="F132">
        <v>22447.2890625</v>
      </c>
      <c r="G132">
        <f t="shared" si="5"/>
        <v>9.4231170036369605E-3</v>
      </c>
    </row>
    <row r="133" spans="1:7" x14ac:dyDescent="0.25">
      <c r="A133" s="1">
        <v>45833</v>
      </c>
      <c r="B133">
        <v>39.240001678466797</v>
      </c>
      <c r="C133">
        <f>C134*(1+G133*3)</f>
        <v>53.99901715703519</v>
      </c>
      <c r="D133">
        <f t="shared" si="4"/>
        <v>39.352284784219044</v>
      </c>
      <c r="F133">
        <v>22237.740234375</v>
      </c>
      <c r="G133">
        <f t="shared" si="5"/>
        <v>2.1279674438672291E-3</v>
      </c>
    </row>
    <row r="134" spans="1:7" x14ac:dyDescent="0.25">
      <c r="A134" s="1">
        <v>45832</v>
      </c>
      <c r="B134">
        <v>39.049999237060497</v>
      </c>
      <c r="C134">
        <f>C135*(1+G134*3)</f>
        <v>53.656479432878101</v>
      </c>
      <c r="D134">
        <f t="shared" si="4"/>
        <v>39.118610539819905</v>
      </c>
      <c r="F134">
        <v>22190.51953125</v>
      </c>
      <c r="G134">
        <f t="shared" si="5"/>
        <v>1.5290282125610677E-2</v>
      </c>
    </row>
    <row r="135" spans="1:7" x14ac:dyDescent="0.25">
      <c r="A135" s="1">
        <v>45831</v>
      </c>
      <c r="B135">
        <v>37.349998474121001</v>
      </c>
      <c r="C135">
        <f>C136*(1+G135*3)</f>
        <v>51.303160059158422</v>
      </c>
      <c r="D135">
        <f t="shared" si="4"/>
        <v>37.417590980667867</v>
      </c>
      <c r="F135">
        <v>21856.330078125</v>
      </c>
      <c r="G135">
        <f t="shared" si="5"/>
        <v>1.0632354566794566E-2</v>
      </c>
    </row>
    <row r="136" spans="1:7" x14ac:dyDescent="0.25">
      <c r="A136" s="1">
        <v>45828</v>
      </c>
      <c r="B136">
        <v>36.224998474121001</v>
      </c>
      <c r="C136">
        <f>C137*(1+G136*3)</f>
        <v>49.717323426801165</v>
      </c>
      <c r="D136">
        <f t="shared" si="4"/>
        <v>36.275400449966888</v>
      </c>
      <c r="F136">
        <v>21626.390625</v>
      </c>
      <c r="G136">
        <f t="shared" si="5"/>
        <v>-4.2955875739547622E-3</v>
      </c>
    </row>
    <row r="137" spans="1:7" x14ac:dyDescent="0.25">
      <c r="A137" s="1">
        <v>45826</v>
      </c>
      <c r="B137">
        <v>36.7299995422363</v>
      </c>
      <c r="C137">
        <f>C138*(1+G137*3)</f>
        <v>50.366383054381508</v>
      </c>
      <c r="D137">
        <f t="shared" si="4"/>
        <v>36.764261633959904</v>
      </c>
      <c r="F137">
        <v>21719.689453125</v>
      </c>
      <c r="G137">
        <f t="shared" si="5"/>
        <v>2.8057127549052652E-5</v>
      </c>
    </row>
    <row r="138" spans="1:7" x14ac:dyDescent="0.25">
      <c r="A138" s="1">
        <v>45825</v>
      </c>
      <c r="B138">
        <v>36.779998779296797</v>
      </c>
      <c r="C138">
        <f>C139*(1+G138*3)</f>
        <v>50.362144003087693</v>
      </c>
      <c r="D138">
        <f t="shared" si="4"/>
        <v>36.77625991734709</v>
      </c>
      <c r="F138">
        <v>21719.080078125</v>
      </c>
      <c r="G138">
        <f t="shared" si="5"/>
        <v>-9.9596368815056957E-3</v>
      </c>
    </row>
    <row r="139" spans="1:7" x14ac:dyDescent="0.25">
      <c r="A139" s="1">
        <v>45824</v>
      </c>
      <c r="B139">
        <v>37.900001525878899</v>
      </c>
      <c r="C139">
        <f>C140*(1+G139*3)</f>
        <v>51.913255526221654</v>
      </c>
      <c r="D139">
        <f t="shared" si="4"/>
        <v>37.924982328707806</v>
      </c>
      <c r="F139">
        <v>21937.5703125</v>
      </c>
      <c r="G139">
        <f t="shared" si="5"/>
        <v>1.4170898083736061E-2</v>
      </c>
    </row>
    <row r="140" spans="1:7" x14ac:dyDescent="0.25">
      <c r="A140" s="1">
        <v>45821</v>
      </c>
      <c r="B140">
        <v>36.415000915527301</v>
      </c>
      <c r="C140">
        <f>C141*(1+G140*3)</f>
        <v>49.796281438576344</v>
      </c>
      <c r="D140">
        <f t="shared" si="4"/>
        <v>36.392764265453494</v>
      </c>
      <c r="F140">
        <v>21631.0390625</v>
      </c>
      <c r="G140">
        <f t="shared" si="5"/>
        <v>-1.2881719701736793E-2</v>
      </c>
    </row>
    <row r="141" spans="1:7" x14ac:dyDescent="0.25">
      <c r="A141" s="1">
        <v>45820</v>
      </c>
      <c r="B141">
        <v>37.845001220703097</v>
      </c>
      <c r="C141">
        <f>C142*(1+G141*3)</f>
        <v>51.798024330150568</v>
      </c>
      <c r="D141">
        <f t="shared" si="4"/>
        <v>37.871872249771144</v>
      </c>
      <c r="F141">
        <v>21913.3203125</v>
      </c>
      <c r="G141">
        <f t="shared" si="5"/>
        <v>2.4024523060950376E-3</v>
      </c>
    </row>
    <row r="142" spans="1:7" x14ac:dyDescent="0.25">
      <c r="A142" s="1">
        <v>45819</v>
      </c>
      <c r="B142">
        <v>37.599998474121001</v>
      </c>
      <c r="C142">
        <f>C143*(1+G142*3)</f>
        <v>51.427368926925887</v>
      </c>
      <c r="D142">
        <f t="shared" si="4"/>
        <v>37.616197410120819</v>
      </c>
      <c r="F142">
        <v>21860.80078125</v>
      </c>
      <c r="G142">
        <f t="shared" si="5"/>
        <v>-3.6969937413784404E-3</v>
      </c>
    </row>
    <row r="143" spans="1:7" x14ac:dyDescent="0.25">
      <c r="A143" s="1">
        <v>45818</v>
      </c>
      <c r="B143">
        <v>37.990001678466797</v>
      </c>
      <c r="C143">
        <f>C144*(1+G143*3)</f>
        <v>52.004145933046502</v>
      </c>
      <c r="D143">
        <f t="shared" si="4"/>
        <v>38.053870323034673</v>
      </c>
      <c r="F143">
        <v>21941.919921875</v>
      </c>
      <c r="G143">
        <f t="shared" si="5"/>
        <v>6.6084799537369232E-3</v>
      </c>
    </row>
    <row r="144" spans="1:7" x14ac:dyDescent="0.25">
      <c r="A144" s="1">
        <v>45817</v>
      </c>
      <c r="B144">
        <v>37.270000457763601</v>
      </c>
      <c r="C144">
        <f>C145*(1+G144*3)</f>
        <v>50.993183637509382</v>
      </c>
      <c r="D144">
        <f t="shared" si="4"/>
        <v>37.329124706096145</v>
      </c>
      <c r="F144">
        <v>21797.869140625</v>
      </c>
      <c r="G144">
        <f t="shared" si="5"/>
        <v>1.6579555119009548E-3</v>
      </c>
    </row>
    <row r="145" spans="1:7" x14ac:dyDescent="0.25">
      <c r="A145" s="1">
        <v>45814</v>
      </c>
      <c r="B145">
        <v>37.1049995422363</v>
      </c>
      <c r="C145">
        <f>C146*(1+G145*3)</f>
        <v>50.740805642330393</v>
      </c>
      <c r="D145">
        <f t="shared" si="4"/>
        <v>37.15954917043171</v>
      </c>
      <c r="F145">
        <v>21761.7890625</v>
      </c>
      <c r="G145">
        <f t="shared" si="5"/>
        <v>9.9482573146232323E-3</v>
      </c>
    </row>
    <row r="146" spans="1:7" x14ac:dyDescent="0.25">
      <c r="A146" s="1">
        <v>45813</v>
      </c>
      <c r="B146">
        <v>36.075000762939403</v>
      </c>
      <c r="C146">
        <f>C147*(1+G146*3)</f>
        <v>49.270343477643983</v>
      </c>
      <c r="D146">
        <f t="shared" si="4"/>
        <v>36.097055803737632</v>
      </c>
      <c r="F146">
        <v>21547.4296875</v>
      </c>
      <c r="G146">
        <f t="shared" si="5"/>
        <v>-8.0329103045482242E-3</v>
      </c>
    </row>
    <row r="147" spans="1:7" x14ac:dyDescent="0.25">
      <c r="A147" s="1">
        <v>45812</v>
      </c>
      <c r="B147">
        <v>36.935001373291001</v>
      </c>
      <c r="C147">
        <f>C148*(1+G147*3)</f>
        <v>50.487016502982087</v>
      </c>
      <c r="D147">
        <f t="shared" si="4"/>
        <v>37.003992315741129</v>
      </c>
      <c r="F147">
        <v>21721.919921875</v>
      </c>
      <c r="G147">
        <f t="shared" si="5"/>
        <v>2.739278679455337E-3</v>
      </c>
    </row>
    <row r="148" spans="1:7" x14ac:dyDescent="0.25">
      <c r="A148" s="1">
        <v>45811</v>
      </c>
      <c r="B148">
        <v>36.639999389648402</v>
      </c>
      <c r="C148">
        <f>C149*(1+G148*3)</f>
        <v>50.075504219765548</v>
      </c>
      <c r="D148">
        <f t="shared" si="4"/>
        <v>36.717324963247613</v>
      </c>
      <c r="F148">
        <v>21662.580078125</v>
      </c>
      <c r="G148">
        <f t="shared" si="5"/>
        <v>7.9486350867192801E-3</v>
      </c>
    </row>
    <row r="149" spans="1:7" x14ac:dyDescent="0.25">
      <c r="A149" s="1">
        <v>45810</v>
      </c>
      <c r="B149">
        <v>35.805000305175703</v>
      </c>
      <c r="C149">
        <f>C150*(1+G149*3)</f>
        <v>48.909219602769646</v>
      </c>
      <c r="D149">
        <f t="shared" si="4"/>
        <v>35.876540895402279</v>
      </c>
      <c r="F149">
        <v>21491.75</v>
      </c>
      <c r="G149">
        <f t="shared" si="5"/>
        <v>7.0643285044085236E-3</v>
      </c>
    </row>
    <row r="150" spans="1:7" x14ac:dyDescent="0.25">
      <c r="A150" s="1">
        <v>45807</v>
      </c>
      <c r="B150">
        <v>35</v>
      </c>
      <c r="C150">
        <f>C151*(1+G150*3)</f>
        <v>47.894198546799771</v>
      </c>
      <c r="D150">
        <f t="shared" si="4"/>
        <v>35.146114543287652</v>
      </c>
      <c r="F150">
        <v>21340.990234375</v>
      </c>
      <c r="G150">
        <f t="shared" si="5"/>
        <v>-1.0746601267358491E-3</v>
      </c>
    </row>
    <row r="151" spans="1:7" x14ac:dyDescent="0.25">
      <c r="A151" s="1">
        <v>45806</v>
      </c>
      <c r="B151">
        <v>35.185001373291001</v>
      </c>
      <c r="C151">
        <f>C152*(1+G151*3)</f>
        <v>48.049107928046269</v>
      </c>
      <c r="D151">
        <f t="shared" si="4"/>
        <v>35.274315605529452</v>
      </c>
      <c r="F151">
        <v>21363.94921875</v>
      </c>
      <c r="G151">
        <f t="shared" si="5"/>
        <v>2.1474309025009131E-3</v>
      </c>
    </row>
    <row r="152" spans="1:7" x14ac:dyDescent="0.25">
      <c r="A152" s="1">
        <v>45805</v>
      </c>
      <c r="B152">
        <v>35.014999389648402</v>
      </c>
      <c r="C152">
        <f>C153*(1+G152*3)</f>
        <v>47.74154293415662</v>
      </c>
      <c r="D152">
        <f t="shared" si="4"/>
        <v>35.062821206979685</v>
      </c>
      <c r="F152">
        <v>21318.169921875</v>
      </c>
      <c r="G152">
        <f t="shared" si="5"/>
        <v>-4.5211467033304809E-3</v>
      </c>
    </row>
    <row r="153" spans="1:7" x14ac:dyDescent="0.25">
      <c r="A153" s="1">
        <v>45804</v>
      </c>
      <c r="B153">
        <v>35.470001220703097</v>
      </c>
      <c r="C153">
        <f>C154*(1+G153*3)</f>
        <v>48.3979861203441</v>
      </c>
      <c r="D153">
        <f t="shared" si="4"/>
        <v>35.559727947679917</v>
      </c>
      <c r="F153">
        <v>21414.990234375</v>
      </c>
      <c r="G153">
        <f t="shared" si="5"/>
        <v>2.3873503126115247E-2</v>
      </c>
    </row>
    <row r="154" spans="1:7" x14ac:dyDescent="0.25">
      <c r="A154" s="1">
        <v>45800</v>
      </c>
      <c r="B154">
        <v>33.159999847412102</v>
      </c>
      <c r="C154">
        <f>C155*(1+G154*3)</f>
        <v>45.16336305323243</v>
      </c>
      <c r="D154">
        <f t="shared" si="4"/>
        <v>33.195848668695987</v>
      </c>
      <c r="F154">
        <v>20915.66015625</v>
      </c>
      <c r="G154">
        <f t="shared" si="5"/>
        <v>-9.3220044987850637E-3</v>
      </c>
    </row>
    <row r="155" spans="1:7" x14ac:dyDescent="0.25">
      <c r="A155" s="1">
        <v>45799</v>
      </c>
      <c r="B155">
        <v>34.145000457763601</v>
      </c>
      <c r="C155">
        <f>C156*(1+G155*3)</f>
        <v>46.462740686344389</v>
      </c>
      <c r="D155">
        <f t="shared" si="4"/>
        <v>34.16533921871433</v>
      </c>
      <c r="F155">
        <v>21112.470703125</v>
      </c>
      <c r="G155">
        <f t="shared" si="5"/>
        <v>1.5232818166792672E-3</v>
      </c>
    </row>
    <row r="156" spans="1:7" x14ac:dyDescent="0.25">
      <c r="A156" s="1">
        <v>45798</v>
      </c>
      <c r="B156">
        <v>33.970001220703097</v>
      </c>
      <c r="C156">
        <f>C157*(1+G156*3)</f>
        <v>46.25137903231559</v>
      </c>
      <c r="D156">
        <f t="shared" si="4"/>
        <v>34.023819750429283</v>
      </c>
      <c r="F156">
        <v>21080.359375</v>
      </c>
      <c r="G156">
        <f t="shared" si="5"/>
        <v>-1.3432152724844326E-2</v>
      </c>
    </row>
    <row r="157" spans="1:7" x14ac:dyDescent="0.25">
      <c r="A157" s="1">
        <v>45797</v>
      </c>
      <c r="B157">
        <v>35.444999694824197</v>
      </c>
      <c r="C157">
        <f>C158*(1+G157*3)</f>
        <v>48.193402458784433</v>
      </c>
      <c r="D157">
        <f t="shared" si="4"/>
        <v>35.467594891429378</v>
      </c>
      <c r="F157">
        <v>21367.369140625</v>
      </c>
      <c r="G157">
        <f t="shared" si="5"/>
        <v>-3.7152726236215905E-3</v>
      </c>
    </row>
    <row r="158" spans="1:7" x14ac:dyDescent="0.25">
      <c r="A158" s="1">
        <v>45796</v>
      </c>
      <c r="B158">
        <v>35.819999694824197</v>
      </c>
      <c r="C158">
        <f>C159*(1+G158*3)</f>
        <v>48.736611858198948</v>
      </c>
      <c r="D158">
        <f t="shared" si="4"/>
        <v>35.882258887989614</v>
      </c>
      <c r="F158">
        <v>21447.05078125</v>
      </c>
      <c r="G158">
        <f t="shared" si="5"/>
        <v>8.9188828290320821E-4</v>
      </c>
    </row>
    <row r="159" spans="1:7" x14ac:dyDescent="0.25">
      <c r="A159" s="1">
        <v>45793</v>
      </c>
      <c r="B159">
        <v>35.724998474121001</v>
      </c>
      <c r="C159">
        <f>C160*(1+G159*3)</f>
        <v>48.606557002211332</v>
      </c>
      <c r="D159">
        <f t="shared" si="4"/>
        <v>35.801160570760366</v>
      </c>
      <c r="F159">
        <v>21427.939453125</v>
      </c>
      <c r="G159">
        <f t="shared" si="5"/>
        <v>4.3175813854707812E-3</v>
      </c>
    </row>
    <row r="160" spans="1:7" x14ac:dyDescent="0.25">
      <c r="A160" s="1">
        <v>45792</v>
      </c>
      <c r="B160">
        <v>35.290000915527301</v>
      </c>
      <c r="C160">
        <f>C161*(1+G160*3)</f>
        <v>47.985019323572594</v>
      </c>
      <c r="D160">
        <f t="shared" si="4"/>
        <v>35.357693000103744</v>
      </c>
      <c r="F160">
        <v>21335.8203125</v>
      </c>
      <c r="G160">
        <f t="shared" si="5"/>
        <v>7.7908019432304521E-4</v>
      </c>
    </row>
    <row r="161" spans="1:7" x14ac:dyDescent="0.25">
      <c r="A161" s="1">
        <v>45791</v>
      </c>
      <c r="B161">
        <v>35.180000305175703</v>
      </c>
      <c r="C161">
        <f>C162*(1+G161*3)</f>
        <v>47.87312830526384</v>
      </c>
      <c r="D161">
        <f t="shared" si="4"/>
        <v>35.289696163396101</v>
      </c>
      <c r="F161">
        <v>21319.2109375</v>
      </c>
      <c r="G161">
        <f t="shared" si="5"/>
        <v>5.7323069591683762E-3</v>
      </c>
    </row>
    <row r="162" spans="1:7" x14ac:dyDescent="0.25">
      <c r="A162" s="1">
        <v>45790</v>
      </c>
      <c r="B162">
        <v>34.569999694824197</v>
      </c>
      <c r="C162">
        <f>C163*(1+G162*3)</f>
        <v>47.063776268576525</v>
      </c>
      <c r="D162">
        <f t="shared" si="4"/>
        <v>34.707085713577747</v>
      </c>
      <c r="F162">
        <v>21197.69921875</v>
      </c>
      <c r="G162">
        <f t="shared" si="5"/>
        <v>1.5791951943812332E-2</v>
      </c>
    </row>
    <row r="163" spans="1:7" x14ac:dyDescent="0.25">
      <c r="A163" s="1">
        <v>45789</v>
      </c>
      <c r="B163">
        <v>33.055000305175703</v>
      </c>
      <c r="C163">
        <f>C164*(1+G163*3)</f>
        <v>44.934944801850477</v>
      </c>
      <c r="D163">
        <f t="shared" si="4"/>
        <v>33.150173441610093</v>
      </c>
      <c r="F163">
        <v>20868.150390625</v>
      </c>
      <c r="G163">
        <f t="shared" si="5"/>
        <v>4.021151029911807E-2</v>
      </c>
    </row>
    <row r="164" spans="1:7" x14ac:dyDescent="0.25">
      <c r="A164" s="1">
        <v>45786</v>
      </c>
      <c r="B164">
        <v>29.485000610351499</v>
      </c>
      <c r="C164">
        <f>C165*(1+G164*3)</f>
        <v>40.097769221753836</v>
      </c>
      <c r="D164">
        <f t="shared" si="4"/>
        <v>29.592447781699402</v>
      </c>
      <c r="F164">
        <v>20061.44921875</v>
      </c>
      <c r="G164">
        <f t="shared" si="5"/>
        <v>-1.0523197615230906E-4</v>
      </c>
    </row>
    <row r="165" spans="1:7" x14ac:dyDescent="0.25">
      <c r="A165" s="1">
        <v>45785</v>
      </c>
      <c r="B165">
        <v>29.5550003051757</v>
      </c>
      <c r="C165">
        <f>C166*(1+G165*3)</f>
        <v>40.110431921800199</v>
      </c>
      <c r="D165">
        <f t="shared" si="4"/>
        <v>29.613951007197226</v>
      </c>
      <c r="F165">
        <v>20063.560546875</v>
      </c>
      <c r="G165">
        <f t="shared" si="5"/>
        <v>9.8444801772954449E-3</v>
      </c>
    </row>
    <row r="166" spans="1:7" x14ac:dyDescent="0.25">
      <c r="A166" s="1">
        <v>45784</v>
      </c>
      <c r="B166">
        <v>28.7000007629394</v>
      </c>
      <c r="C166">
        <f>C167*(1+G166*3)</f>
        <v>38.959814555492251</v>
      </c>
      <c r="D166">
        <f t="shared" si="4"/>
        <v>28.775909661459593</v>
      </c>
      <c r="F166">
        <v>19867.970703125</v>
      </c>
      <c r="G166">
        <f t="shared" si="5"/>
        <v>3.8714435984550377E-3</v>
      </c>
    </row>
    <row r="167" spans="1:7" x14ac:dyDescent="0.25">
      <c r="A167" s="1">
        <v>45783</v>
      </c>
      <c r="B167">
        <v>28.370000839233398</v>
      </c>
      <c r="C167">
        <f>C168*(1+G167*3)</f>
        <v>38.5125174382027</v>
      </c>
      <c r="D167">
        <f t="shared" si="4"/>
        <v>28.457079146671717</v>
      </c>
      <c r="F167">
        <v>19791.349609375</v>
      </c>
      <c r="G167">
        <f t="shared" si="5"/>
        <v>-8.8436688304542876E-3</v>
      </c>
    </row>
    <row r="168" spans="1:7" x14ac:dyDescent="0.25">
      <c r="A168" s="1">
        <v>45782</v>
      </c>
      <c r="B168">
        <v>29.2000007629394</v>
      </c>
      <c r="C168">
        <f>C169*(1+G168*3)</f>
        <v>39.562140854012725</v>
      </c>
      <c r="D168">
        <f t="shared" si="4"/>
        <v>29.244980707822819</v>
      </c>
      <c r="F168">
        <v>19967.939453125</v>
      </c>
      <c r="G168">
        <f t="shared" si="5"/>
        <v>-6.6991264349233193E-3</v>
      </c>
    </row>
    <row r="169" spans="1:7" x14ac:dyDescent="0.25">
      <c r="A169" s="1">
        <v>45779</v>
      </c>
      <c r="B169">
        <v>29.715000152587798</v>
      </c>
      <c r="C169">
        <f>C170*(1+G169*3)</f>
        <v>40.373543266925672</v>
      </c>
      <c r="D169">
        <f t="shared" si="4"/>
        <v>29.857288043291927</v>
      </c>
      <c r="F169">
        <v>20102.609375</v>
      </c>
      <c r="G169">
        <f t="shared" si="5"/>
        <v>1.5965181808023754E-2</v>
      </c>
    </row>
    <row r="170" spans="1:7" x14ac:dyDescent="0.25">
      <c r="A170" s="1">
        <v>45778</v>
      </c>
      <c r="B170">
        <v>28.3850002288818</v>
      </c>
      <c r="C170">
        <f>C171*(1+G170*3)</f>
        <v>38.528213468630561</v>
      </c>
      <c r="D170">
        <f t="shared" si="4"/>
        <v>28.503782421514817</v>
      </c>
      <c r="F170">
        <v>19786.7109375</v>
      </c>
      <c r="G170">
        <f t="shared" si="5"/>
        <v>1.1020959123033691E-2</v>
      </c>
    </row>
    <row r="171" spans="1:7" x14ac:dyDescent="0.25">
      <c r="A171" s="1">
        <v>45777</v>
      </c>
      <c r="B171">
        <v>27.440000534057599</v>
      </c>
      <c r="C171">
        <f>C172*(1+G171*3)</f>
        <v>37.295129185892613</v>
      </c>
      <c r="D171">
        <f t="shared" si="4"/>
        <v>27.60249324710497</v>
      </c>
      <c r="F171">
        <v>19571.01953125</v>
      </c>
      <c r="G171">
        <f t="shared" si="5"/>
        <v>1.3338644274905054E-3</v>
      </c>
    </row>
    <row r="172" spans="1:7" x14ac:dyDescent="0.25">
      <c r="A172" s="1">
        <v>45776</v>
      </c>
      <c r="B172">
        <v>27.434999465942301</v>
      </c>
      <c r="C172">
        <f>C173*(1+G172*3)</f>
        <v>37.146484064791508</v>
      </c>
      <c r="D172">
        <f t="shared" si="4"/>
        <v>27.503722672483843</v>
      </c>
      <c r="F172">
        <v>19544.94921875</v>
      </c>
      <c r="G172">
        <f t="shared" si="5"/>
        <v>6.0564372039491055E-3</v>
      </c>
    </row>
    <row r="173" spans="1:7" x14ac:dyDescent="0.25">
      <c r="A173" s="1">
        <v>45775</v>
      </c>
      <c r="B173">
        <v>26.909999847412099</v>
      </c>
      <c r="C173">
        <f>C174*(1+G173*3)</f>
        <v>36.483602128987279</v>
      </c>
      <c r="D173">
        <f t="shared" si="4"/>
        <v>27.023809821300372</v>
      </c>
      <c r="F173">
        <v>19427.2890625</v>
      </c>
      <c r="G173">
        <f t="shared" si="5"/>
        <v>-2.7127070373889062E-4</v>
      </c>
    </row>
    <row r="174" spans="1:7" x14ac:dyDescent="0.25">
      <c r="A174" s="1">
        <v>45772</v>
      </c>
      <c r="B174">
        <v>26.9300003051757</v>
      </c>
      <c r="C174">
        <f>C175*(1+G174*3)</f>
        <v>36.513317108671011</v>
      </c>
      <c r="D174">
        <f t="shared" si="4"/>
        <v>27.056933846990649</v>
      </c>
      <c r="F174">
        <v>19432.560546875</v>
      </c>
      <c r="G174">
        <f t="shared" si="5"/>
        <v>1.1353992412713731E-2</v>
      </c>
    </row>
    <row r="175" spans="1:7" x14ac:dyDescent="0.25">
      <c r="A175" s="1">
        <v>45771</v>
      </c>
      <c r="B175">
        <v>26.069999694824201</v>
      </c>
      <c r="C175">
        <f>C176*(1+G175*3)</f>
        <v>35.310569300878676</v>
      </c>
      <c r="D175">
        <f t="shared" si="4"/>
        <v>26.176068438213633</v>
      </c>
      <c r="F175">
        <v>19214.400390625</v>
      </c>
      <c r="G175">
        <f t="shared" si="5"/>
        <v>2.7878531167598863E-2</v>
      </c>
    </row>
    <row r="176" spans="1:7" x14ac:dyDescent="0.25">
      <c r="A176" s="1">
        <v>45770</v>
      </c>
      <c r="B176">
        <v>24.024999618530199</v>
      </c>
      <c r="C176">
        <f>C177*(1+G176*3)</f>
        <v>32.585280063327438</v>
      </c>
      <c r="D176">
        <f t="shared" si="4"/>
        <v>24.164937383947333</v>
      </c>
      <c r="F176">
        <v>18693.259765625</v>
      </c>
      <c r="G176">
        <f t="shared" si="5"/>
        <v>2.2808068204381415E-2</v>
      </c>
    </row>
    <row r="177" spans="1:7" x14ac:dyDescent="0.25">
      <c r="A177" s="1">
        <v>45769</v>
      </c>
      <c r="B177">
        <v>22.530000686645501</v>
      </c>
      <c r="C177">
        <f>C178*(1+G177*3)</f>
        <v>30.498448015903886</v>
      </c>
      <c r="D177">
        <f t="shared" si="4"/>
        <v>22.626053877734595</v>
      </c>
      <c r="F177">
        <v>18276.41015625</v>
      </c>
      <c r="G177">
        <f t="shared" si="5"/>
        <v>2.6286021375653279E-2</v>
      </c>
    </row>
    <row r="178" spans="1:7" x14ac:dyDescent="0.25">
      <c r="A178" s="1">
        <v>45768</v>
      </c>
      <c r="B178">
        <v>20.9300003051757</v>
      </c>
      <c r="C178">
        <f>C179*(1+G178*3)</f>
        <v>28.269194095132455</v>
      </c>
      <c r="D178">
        <f t="shared" si="4"/>
        <v>20.980206175302076</v>
      </c>
      <c r="F178">
        <v>17808.30078125</v>
      </c>
      <c r="G178">
        <f t="shared" si="5"/>
        <v>-2.4635055821787932E-2</v>
      </c>
    </row>
    <row r="179" spans="1:7" x14ac:dyDescent="0.25">
      <c r="A179" s="1">
        <v>45764</v>
      </c>
      <c r="B179">
        <v>22.579999923706001</v>
      </c>
      <c r="C179">
        <f>C180*(1+G179*3)</f>
        <v>30.525161249158767</v>
      </c>
      <c r="D179">
        <f t="shared" si="4"/>
        <v>22.6645344138525</v>
      </c>
      <c r="F179">
        <v>18258.08984375</v>
      </c>
      <c r="G179">
        <f t="shared" si="5"/>
        <v>2.4604425030938515E-5</v>
      </c>
    </row>
    <row r="180" spans="1:7" x14ac:dyDescent="0.25">
      <c r="A180" s="1">
        <v>45763</v>
      </c>
      <c r="B180">
        <v>22.645000457763601</v>
      </c>
      <c r="C180">
        <f>C181*(1+G180*3)</f>
        <v>30.522908253335231</v>
      </c>
      <c r="D180">
        <f t="shared" si="4"/>
        <v>22.672166066391167</v>
      </c>
      <c r="F180">
        <v>18257.640625</v>
      </c>
      <c r="G180">
        <f t="shared" si="5"/>
        <v>-3.0408010390539308E-2</v>
      </c>
    </row>
    <row r="181" spans="1:7" x14ac:dyDescent="0.25">
      <c r="A181" s="1">
        <v>45762</v>
      </c>
      <c r="B181">
        <v>24.895000457763601</v>
      </c>
      <c r="C181">
        <f>C182*(1+G181*3)</f>
        <v>33.58683470986383</v>
      </c>
      <c r="D181">
        <f t="shared" si="4"/>
        <v>24.959297663310441</v>
      </c>
      <c r="F181">
        <v>18830.23046875</v>
      </c>
      <c r="G181">
        <f t="shared" si="5"/>
        <v>1.8201160859150356E-3</v>
      </c>
    </row>
    <row r="182" spans="1:7" x14ac:dyDescent="0.25">
      <c r="A182" s="1">
        <v>45761</v>
      </c>
      <c r="B182">
        <v>24.799999237060501</v>
      </c>
      <c r="C182">
        <f>C183*(1+G182*3)</f>
        <v>33.404434862163257</v>
      </c>
      <c r="D182">
        <f t="shared" si="4"/>
        <v>24.833888362361549</v>
      </c>
      <c r="F182">
        <v>18796.01953125</v>
      </c>
      <c r="G182">
        <f t="shared" si="5"/>
        <v>5.669794653865079E-3</v>
      </c>
    </row>
    <row r="183" spans="1:7" x14ac:dyDescent="0.25">
      <c r="A183" s="1">
        <v>45758</v>
      </c>
      <c r="B183">
        <v>24.290000915527301</v>
      </c>
      <c r="C183">
        <f>C184*(1+G183*3)</f>
        <v>32.845748907489622</v>
      </c>
      <c r="D183">
        <f t="shared" si="4"/>
        <v>24.428402246596956</v>
      </c>
      <c r="F183">
        <v>18690.05078125</v>
      </c>
      <c r="G183">
        <f t="shared" si="5"/>
        <v>1.8888387748261515E-2</v>
      </c>
    </row>
    <row r="184" spans="1:7" x14ac:dyDescent="0.25">
      <c r="A184" s="1">
        <v>45757</v>
      </c>
      <c r="B184">
        <v>23.069999694824201</v>
      </c>
      <c r="C184">
        <f>C185*(1+G184*3)</f>
        <v>31.084349186479855</v>
      </c>
      <c r="D184">
        <f t="shared" si="4"/>
        <v>23.12737760732735</v>
      </c>
      <c r="F184">
        <v>18343.5703125</v>
      </c>
      <c r="G184">
        <f t="shared" si="5"/>
        <v>-4.1864074151796049E-2</v>
      </c>
    </row>
    <row r="185" spans="1:7" x14ac:dyDescent="0.25">
      <c r="A185" s="1">
        <v>45756</v>
      </c>
      <c r="B185">
        <v>26.3050003051757</v>
      </c>
      <c r="C185">
        <f>C186*(1+G185*3)</f>
        <v>35.549030995317224</v>
      </c>
      <c r="D185">
        <f t="shared" si="4"/>
        <v>26.461610512712173</v>
      </c>
      <c r="F185">
        <v>19145.060546875</v>
      </c>
      <c r="G185">
        <f t="shared" si="5"/>
        <v>0.12022305559190349</v>
      </c>
    </row>
    <row r="186" spans="1:7" x14ac:dyDescent="0.25">
      <c r="A186" s="1">
        <v>45755</v>
      </c>
      <c r="B186">
        <v>19.4500007629394</v>
      </c>
      <c r="C186">
        <f>C187*(1+G186*3)</f>
        <v>26.126138420227058</v>
      </c>
      <c r="D186">
        <f t="shared" si="4"/>
        <v>19.453365484658903</v>
      </c>
      <c r="F186">
        <v>17090.400390625</v>
      </c>
      <c r="G186">
        <f t="shared" si="5"/>
        <v>-1.9521860476790387E-2</v>
      </c>
    </row>
    <row r="187" spans="1:7" x14ac:dyDescent="0.25">
      <c r="A187" s="1">
        <v>45754</v>
      </c>
      <c r="B187">
        <v>20.625</v>
      </c>
      <c r="C187">
        <f>C188*(1+G187*3)</f>
        <v>27.751416248326553</v>
      </c>
      <c r="D187">
        <f t="shared" si="4"/>
        <v>20.672549859388923</v>
      </c>
      <c r="F187">
        <v>17430.6796875</v>
      </c>
      <c r="G187">
        <f t="shared" si="5"/>
        <v>1.8956799019984594E-3</v>
      </c>
    </row>
    <row r="188" spans="1:7" x14ac:dyDescent="0.25">
      <c r="A188" s="1">
        <v>45751</v>
      </c>
      <c r="B188">
        <v>20.545000076293899</v>
      </c>
      <c r="C188">
        <f>C189*(1+G188*3)</f>
        <v>27.594485314675488</v>
      </c>
      <c r="D188">
        <f t="shared" si="4"/>
        <v>20.564041278363504</v>
      </c>
      <c r="F188">
        <v>17397.69921875</v>
      </c>
      <c r="G188">
        <f t="shared" si="5"/>
        <v>-6.0673987632385629E-2</v>
      </c>
    </row>
    <row r="189" spans="1:7" x14ac:dyDescent="0.25">
      <c r="A189" s="1">
        <v>45750</v>
      </c>
      <c r="B189">
        <v>25.149999618530199</v>
      </c>
      <c r="C189">
        <f>C190*(1+G189*3)</f>
        <v>33.734995394755416</v>
      </c>
      <c r="D189">
        <f t="shared" si="4"/>
        <v>25.152710188749161</v>
      </c>
      <c r="F189">
        <v>18521.470703125</v>
      </c>
      <c r="G189">
        <f t="shared" si="5"/>
        <v>-5.4147714447951745E-2</v>
      </c>
    </row>
    <row r="190" spans="1:7" x14ac:dyDescent="0.25">
      <c r="A190" s="1">
        <v>45749</v>
      </c>
      <c r="B190">
        <v>29.965000152587798</v>
      </c>
      <c r="C190">
        <f>C191*(1+G190*3)</f>
        <v>40.277857111024964</v>
      </c>
      <c r="D190">
        <f t="shared" si="4"/>
        <v>30.045771148614772</v>
      </c>
      <c r="F190">
        <v>19581.779296875</v>
      </c>
      <c r="G190">
        <f t="shared" si="5"/>
        <v>7.4787113873993061E-3</v>
      </c>
    </row>
    <row r="191" spans="1:7" x14ac:dyDescent="0.25">
      <c r="A191" s="1">
        <v>45748</v>
      </c>
      <c r="B191">
        <v>29.309999465942301</v>
      </c>
      <c r="C191">
        <f>C192*(1+G191*3)</f>
        <v>39.394007865370824</v>
      </c>
      <c r="D191">
        <f t="shared" si="4"/>
        <v>29.398253679698978</v>
      </c>
      <c r="F191">
        <v>19436.419921875</v>
      </c>
      <c r="G191">
        <f t="shared" si="5"/>
        <v>8.194160294354047E-3</v>
      </c>
    </row>
    <row r="192" spans="1:7" x14ac:dyDescent="0.25">
      <c r="A192" s="1">
        <v>45747</v>
      </c>
      <c r="B192">
        <v>28.649999618530199</v>
      </c>
      <c r="C192">
        <f>C193*(1+G192*3)</f>
        <v>38.448839991308567</v>
      </c>
      <c r="D192">
        <f t="shared" si="4"/>
        <v>28.704409019275062</v>
      </c>
      <c r="F192">
        <v>19278.44921875</v>
      </c>
      <c r="G192">
        <f t="shared" si="5"/>
        <v>-1.530579633850504E-4</v>
      </c>
    </row>
    <row r="193" spans="1:7" x14ac:dyDescent="0.25">
      <c r="A193" s="1">
        <v>45744</v>
      </c>
      <c r="B193">
        <v>28.670000076293899</v>
      </c>
      <c r="C193">
        <f>C194*(1+G193*3)</f>
        <v>38.466502805042225</v>
      </c>
      <c r="D193">
        <f t="shared" si="4"/>
        <v>28.729391985069434</v>
      </c>
      <c r="F193">
        <v>19281.400390625</v>
      </c>
      <c r="G193">
        <f t="shared" si="5"/>
        <v>-2.6123980987073692E-2</v>
      </c>
    </row>
    <row r="194" spans="1:7" x14ac:dyDescent="0.25">
      <c r="A194" s="1">
        <v>45743</v>
      </c>
      <c r="B194">
        <v>31.149999618530199</v>
      </c>
      <c r="C194">
        <f>C195*(1+G194*3)</f>
        <v>41.737556177094213</v>
      </c>
      <c r="D194">
        <f t="shared" ref="D194:D249" si="6">D195*(1+3*G194-0.000410422160027694)</f>
        <v>31.186324379092827</v>
      </c>
      <c r="F194">
        <v>19798.619140625</v>
      </c>
      <c r="G194">
        <f t="shared" ref="G194:G257" si="7">F194/F195-1</f>
        <v>-5.9432219606003756E-3</v>
      </c>
    </row>
    <row r="195" spans="1:7" x14ac:dyDescent="0.25">
      <c r="A195" s="1">
        <v>45742</v>
      </c>
      <c r="B195">
        <v>31.690000534057599</v>
      </c>
      <c r="C195">
        <f>C196*(1+G195*3)</f>
        <v>42.495231964592534</v>
      </c>
      <c r="D195">
        <f t="shared" si="6"/>
        <v>31.765734167012464</v>
      </c>
      <c r="F195">
        <v>19916.990234375</v>
      </c>
      <c r="G195">
        <f t="shared" si="7"/>
        <v>-1.8278930882305255E-2</v>
      </c>
    </row>
    <row r="196" spans="1:7" x14ac:dyDescent="0.25">
      <c r="A196" s="1">
        <v>45741</v>
      </c>
      <c r="B196">
        <v>33.654998779296797</v>
      </c>
      <c r="C196">
        <f>C197*(1+G196*3)</f>
        <v>44.96073443611904</v>
      </c>
      <c r="D196">
        <f t="shared" si="6"/>
        <v>33.623329472927949</v>
      </c>
      <c r="F196">
        <v>20287.830078125</v>
      </c>
      <c r="G196">
        <f t="shared" si="7"/>
        <v>5.3210341460203647E-3</v>
      </c>
    </row>
    <row r="197" spans="1:7" x14ac:dyDescent="0.25">
      <c r="A197" s="1">
        <v>45740</v>
      </c>
      <c r="B197">
        <v>33.064998626708899</v>
      </c>
      <c r="C197">
        <f>C198*(1+G197*3)</f>
        <v>44.254298535275893</v>
      </c>
      <c r="D197">
        <f t="shared" si="6"/>
        <v>33.10840503490445</v>
      </c>
      <c r="F197">
        <v>20180.44921875</v>
      </c>
      <c r="G197">
        <f t="shared" si="7"/>
        <v>2.1589508359326048E-2</v>
      </c>
    </row>
    <row r="198" spans="1:7" x14ac:dyDescent="0.25">
      <c r="A198" s="1">
        <v>45737</v>
      </c>
      <c r="B198">
        <v>31.090000152587798</v>
      </c>
      <c r="C198">
        <f>C199*(1+G198*3)</f>
        <v>41.562365427767446</v>
      </c>
      <c r="D198">
        <f t="shared" si="6"/>
        <v>31.106452747564337</v>
      </c>
      <c r="F198">
        <v>19753.970703125</v>
      </c>
      <c r="G198">
        <f t="shared" si="7"/>
        <v>3.8806201845849042E-3</v>
      </c>
    </row>
    <row r="199" spans="1:7" x14ac:dyDescent="0.25">
      <c r="A199" s="1">
        <v>45736</v>
      </c>
      <c r="B199">
        <v>30.799999237060501</v>
      </c>
      <c r="C199">
        <f>C200*(1+G199*3)</f>
        <v>41.084070409084248</v>
      </c>
      <c r="D199">
        <f t="shared" si="6"/>
        <v>30.760962887956527</v>
      </c>
      <c r="F199">
        <v>19677.609375</v>
      </c>
      <c r="G199">
        <f t="shared" si="7"/>
        <v>-2.9919338318900035E-3</v>
      </c>
    </row>
    <row r="200" spans="1:7" x14ac:dyDescent="0.25">
      <c r="A200" s="1">
        <v>45735</v>
      </c>
      <c r="B200">
        <v>31.120000839233398</v>
      </c>
      <c r="C200">
        <f>C201*(1+G200*3)</f>
        <v>41.456172786788663</v>
      </c>
      <c r="D200">
        <f t="shared" si="6"/>
        <v>31.052427921479971</v>
      </c>
      <c r="F200">
        <v>19736.66015625</v>
      </c>
      <c r="G200">
        <f t="shared" si="7"/>
        <v>1.300087815323181E-2</v>
      </c>
    </row>
    <row r="201" spans="1:7" x14ac:dyDescent="0.25">
      <c r="A201" s="1">
        <v>45734</v>
      </c>
      <c r="B201">
        <v>29.954999923706001</v>
      </c>
      <c r="C201">
        <f>C202*(1+G201*3)</f>
        <v>39.899968885398252</v>
      </c>
      <c r="D201">
        <f t="shared" si="6"/>
        <v>29.898575739098966</v>
      </c>
      <c r="F201">
        <v>19483.359375</v>
      </c>
      <c r="G201">
        <f t="shared" si="7"/>
        <v>-1.6599882470856531E-2</v>
      </c>
    </row>
    <row r="202" spans="1:7" x14ac:dyDescent="0.25">
      <c r="A202" s="1">
        <v>45733</v>
      </c>
      <c r="B202">
        <v>31.545000076293899</v>
      </c>
      <c r="C202">
        <f>C203*(1+G202*3)</f>
        <v>41.991111429025651</v>
      </c>
      <c r="D202">
        <f t="shared" si="6"/>
        <v>31.479145841907059</v>
      </c>
      <c r="F202">
        <v>19812.240234375</v>
      </c>
      <c r="G202">
        <f t="shared" si="7"/>
        <v>5.460622775250501E-3</v>
      </c>
    </row>
    <row r="203" spans="1:7" x14ac:dyDescent="0.25">
      <c r="A203" s="1">
        <v>45730</v>
      </c>
      <c r="B203">
        <v>30.944999694824201</v>
      </c>
      <c r="C203">
        <f>C204*(1+G203*3)</f>
        <v>41.314305909644048</v>
      </c>
      <c r="D203">
        <f t="shared" si="6"/>
        <v>30.984282049175054</v>
      </c>
      <c r="F203">
        <v>19704.640625</v>
      </c>
      <c r="G203">
        <f t="shared" si="7"/>
        <v>2.492318238958191E-2</v>
      </c>
    </row>
    <row r="204" spans="1:7" x14ac:dyDescent="0.25">
      <c r="A204" s="1">
        <v>45729</v>
      </c>
      <c r="B204">
        <v>28.895000457763601</v>
      </c>
      <c r="C204">
        <f>C205*(1+G204*3)</f>
        <v>38.440153071398328</v>
      </c>
      <c r="D204">
        <f t="shared" si="6"/>
        <v>28.839781156904703</v>
      </c>
      <c r="F204">
        <v>19225.48046875</v>
      </c>
      <c r="G204">
        <f t="shared" si="7"/>
        <v>-1.8908894324640602E-2</v>
      </c>
    </row>
    <row r="205" spans="1:7" x14ac:dyDescent="0.25">
      <c r="A205" s="1">
        <v>45728</v>
      </c>
      <c r="B205">
        <v>30.565000534057599</v>
      </c>
      <c r="C205">
        <f>C206*(1+G205*3)</f>
        <v>40.751871570576391</v>
      </c>
      <c r="D205">
        <f t="shared" si="6"/>
        <v>30.587460079232283</v>
      </c>
      <c r="F205">
        <v>19596.01953125</v>
      </c>
      <c r="G205">
        <f t="shared" si="7"/>
        <v>1.1305105813887328E-2</v>
      </c>
    </row>
    <row r="206" spans="1:7" x14ac:dyDescent="0.25">
      <c r="A206" s="1">
        <v>45727</v>
      </c>
      <c r="B206">
        <v>29.5550003051757</v>
      </c>
      <c r="C206">
        <f>C207*(1+G206*3)</f>
        <v>39.415096075192629</v>
      </c>
      <c r="D206">
        <f t="shared" si="6"/>
        <v>29.595854087267842</v>
      </c>
      <c r="F206">
        <v>19376.9609375</v>
      </c>
      <c r="G206">
        <f t="shared" si="7"/>
        <v>-2.7784685473781767E-3</v>
      </c>
    </row>
    <row r="207" spans="1:7" x14ac:dyDescent="0.25">
      <c r="A207" s="1">
        <v>45726</v>
      </c>
      <c r="B207">
        <v>29.905000686645501</v>
      </c>
      <c r="C207">
        <f>C208*(1+G207*3)</f>
        <v>39.746398428911505</v>
      </c>
      <c r="D207">
        <f t="shared" si="6"/>
        <v>29.856978076215356</v>
      </c>
      <c r="F207">
        <v>19430.94921875</v>
      </c>
      <c r="G207">
        <f t="shared" si="7"/>
        <v>-3.8137015194959378E-2</v>
      </c>
    </row>
    <row r="208" spans="1:7" x14ac:dyDescent="0.25">
      <c r="A208" s="1">
        <v>45723</v>
      </c>
      <c r="B208">
        <v>33.705001831054602</v>
      </c>
      <c r="C208">
        <f>C209*(1+G208*3)</f>
        <v>44.881316812675927</v>
      </c>
      <c r="D208">
        <f t="shared" si="6"/>
        <v>33.729894013754794</v>
      </c>
      <c r="F208">
        <v>20201.369140625</v>
      </c>
      <c r="G208">
        <f t="shared" si="7"/>
        <v>7.4173948691855784E-3</v>
      </c>
    </row>
    <row r="209" spans="1:7" x14ac:dyDescent="0.25">
      <c r="A209" s="1">
        <v>45722</v>
      </c>
      <c r="B209">
        <v>33.020000457763601</v>
      </c>
      <c r="C209">
        <f>C210*(1+G209*3)</f>
        <v>43.904349130743988</v>
      </c>
      <c r="D209">
        <f t="shared" si="6"/>
        <v>33.008921002567462</v>
      </c>
      <c r="F209">
        <v>20052.630859375</v>
      </c>
      <c r="G209">
        <f t="shared" si="7"/>
        <v>-2.7914349978393815E-2</v>
      </c>
    </row>
    <row r="210" spans="1:7" x14ac:dyDescent="0.25">
      <c r="A210" s="1">
        <v>45721</v>
      </c>
      <c r="B210">
        <v>36.005001068115199</v>
      </c>
      <c r="C210">
        <f>C211*(1+G210*3)</f>
        <v>47.917070781987597</v>
      </c>
      <c r="D210">
        <f t="shared" si="6"/>
        <v>36.041978646884154</v>
      </c>
      <c r="F210">
        <v>20628.4609375</v>
      </c>
      <c r="G210">
        <f t="shared" si="7"/>
        <v>1.3557609307427443E-2</v>
      </c>
    </row>
    <row r="211" spans="1:7" x14ac:dyDescent="0.25">
      <c r="A211" s="1">
        <v>45720</v>
      </c>
      <c r="B211">
        <v>34.654998779296797</v>
      </c>
      <c r="C211">
        <f>C212*(1+G211*3)</f>
        <v>46.044318152953693</v>
      </c>
      <c r="D211">
        <f t="shared" si="6"/>
        <v>34.647006800629605</v>
      </c>
      <c r="F211">
        <v>20352.529296875</v>
      </c>
      <c r="G211">
        <f t="shared" si="7"/>
        <v>-3.5764360654919614E-3</v>
      </c>
    </row>
    <row r="212" spans="1:7" x14ac:dyDescent="0.25">
      <c r="A212" s="1">
        <v>45719</v>
      </c>
      <c r="B212">
        <v>35.040000915527301</v>
      </c>
      <c r="C212">
        <f>C213*(1+G212*3)</f>
        <v>46.543699853283847</v>
      </c>
      <c r="D212">
        <f t="shared" si="6"/>
        <v>35.037313020089819</v>
      </c>
      <c r="F212">
        <v>20425.580078125</v>
      </c>
      <c r="G212">
        <f t="shared" si="7"/>
        <v>-2.1969980224109342E-2</v>
      </c>
    </row>
    <row r="213" spans="1:7" x14ac:dyDescent="0.25">
      <c r="A213" s="1">
        <v>45716</v>
      </c>
      <c r="B213">
        <v>37.459999084472599</v>
      </c>
      <c r="C213">
        <f>C214*(1+G213*3)</f>
        <v>49.827850525231483</v>
      </c>
      <c r="D213">
        <f t="shared" si="6"/>
        <v>37.526054575182719</v>
      </c>
      <c r="F213">
        <v>20884.41015625</v>
      </c>
      <c r="G213">
        <f t="shared" si="7"/>
        <v>1.6226060117737084E-2</v>
      </c>
    </row>
    <row r="214" spans="1:7" x14ac:dyDescent="0.25">
      <c r="A214" s="1">
        <v>45715</v>
      </c>
      <c r="B214">
        <v>35.819999694824197</v>
      </c>
      <c r="C214">
        <f>C215*(1+G214*3)</f>
        <v>47.514911112624354</v>
      </c>
      <c r="D214">
        <f t="shared" si="6"/>
        <v>35.798157752999501</v>
      </c>
      <c r="F214">
        <v>20550.94921875</v>
      </c>
      <c r="G214">
        <f t="shared" si="7"/>
        <v>-2.7538584600540372E-2</v>
      </c>
    </row>
    <row r="215" spans="1:7" x14ac:dyDescent="0.25">
      <c r="A215" s="1">
        <v>45714</v>
      </c>
      <c r="B215">
        <v>39.060001373291001</v>
      </c>
      <c r="C215">
        <f>C216*(1+G215*3)</f>
        <v>51.793903491939339</v>
      </c>
      <c r="D215">
        <f t="shared" si="6"/>
        <v>39.039454360152263</v>
      </c>
      <c r="F215">
        <v>21132.919921875</v>
      </c>
      <c r="G215">
        <f t="shared" si="7"/>
        <v>2.1657599675160011E-3</v>
      </c>
    </row>
    <row r="216" spans="1:7" x14ac:dyDescent="0.25">
      <c r="A216" s="1">
        <v>45713</v>
      </c>
      <c r="B216">
        <v>38.810001373291001</v>
      </c>
      <c r="C216">
        <f>C217*(1+G216*3)</f>
        <v>51.459556350668109</v>
      </c>
      <c r="D216">
        <f t="shared" si="6"/>
        <v>38.803264409744742</v>
      </c>
      <c r="F216">
        <v>21087.25</v>
      </c>
      <c r="G216">
        <f t="shared" si="7"/>
        <v>-1.2403010721017127E-2</v>
      </c>
    </row>
    <row r="217" spans="1:7" x14ac:dyDescent="0.25">
      <c r="A217" s="1">
        <v>45712</v>
      </c>
      <c r="B217">
        <v>40.349998474121001</v>
      </c>
      <c r="C217">
        <f>C218*(1+G217*3)</f>
        <v>53.448316477541916</v>
      </c>
      <c r="D217">
        <f t="shared" si="6"/>
        <v>40.320083966837913</v>
      </c>
      <c r="F217">
        <v>21352.080078125</v>
      </c>
      <c r="G217">
        <f t="shared" si="7"/>
        <v>-1.2121728014932387E-2</v>
      </c>
    </row>
    <row r="218" spans="1:7" x14ac:dyDescent="0.25">
      <c r="A218" s="1">
        <v>45709</v>
      </c>
      <c r="B218">
        <v>41.8549995422363</v>
      </c>
      <c r="C218">
        <f>C219*(1+G218*3)</f>
        <v>55.465323162448506</v>
      </c>
      <c r="D218">
        <f t="shared" si="6"/>
        <v>41.85949216669421</v>
      </c>
      <c r="F218">
        <v>21614.080078125</v>
      </c>
      <c r="G218">
        <f t="shared" si="7"/>
        <v>-2.0571833568504783E-2</v>
      </c>
    </row>
    <row r="219" spans="1:7" x14ac:dyDescent="0.25">
      <c r="A219" s="1">
        <v>45708</v>
      </c>
      <c r="B219">
        <v>44.650001525878899</v>
      </c>
      <c r="C219">
        <f>C220*(1+G219*3)</f>
        <v>59.113545203138237</v>
      </c>
      <c r="D219">
        <f t="shared" si="6"/>
        <v>44.632315987013939</v>
      </c>
      <c r="F219">
        <v>22068.060546875</v>
      </c>
      <c r="G219">
        <f t="shared" si="7"/>
        <v>-4.8494320060926688E-3</v>
      </c>
    </row>
    <row r="220" spans="1:7" x14ac:dyDescent="0.25">
      <c r="A220" s="1">
        <v>45707</v>
      </c>
      <c r="B220">
        <v>45.200000762939403</v>
      </c>
      <c r="C220">
        <f>C221*(1+G220*3)</f>
        <v>59.986242820718353</v>
      </c>
      <c r="D220">
        <f t="shared" si="6"/>
        <v>45.31009695804098</v>
      </c>
      <c r="F220">
        <v>22175.599609375</v>
      </c>
      <c r="G220">
        <f t="shared" si="7"/>
        <v>4.9584606654051733E-4</v>
      </c>
    </row>
    <row r="221" spans="1:7" x14ac:dyDescent="0.25">
      <c r="A221" s="1">
        <v>45706</v>
      </c>
      <c r="B221">
        <v>45.194999694824197</v>
      </c>
      <c r="C221">
        <f>C222*(1+G221*3)</f>
        <v>59.897143531666785</v>
      </c>
      <c r="D221">
        <f t="shared" si="6"/>
        <v>45.261345237112486</v>
      </c>
      <c r="F221">
        <v>22164.609375</v>
      </c>
      <c r="G221">
        <f t="shared" si="7"/>
        <v>2.2573195965880366E-3</v>
      </c>
    </row>
    <row r="222" spans="1:7" x14ac:dyDescent="0.25">
      <c r="A222" s="1">
        <v>45702</v>
      </c>
      <c r="B222">
        <v>44.915000915527301</v>
      </c>
      <c r="C222">
        <f>C223*(1+G222*3)</f>
        <v>59.494250916234165</v>
      </c>
      <c r="D222">
        <f t="shared" si="6"/>
        <v>44.975233640875103</v>
      </c>
      <c r="F222">
        <v>22114.689453125</v>
      </c>
      <c r="G222">
        <f t="shared" si="7"/>
        <v>3.8118840496452755E-3</v>
      </c>
    </row>
    <row r="223" spans="1:7" x14ac:dyDescent="0.25">
      <c r="A223" s="1">
        <v>45701</v>
      </c>
      <c r="B223">
        <v>44.395000457763601</v>
      </c>
      <c r="C223">
        <f>C224*(1+G223*3)</f>
        <v>58.821587700443771</v>
      </c>
      <c r="D223">
        <f t="shared" si="6"/>
        <v>44.484778724432545</v>
      </c>
      <c r="F223">
        <v>22030.7109375</v>
      </c>
      <c r="G223">
        <f t="shared" si="7"/>
        <v>1.4339861267644638E-2</v>
      </c>
    </row>
    <row r="224" spans="1:7" x14ac:dyDescent="0.25">
      <c r="A224" s="1">
        <v>45700</v>
      </c>
      <c r="B224">
        <v>42.599998474121001</v>
      </c>
      <c r="C224">
        <f>C225*(1+G224*3)</f>
        <v>56.395477720538572</v>
      </c>
      <c r="D224">
        <f t="shared" si="6"/>
        <v>42.666782876082749</v>
      </c>
      <c r="F224">
        <v>21719.259765625</v>
      </c>
      <c r="G224">
        <f t="shared" si="7"/>
        <v>1.1865402632302846E-3</v>
      </c>
    </row>
    <row r="225" spans="1:7" x14ac:dyDescent="0.25">
      <c r="A225" s="1">
        <v>45699</v>
      </c>
      <c r="B225">
        <v>42.514999389648402</v>
      </c>
      <c r="C225">
        <f>C226*(1+G225*3)</f>
        <v>56.195443252451255</v>
      </c>
      <c r="D225">
        <f t="shared" si="6"/>
        <v>42.532838519302075</v>
      </c>
      <c r="F225">
        <v>21693.51953125</v>
      </c>
      <c r="G225">
        <f t="shared" si="7"/>
        <v>-2.9053509483326634E-3</v>
      </c>
    </row>
    <row r="226" spans="1:7" x14ac:dyDescent="0.25">
      <c r="A226" s="1">
        <v>45698</v>
      </c>
      <c r="B226">
        <v>42.819999694824197</v>
      </c>
      <c r="C226">
        <f>C227*(1+G226*3)</f>
        <v>56.689552386814007</v>
      </c>
      <c r="D226">
        <f t="shared" si="6"/>
        <v>42.924588705221289</v>
      </c>
      <c r="F226">
        <v>21756.73046875</v>
      </c>
      <c r="G226">
        <f t="shared" si="7"/>
        <v>1.2350104070949497E-2</v>
      </c>
    </row>
    <row r="227" spans="1:7" x14ac:dyDescent="0.25">
      <c r="A227" s="1">
        <v>45695</v>
      </c>
      <c r="B227">
        <v>41.365001678466797</v>
      </c>
      <c r="C227">
        <f>C228*(1+G227*3)</f>
        <v>54.664225755691987</v>
      </c>
      <c r="D227">
        <f t="shared" si="6"/>
        <v>41.407425198575091</v>
      </c>
      <c r="F227">
        <v>21491.310546875</v>
      </c>
      <c r="G227">
        <f t="shared" si="7"/>
        <v>-1.298607754851766E-2</v>
      </c>
    </row>
    <row r="228" spans="1:7" x14ac:dyDescent="0.25">
      <c r="A228" s="1">
        <v>45694</v>
      </c>
      <c r="B228">
        <v>43.005001068115199</v>
      </c>
      <c r="C228">
        <f>C229*(1+G228*3)</f>
        <v>56.880176921104592</v>
      </c>
      <c r="D228">
        <f t="shared" si="6"/>
        <v>43.104386928155847</v>
      </c>
      <c r="F228">
        <v>21774.0703125</v>
      </c>
      <c r="G228">
        <f t="shared" si="7"/>
        <v>5.3518006799184725E-3</v>
      </c>
    </row>
    <row r="229" spans="1:7" x14ac:dyDescent="0.25">
      <c r="A229" s="1">
        <v>45693</v>
      </c>
      <c r="B229">
        <v>42.369998931884702</v>
      </c>
      <c r="C229">
        <f>C230*(1+G229*3)</f>
        <v>55.981373463411821</v>
      </c>
      <c r="D229">
        <f t="shared" si="6"/>
        <v>42.440407605086818</v>
      </c>
      <c r="F229">
        <v>21658.16015625</v>
      </c>
      <c r="G229">
        <f t="shared" si="7"/>
        <v>4.2305639704469655E-3</v>
      </c>
    </row>
    <row r="230" spans="1:7" x14ac:dyDescent="0.25">
      <c r="A230" s="1">
        <v>45692</v>
      </c>
      <c r="B230">
        <v>41.825000762939403</v>
      </c>
      <c r="C230">
        <f>C231*(1+G230*3)</f>
        <v>55.279779532656498</v>
      </c>
      <c r="D230">
        <f t="shared" si="6"/>
        <v>41.925509118145726</v>
      </c>
      <c r="F230">
        <v>21566.919921875</v>
      </c>
      <c r="G230">
        <f t="shared" si="7"/>
        <v>1.2646499872849049E-2</v>
      </c>
    </row>
    <row r="231" spans="1:7" x14ac:dyDescent="0.25">
      <c r="A231" s="1">
        <v>45691</v>
      </c>
      <c r="B231">
        <v>40.360000610351499</v>
      </c>
      <c r="C231">
        <f>C232*(1+G231*3)</f>
        <v>53.259153884183377</v>
      </c>
      <c r="D231">
        <f t="shared" si="6"/>
        <v>40.408996749126686</v>
      </c>
      <c r="F231">
        <v>21297.580078125</v>
      </c>
      <c r="G231">
        <f t="shared" si="7"/>
        <v>-8.4025643184785226E-3</v>
      </c>
    </row>
    <row r="232" spans="1:7" x14ac:dyDescent="0.25">
      <c r="A232" s="1">
        <v>45688</v>
      </c>
      <c r="B232">
        <v>41.360000610351499</v>
      </c>
      <c r="C232">
        <f>C233*(1+G232*3)</f>
        <v>54.636411776430378</v>
      </c>
      <c r="D232">
        <f t="shared" si="6"/>
        <v>41.471416265004876</v>
      </c>
      <c r="F232">
        <v>21478.05078125</v>
      </c>
      <c r="G232">
        <f t="shared" si="7"/>
        <v>-1.3980004099105603E-3</v>
      </c>
    </row>
    <row r="233" spans="1:7" x14ac:dyDescent="0.25">
      <c r="A233" s="1">
        <v>45687</v>
      </c>
      <c r="B233">
        <v>41.584999084472599</v>
      </c>
      <c r="C233">
        <f>C234*(1+G233*3)</f>
        <v>54.866522037326021</v>
      </c>
      <c r="D233">
        <f t="shared" si="6"/>
        <v>41.663251514772924</v>
      </c>
      <c r="F233">
        <v>21508.119140625</v>
      </c>
      <c r="G233">
        <f t="shared" si="7"/>
        <v>4.5143207839550836E-3</v>
      </c>
    </row>
    <row r="234" spans="1:7" x14ac:dyDescent="0.25">
      <c r="A234" s="1">
        <v>45686</v>
      </c>
      <c r="B234">
        <v>41.069999694824197</v>
      </c>
      <c r="C234">
        <f>C235*(1+G234*3)</f>
        <v>54.133395500089676</v>
      </c>
      <c r="D234">
        <f t="shared" si="6"/>
        <v>41.12319944524134</v>
      </c>
      <c r="F234">
        <v>21411.4609375</v>
      </c>
      <c r="G234">
        <f t="shared" si="7"/>
        <v>-2.4031137831788119E-3</v>
      </c>
    </row>
    <row r="235" spans="1:7" x14ac:dyDescent="0.25">
      <c r="A235" s="1">
        <v>45685</v>
      </c>
      <c r="B235">
        <v>41.325000762939403</v>
      </c>
      <c r="C235">
        <f>C236*(1+G235*3)</f>
        <v>54.526495619605413</v>
      </c>
      <c r="D235">
        <f t="shared" si="6"/>
        <v>41.438954478450732</v>
      </c>
      <c r="F235">
        <v>21463.0390625</v>
      </c>
      <c r="G235">
        <f t="shared" si="7"/>
        <v>1.5892238697988059E-2</v>
      </c>
    </row>
    <row r="236" spans="1:7" x14ac:dyDescent="0.25">
      <c r="A236" s="1">
        <v>45684</v>
      </c>
      <c r="B236">
        <v>39.569999694824197</v>
      </c>
      <c r="C236">
        <f>C237*(1+G236*3)</f>
        <v>52.045153607016914</v>
      </c>
      <c r="D236">
        <f t="shared" si="6"/>
        <v>39.568689184858627</v>
      </c>
      <c r="F236">
        <v>21127.279296875</v>
      </c>
      <c r="G236">
        <f t="shared" si="7"/>
        <v>-2.9701946297966852E-2</v>
      </c>
    </row>
    <row r="237" spans="1:7" x14ac:dyDescent="0.25">
      <c r="A237" s="1">
        <v>45681</v>
      </c>
      <c r="B237">
        <v>43.375</v>
      </c>
      <c r="C237">
        <f>C238*(1+G237*3)</f>
        <v>57.136334636088179</v>
      </c>
      <c r="D237">
        <f t="shared" si="6"/>
        <v>43.458974051157981</v>
      </c>
      <c r="F237">
        <v>21774.009765625</v>
      </c>
      <c r="G237">
        <f t="shared" si="7"/>
        <v>-5.7951842084329463E-3</v>
      </c>
    </row>
    <row r="238" spans="1:7" x14ac:dyDescent="0.25">
      <c r="A238" s="1">
        <v>45680</v>
      </c>
      <c r="B238">
        <v>44.169998168945298</v>
      </c>
      <c r="C238">
        <f>C239*(1+G238*3)</f>
        <v>58.14725682971801</v>
      </c>
      <c r="D238">
        <f t="shared" si="6"/>
        <v>44.246381541410869</v>
      </c>
      <c r="F238">
        <v>21900.9296875</v>
      </c>
      <c r="G238">
        <f t="shared" si="7"/>
        <v>2.1932772388231214E-3</v>
      </c>
    </row>
    <row r="239" spans="1:7" x14ac:dyDescent="0.25">
      <c r="A239" s="1">
        <v>45679</v>
      </c>
      <c r="B239">
        <v>43.900001525878899</v>
      </c>
      <c r="C239">
        <f>C240*(1+G239*3)</f>
        <v>57.767158647081622</v>
      </c>
      <c r="D239">
        <f t="shared" si="6"/>
        <v>43.97508125487176</v>
      </c>
      <c r="F239">
        <v>21853</v>
      </c>
      <c r="G239">
        <f t="shared" si="7"/>
        <v>1.3284033322426447E-2</v>
      </c>
    </row>
    <row r="240" spans="1:7" x14ac:dyDescent="0.25">
      <c r="A240" s="1">
        <v>45678</v>
      </c>
      <c r="B240">
        <v>42.259998321533203</v>
      </c>
      <c r="C240">
        <f>C241*(1+G240*3)</f>
        <v>55.553245167172676</v>
      </c>
      <c r="D240">
        <f t="shared" si="6"/>
        <v>42.306444116844673</v>
      </c>
      <c r="F240">
        <v>21566.509765625</v>
      </c>
      <c r="G240">
        <f t="shared" si="7"/>
        <v>5.8462139390560441E-3</v>
      </c>
    </row>
    <row r="241" spans="1:7" x14ac:dyDescent="0.25">
      <c r="A241" s="1">
        <v>45674</v>
      </c>
      <c r="B241">
        <v>41.569999694824197</v>
      </c>
      <c r="C241">
        <f>C242*(1+G241*3)</f>
        <v>54.595710554994838</v>
      </c>
      <c r="D241">
        <f t="shared" si="6"/>
        <v>41.594012730376882</v>
      </c>
      <c r="F241">
        <v>21441.16015625</v>
      </c>
      <c r="G241">
        <f t="shared" si="7"/>
        <v>1.6590299591062729E-2</v>
      </c>
    </row>
    <row r="242" spans="1:7" x14ac:dyDescent="0.25">
      <c r="A242" s="1">
        <v>45673</v>
      </c>
      <c r="B242">
        <v>39.615001678466797</v>
      </c>
      <c r="C242">
        <f>C243*(1+G242*3)</f>
        <v>52.007262364386328</v>
      </c>
      <c r="D242">
        <f t="shared" si="6"/>
        <v>39.637487457715856</v>
      </c>
      <c r="F242">
        <v>21091.25</v>
      </c>
      <c r="G242">
        <f t="shared" si="7"/>
        <v>-6.9027520239284268E-3</v>
      </c>
    </row>
    <row r="243" spans="1:7" x14ac:dyDescent="0.25">
      <c r="A243" s="1">
        <v>45672</v>
      </c>
      <c r="B243">
        <v>40.439998626708899</v>
      </c>
      <c r="C243">
        <f>C244*(1+G243*3)</f>
        <v>53.107016051999544</v>
      </c>
      <c r="D243">
        <f t="shared" si="6"/>
        <v>40.492638460112097</v>
      </c>
      <c r="F243">
        <v>21237.849609375</v>
      </c>
      <c r="G243">
        <f t="shared" si="7"/>
        <v>2.3145442977159592E-2</v>
      </c>
    </row>
    <row r="244" spans="1:7" x14ac:dyDescent="0.25">
      <c r="A244" s="1">
        <v>45671</v>
      </c>
      <c r="B244">
        <v>37.880001068115199</v>
      </c>
      <c r="C244">
        <f>C245*(1+G244*3)</f>
        <v>49.658885354176363</v>
      </c>
      <c r="D244">
        <f t="shared" si="6"/>
        <v>37.878070310197906</v>
      </c>
      <c r="F244">
        <v>20757.41015625</v>
      </c>
      <c r="G244">
        <f t="shared" si="7"/>
        <v>-1.3139722811331689E-3</v>
      </c>
    </row>
    <row r="245" spans="1:7" x14ac:dyDescent="0.25">
      <c r="A245" s="1">
        <v>45670</v>
      </c>
      <c r="B245">
        <v>38.014999389648402</v>
      </c>
      <c r="C245">
        <f>C246*(1+G245*3)</f>
        <v>49.855411239475863</v>
      </c>
      <c r="D245">
        <f t="shared" si="6"/>
        <v>38.043649168305826</v>
      </c>
      <c r="F245">
        <v>20784.720703125</v>
      </c>
      <c r="G245">
        <f t="shared" si="7"/>
        <v>-3.0151880824746957E-3</v>
      </c>
    </row>
    <row r="246" spans="1:7" x14ac:dyDescent="0.25">
      <c r="A246" s="1">
        <v>45667</v>
      </c>
      <c r="B246">
        <v>38.415000915527301</v>
      </c>
      <c r="C246">
        <f>C247*(1+G246*3)</f>
        <v>50.310498082198293</v>
      </c>
      <c r="D246">
        <f t="shared" si="6"/>
        <v>38.406823569936549</v>
      </c>
      <c r="F246">
        <v>20847.580078125</v>
      </c>
      <c r="G246">
        <f t="shared" si="7"/>
        <v>-1.5740101323628797E-2</v>
      </c>
    </row>
    <row r="247" spans="1:7" x14ac:dyDescent="0.25">
      <c r="A247" s="1">
        <v>45665</v>
      </c>
      <c r="B247">
        <v>40.340000152587798</v>
      </c>
      <c r="C247">
        <f>C248*(1+G247*3)</f>
        <v>52.803914999318984</v>
      </c>
      <c r="D247">
        <f t="shared" si="6"/>
        <v>40.327659263832999</v>
      </c>
      <c r="F247">
        <v>21180.970703125</v>
      </c>
      <c r="G247">
        <f t="shared" si="7"/>
        <v>3.7461039964958864E-4</v>
      </c>
    </row>
    <row r="248" spans="1:7" x14ac:dyDescent="0.25">
      <c r="A248" s="1">
        <v>45664</v>
      </c>
      <c r="B248">
        <v>40.310001373291001</v>
      </c>
      <c r="C248">
        <f>C249*(1+G248*3)</f>
        <v>52.74463892851383</v>
      </c>
      <c r="D248">
        <f t="shared" si="6"/>
        <v>40.298909657424723</v>
      </c>
      <c r="F248">
        <v>21173.0390625</v>
      </c>
      <c r="G248">
        <f t="shared" si="7"/>
        <v>-1.7925320044527959E-2</v>
      </c>
    </row>
    <row r="249" spans="1:7" x14ac:dyDescent="0.25">
      <c r="A249" s="1">
        <v>45663</v>
      </c>
      <c r="B249">
        <v>42.6049995422363</v>
      </c>
      <c r="C249">
        <f>C250*(1+G249*3)</f>
        <v>55.742230916010222</v>
      </c>
      <c r="D249">
        <f t="shared" si="6"/>
        <v>42.60766487497839</v>
      </c>
      <c r="F249">
        <v>21559.5</v>
      </c>
      <c r="G249">
        <f t="shared" si="7"/>
        <v>1.0941484169695537E-2</v>
      </c>
    </row>
    <row r="250" spans="1:7" x14ac:dyDescent="0.25">
      <c r="A250" s="1">
        <v>45660</v>
      </c>
      <c r="B250">
        <v>41.200000762939403</v>
      </c>
      <c r="C250">
        <f>C251*(1+G250*3)</f>
        <v>53.97067311932161</v>
      </c>
      <c r="D250">
        <f>D251*(1+3*G250-0.000410422160027694)</f>
        <v>41.269939793992094</v>
      </c>
      <c r="F250">
        <v>21326.16015625</v>
      </c>
      <c r="G250">
        <f t="shared" si="7"/>
        <v>1.6711831640100705E-2</v>
      </c>
    </row>
    <row r="251" spans="1:7" x14ac:dyDescent="0.25">
      <c r="A251" s="1">
        <v>45659</v>
      </c>
      <c r="B251">
        <v>39.314998626708899</v>
      </c>
      <c r="C251">
        <f>C252*(1+G251*3)</f>
        <v>51.394009040154963</v>
      </c>
      <c r="D251">
        <v>39.314998626708899</v>
      </c>
      <c r="E251">
        <v>4.1042216002769403E-4</v>
      </c>
      <c r="F251">
        <v>20975.619140625</v>
      </c>
      <c r="G251">
        <f t="shared" si="7"/>
        <v>-1.7395053145818906E-3</v>
      </c>
    </row>
    <row r="252" spans="1:7" x14ac:dyDescent="0.25">
      <c r="A252" s="1">
        <v>45657</v>
      </c>
      <c r="B252">
        <v>39.564998626708899</v>
      </c>
      <c r="C252">
        <f>C253*(1+G252*3)</f>
        <v>51.663616446291499</v>
      </c>
      <c r="D252">
        <f t="shared" ref="D252:D315" si="8">D253*(1+3*G252-0.000479788398685204)</f>
        <v>39.564998626681323</v>
      </c>
      <c r="F252">
        <v>21012.169921875</v>
      </c>
      <c r="G252">
        <f t="shared" si="7"/>
        <v>-8.7238353584430106E-3</v>
      </c>
    </row>
    <row r="253" spans="1:7" x14ac:dyDescent="0.25">
      <c r="A253" s="1">
        <v>45656</v>
      </c>
      <c r="B253">
        <v>40.630001068115199</v>
      </c>
      <c r="C253">
        <f>C254*(1+G253*3)</f>
        <v>53.052068992230431</v>
      </c>
      <c r="D253">
        <f t="shared" si="8"/>
        <v>40.648329218561891</v>
      </c>
      <c r="F253">
        <v>21197.08984375</v>
      </c>
      <c r="G253">
        <f t="shared" si="7"/>
        <v>-1.2850064570492092E-2</v>
      </c>
    </row>
    <row r="254" spans="1:7" x14ac:dyDescent="0.25">
      <c r="A254" s="1">
        <v>45653</v>
      </c>
      <c r="B254">
        <v>42.330001831054602</v>
      </c>
      <c r="C254">
        <f>C255*(1+G254*3)</f>
        <v>55.179239358346607</v>
      </c>
      <c r="D254">
        <f t="shared" si="8"/>
        <v>42.299268928098485</v>
      </c>
      <c r="F254">
        <v>21473.01953125</v>
      </c>
      <c r="G254">
        <f t="shared" si="7"/>
        <v>-1.3565178381167109E-2</v>
      </c>
    </row>
    <row r="255" spans="1:7" x14ac:dyDescent="0.25">
      <c r="A255" s="1">
        <v>45652</v>
      </c>
      <c r="B255">
        <v>44.125</v>
      </c>
      <c r="C255">
        <f>C256*(1+G255*3)</f>
        <v>57.52004851410841</v>
      </c>
      <c r="D255">
        <f t="shared" si="8"/>
        <v>44.115749173628593</v>
      </c>
      <c r="F255">
        <v>21768.310546875</v>
      </c>
      <c r="G255">
        <f t="shared" si="7"/>
        <v>-1.3460094654338395E-3</v>
      </c>
    </row>
    <row r="256" spans="1:7" x14ac:dyDescent="0.25">
      <c r="A256" s="1">
        <v>45650</v>
      </c>
      <c r="B256">
        <v>44.220001220703097</v>
      </c>
      <c r="C256">
        <f>C257*(1+G256*3)</f>
        <v>57.753257809120562</v>
      </c>
      <c r="D256">
        <f t="shared" si="8"/>
        <v>44.315960564553102</v>
      </c>
      <c r="F256">
        <v>21797.650390625</v>
      </c>
      <c r="G256">
        <f t="shared" si="7"/>
        <v>1.3694746859179485E-2</v>
      </c>
    </row>
    <row r="257" spans="1:7" x14ac:dyDescent="0.25">
      <c r="A257" s="1">
        <v>45649</v>
      </c>
      <c r="B257">
        <v>42.529998779296797</v>
      </c>
      <c r="C257">
        <f>C258*(1+G257*3)</f>
        <v>55.474144702336588</v>
      </c>
      <c r="D257">
        <f t="shared" si="8"/>
        <v>42.586748953228884</v>
      </c>
      <c r="F257">
        <v>21503.169921875</v>
      </c>
      <c r="G257">
        <f t="shared" si="7"/>
        <v>1.0052986019782439E-2</v>
      </c>
    </row>
    <row r="258" spans="1:7" x14ac:dyDescent="0.25">
      <c r="A258" s="1">
        <v>45646</v>
      </c>
      <c r="B258">
        <v>41.514999389648402</v>
      </c>
      <c r="C258">
        <f>C259*(1+G258*3)</f>
        <v>53.850082327916553</v>
      </c>
      <c r="D258">
        <f t="shared" si="8"/>
        <v>41.359241021903586</v>
      </c>
      <c r="F258">
        <v>21289.150390625</v>
      </c>
      <c r="G258">
        <f t="shared" ref="G258:G321" si="9">F258/F259-1</f>
        <v>8.4621653850769363E-3</v>
      </c>
    </row>
    <row r="259" spans="1:7" x14ac:dyDescent="0.25">
      <c r="A259" s="1">
        <v>45645</v>
      </c>
      <c r="B259">
        <v>40.465000152587798</v>
      </c>
      <c r="C259">
        <f>C260*(1+G259*3)</f>
        <v>52.516863182645537</v>
      </c>
      <c r="D259">
        <f t="shared" si="8"/>
        <v>40.35415195246042</v>
      </c>
      <c r="F259">
        <v>21110.509765625</v>
      </c>
      <c r="G259">
        <f t="shared" si="9"/>
        <v>-4.6588266582388016E-3</v>
      </c>
    </row>
    <row r="260" spans="1:7" x14ac:dyDescent="0.25">
      <c r="A260" s="1">
        <v>45644</v>
      </c>
      <c r="B260">
        <v>41.044998168945298</v>
      </c>
      <c r="C260">
        <f>C261*(1+G260*3)</f>
        <v>53.261268231511252</v>
      </c>
      <c r="D260">
        <f t="shared" si="8"/>
        <v>40.946079466060418</v>
      </c>
      <c r="F260">
        <v>21209.3203125</v>
      </c>
      <c r="G260">
        <f t="shared" si="9"/>
        <v>-3.5987313477951588E-2</v>
      </c>
    </row>
    <row r="261" spans="1:7" x14ac:dyDescent="0.25">
      <c r="A261" s="1">
        <v>45643</v>
      </c>
      <c r="B261">
        <v>46.020000457763601</v>
      </c>
      <c r="C261">
        <f>C262*(1+G261*3)</f>
        <v>59.707394387875773</v>
      </c>
      <c r="D261">
        <f t="shared" si="8"/>
        <v>45.926419831698894</v>
      </c>
      <c r="F261">
        <v>22001.080078125</v>
      </c>
      <c r="G261">
        <f t="shared" si="9"/>
        <v>-4.3255441070791933E-3</v>
      </c>
    </row>
    <row r="262" spans="1:7" x14ac:dyDescent="0.25">
      <c r="A262" s="1">
        <v>45642</v>
      </c>
      <c r="B262">
        <v>46.645000457763601</v>
      </c>
      <c r="C262">
        <f>C263*(1+G262*3)</f>
        <v>60.492381784529542</v>
      </c>
      <c r="D262">
        <f t="shared" si="8"/>
        <v>46.552854629304221</v>
      </c>
      <c r="F262">
        <v>22096.66015625</v>
      </c>
      <c r="G262">
        <f t="shared" si="9"/>
        <v>1.4527388631902838E-2</v>
      </c>
    </row>
    <row r="263" spans="1:7" x14ac:dyDescent="0.25">
      <c r="A263" s="1">
        <v>45639</v>
      </c>
      <c r="B263">
        <v>44.700000762939403</v>
      </c>
      <c r="C263">
        <f>C264*(1+G263*3)</f>
        <v>57.966093865363078</v>
      </c>
      <c r="D263">
        <f t="shared" si="8"/>
        <v>44.62922876372896</v>
      </c>
      <c r="F263">
        <v>21780.25</v>
      </c>
      <c r="G263">
        <f t="shared" si="9"/>
        <v>7.6325890135897634E-3</v>
      </c>
    </row>
    <row r="264" spans="1:7" x14ac:dyDescent="0.25">
      <c r="A264" s="1">
        <v>45638</v>
      </c>
      <c r="B264">
        <v>43.759998321533203</v>
      </c>
      <c r="C264">
        <f>C265*(1+G264*3)</f>
        <v>56.668511490701832</v>
      </c>
      <c r="D264">
        <f t="shared" si="8"/>
        <v>43.65066899840992</v>
      </c>
      <c r="F264">
        <v>21615.26953125</v>
      </c>
      <c r="G264">
        <f t="shared" si="9"/>
        <v>-6.832892434981197E-3</v>
      </c>
    </row>
    <row r="265" spans="1:7" x14ac:dyDescent="0.25">
      <c r="A265" s="1">
        <v>45637</v>
      </c>
      <c r="B265">
        <v>44.645000457763601</v>
      </c>
      <c r="C265">
        <f>C266*(1+G265*3)</f>
        <v>57.854451216850656</v>
      </c>
      <c r="D265">
        <f t="shared" si="8"/>
        <v>44.586015188911986</v>
      </c>
      <c r="F265">
        <v>21763.98046875</v>
      </c>
      <c r="G265">
        <f t="shared" si="9"/>
        <v>1.8522905883346485E-2</v>
      </c>
    </row>
    <row r="266" spans="1:7" x14ac:dyDescent="0.25">
      <c r="A266" s="1">
        <v>45636</v>
      </c>
      <c r="B266">
        <v>42.380001068115199</v>
      </c>
      <c r="C266">
        <f>C267*(1+G266*3)</f>
        <v>54.808796669959264</v>
      </c>
      <c r="D266">
        <f t="shared" si="8"/>
        <v>42.258063707054816</v>
      </c>
      <c r="F266">
        <v>21368.1796875</v>
      </c>
      <c r="G266">
        <f t="shared" si="9"/>
        <v>-3.3879592264317582E-3</v>
      </c>
    </row>
    <row r="267" spans="1:7" x14ac:dyDescent="0.25">
      <c r="A267" s="1">
        <v>45635</v>
      </c>
      <c r="B267">
        <v>42.845001220703097</v>
      </c>
      <c r="C267">
        <f>C268*(1+G267*3)</f>
        <v>55.371586704128518</v>
      </c>
      <c r="D267">
        <f t="shared" si="8"/>
        <v>42.712683244807096</v>
      </c>
      <c r="F267">
        <v>21440.8203125</v>
      </c>
      <c r="G267">
        <f t="shared" si="9"/>
        <v>-8.3908791869485855E-3</v>
      </c>
    </row>
    <row r="268" spans="1:7" x14ac:dyDescent="0.25">
      <c r="A268" s="1">
        <v>45632</v>
      </c>
      <c r="B268">
        <v>43.869998931884702</v>
      </c>
      <c r="C268">
        <f>C269*(1+G268*3)</f>
        <v>56.801428476095573</v>
      </c>
      <c r="D268">
        <f t="shared" si="8"/>
        <v>43.837214134668791</v>
      </c>
      <c r="F268">
        <v>21622.25</v>
      </c>
      <c r="G268">
        <f t="shared" si="9"/>
        <v>9.1961384951457781E-3</v>
      </c>
    </row>
    <row r="269" spans="1:7" x14ac:dyDescent="0.25">
      <c r="A269" s="1">
        <v>45631</v>
      </c>
      <c r="B269">
        <v>42.770000457763601</v>
      </c>
      <c r="C269">
        <f>C270*(1+G269*3)</f>
        <v>55.276439107443935</v>
      </c>
      <c r="D269">
        <f t="shared" si="8"/>
        <v>42.680212178732084</v>
      </c>
      <c r="F269">
        <v>21425.220703125</v>
      </c>
      <c r="G269">
        <f t="shared" si="9"/>
        <v>-3.1238390678082206E-3</v>
      </c>
    </row>
    <row r="270" spans="1:7" x14ac:dyDescent="0.25">
      <c r="A270" s="1">
        <v>45630</v>
      </c>
      <c r="B270">
        <v>43.125</v>
      </c>
      <c r="C270">
        <f>C271*(1+G270*3)</f>
        <v>55.799363805285317</v>
      </c>
      <c r="D270">
        <f t="shared" si="8"/>
        <v>43.104851241243054</v>
      </c>
      <c r="F270">
        <v>21492.359375</v>
      </c>
      <c r="G270">
        <f t="shared" si="9"/>
        <v>1.2390366654608354E-2</v>
      </c>
    </row>
    <row r="271" spans="1:7" x14ac:dyDescent="0.25">
      <c r="A271" s="1">
        <v>45629</v>
      </c>
      <c r="B271">
        <v>41.6049995422363</v>
      </c>
      <c r="C271">
        <f>C272*(1+G271*3)</f>
        <v>53.799574445558221</v>
      </c>
      <c r="D271">
        <f t="shared" si="8"/>
        <v>41.579253882397936</v>
      </c>
      <c r="F271">
        <v>21229.3203125</v>
      </c>
      <c r="G271">
        <f t="shared" si="9"/>
        <v>3.0579696436274784E-3</v>
      </c>
    </row>
    <row r="272" spans="1:7" x14ac:dyDescent="0.25">
      <c r="A272" s="1">
        <v>45628</v>
      </c>
      <c r="B272">
        <v>41.240001678466797</v>
      </c>
      <c r="C272">
        <f>C273*(1+G272*3)</f>
        <v>53.310508693742811</v>
      </c>
      <c r="D272">
        <f t="shared" si="8"/>
        <v>41.22087462992279</v>
      </c>
      <c r="F272">
        <v>21164.599609375</v>
      </c>
      <c r="G272">
        <f t="shared" si="9"/>
        <v>1.1190938257050087E-2</v>
      </c>
    </row>
    <row r="273" spans="1:7" x14ac:dyDescent="0.25">
      <c r="A273" s="1">
        <v>45625</v>
      </c>
      <c r="B273">
        <v>39.944999694824197</v>
      </c>
      <c r="C273">
        <f>C274*(1+G273*3)</f>
        <v>51.578861142498816</v>
      </c>
      <c r="D273">
        <f t="shared" si="8"/>
        <v>39.900448050320364</v>
      </c>
      <c r="F273">
        <v>20930.369140625</v>
      </c>
      <c r="G273">
        <f t="shared" si="9"/>
        <v>8.9603988408442081E-3</v>
      </c>
    </row>
    <row r="274" spans="1:7" x14ac:dyDescent="0.25">
      <c r="A274" s="1">
        <v>45623</v>
      </c>
      <c r="B274">
        <v>38.950000762939403</v>
      </c>
      <c r="C274">
        <f>C275*(1+G274*3)</f>
        <v>50.228654801711556</v>
      </c>
      <c r="D274">
        <f t="shared" si="8"/>
        <v>38.874116631673502</v>
      </c>
      <c r="F274">
        <v>20744.490234375</v>
      </c>
      <c r="G274">
        <f t="shared" si="9"/>
        <v>-8.5270279415917694E-3</v>
      </c>
    </row>
    <row r="275" spans="1:7" x14ac:dyDescent="0.25">
      <c r="A275" s="1">
        <v>45622</v>
      </c>
      <c r="B275">
        <v>39.915000915527301</v>
      </c>
      <c r="C275">
        <f>C276*(1+G275*3)</f>
        <v>51.547290357281199</v>
      </c>
      <c r="D275">
        <f t="shared" si="8"/>
        <v>39.914318588289412</v>
      </c>
      <c r="F275">
        <v>20922.900390625</v>
      </c>
      <c r="G275">
        <f t="shared" si="9"/>
        <v>5.6722127384412069E-3</v>
      </c>
    </row>
    <row r="276" spans="1:7" x14ac:dyDescent="0.25">
      <c r="A276" s="1">
        <v>45621</v>
      </c>
      <c r="B276">
        <v>39.305000305175703</v>
      </c>
      <c r="C276">
        <f>C277*(1+G276*3)</f>
        <v>50.684805361431621</v>
      </c>
      <c r="D276">
        <f t="shared" si="8"/>
        <v>39.26499919357483</v>
      </c>
      <c r="F276">
        <v>20804.890625</v>
      </c>
      <c r="G276">
        <f t="shared" si="9"/>
        <v>1.3794685370431825E-3</v>
      </c>
    </row>
    <row r="277" spans="1:7" x14ac:dyDescent="0.25">
      <c r="A277" s="1">
        <v>45618</v>
      </c>
      <c r="B277">
        <v>39.125</v>
      </c>
      <c r="C277">
        <f>C278*(1+G277*3)</f>
        <v>50.475915549295514</v>
      </c>
      <c r="D277">
        <f t="shared" si="8"/>
        <v>39.121867256646695</v>
      </c>
      <c r="F277">
        <v>20776.23046875</v>
      </c>
      <c r="G277">
        <f t="shared" si="9"/>
        <v>1.7092497522666061E-3</v>
      </c>
    </row>
    <row r="278" spans="1:7" x14ac:dyDescent="0.25">
      <c r="A278" s="1">
        <v>45617</v>
      </c>
      <c r="B278">
        <v>38.9799995422363</v>
      </c>
      <c r="C278">
        <f>C279*(1+G278*3)</f>
        <v>50.218408144256138</v>
      </c>
      <c r="D278">
        <f t="shared" si="8"/>
        <v>38.940871609624288</v>
      </c>
      <c r="F278">
        <v>20740.779296875</v>
      </c>
      <c r="G278">
        <f t="shared" si="9"/>
        <v>3.5650714852402121E-3</v>
      </c>
    </row>
    <row r="279" spans="1:7" x14ac:dyDescent="0.25">
      <c r="A279" s="1">
        <v>45616</v>
      </c>
      <c r="B279">
        <v>38.599998474121001</v>
      </c>
      <c r="C279">
        <f>C280*(1+G279*3)</f>
        <v>49.686995076255251</v>
      </c>
      <c r="D279">
        <f t="shared" si="8"/>
        <v>38.547096594648252</v>
      </c>
      <c r="F279">
        <v>20667.099609375</v>
      </c>
      <c r="G279">
        <f t="shared" si="9"/>
        <v>-8.45568343734171E-4</v>
      </c>
    </row>
    <row r="280" spans="1:7" x14ac:dyDescent="0.25">
      <c r="A280" s="1">
        <v>45615</v>
      </c>
      <c r="B280">
        <v>38.645000457763601</v>
      </c>
      <c r="C280">
        <f>C281*(1+G280*3)</f>
        <v>49.813356869246554</v>
      </c>
      <c r="D280">
        <f t="shared" si="8"/>
        <v>38.66372546849896</v>
      </c>
      <c r="F280">
        <v>20684.58984375</v>
      </c>
      <c r="G280">
        <f t="shared" si="9"/>
        <v>7.0791688716265178E-3</v>
      </c>
    </row>
    <row r="281" spans="1:7" x14ac:dyDescent="0.25">
      <c r="A281" s="1">
        <v>45614</v>
      </c>
      <c r="B281">
        <v>37.884998321533203</v>
      </c>
      <c r="C281">
        <f>C282*(1+G281*3)</f>
        <v>48.777445546789679</v>
      </c>
      <c r="D281">
        <f t="shared" si="8"/>
        <v>37.877475505220779</v>
      </c>
      <c r="F281">
        <v>20539.189453125</v>
      </c>
      <c r="G281">
        <f t="shared" si="9"/>
        <v>7.1127617425930101E-3</v>
      </c>
    </row>
    <row r="282" spans="1:7" x14ac:dyDescent="0.25">
      <c r="A282" s="1">
        <v>45611</v>
      </c>
      <c r="B282">
        <v>37.134998321533203</v>
      </c>
      <c r="C282">
        <f>C283*(1+G282*3)</f>
        <v>47.758363954711953</v>
      </c>
      <c r="D282">
        <f t="shared" si="8"/>
        <v>37.103551200164034</v>
      </c>
      <c r="F282">
        <v>20394.130859375</v>
      </c>
      <c r="G282">
        <f t="shared" si="9"/>
        <v>-2.404876300285208E-2</v>
      </c>
    </row>
    <row r="283" spans="1:7" x14ac:dyDescent="0.25">
      <c r="A283" s="1">
        <v>45610</v>
      </c>
      <c r="B283">
        <v>40.029998779296797</v>
      </c>
      <c r="C283">
        <f>C284*(1+G283*3)</f>
        <v>51.471868236298249</v>
      </c>
      <c r="D283">
        <f t="shared" si="8"/>
        <v>40.009267347554548</v>
      </c>
      <c r="F283">
        <v>20896.669921875</v>
      </c>
      <c r="G283">
        <f t="shared" si="9"/>
        <v>-6.6309741577792458E-3</v>
      </c>
    </row>
    <row r="284" spans="1:7" x14ac:dyDescent="0.25">
      <c r="A284" s="1">
        <v>45609</v>
      </c>
      <c r="B284">
        <v>40.895000457763601</v>
      </c>
      <c r="C284">
        <f>C285*(1+G284*3)</f>
        <v>52.51657641957803</v>
      </c>
      <c r="D284">
        <f t="shared" si="8"/>
        <v>40.841315663193818</v>
      </c>
      <c r="F284">
        <v>21036.16015625</v>
      </c>
      <c r="G284">
        <f t="shared" si="9"/>
        <v>-1.6434555985199717E-3</v>
      </c>
    </row>
    <row r="285" spans="1:7" x14ac:dyDescent="0.25">
      <c r="A285" s="1">
        <v>45608</v>
      </c>
      <c r="B285">
        <v>41.075000762939403</v>
      </c>
      <c r="C285">
        <f>C286*(1+G285*3)</f>
        <v>52.776785329543202</v>
      </c>
      <c r="D285">
        <f t="shared" si="8"/>
        <v>41.063475438129167</v>
      </c>
      <c r="F285">
        <v>21070.7890625</v>
      </c>
      <c r="G285">
        <f t="shared" si="9"/>
        <v>-1.6961897452421049E-3</v>
      </c>
    </row>
    <row r="286" spans="1:7" x14ac:dyDescent="0.25">
      <c r="A286" s="1">
        <v>45607</v>
      </c>
      <c r="B286">
        <v>41.299999237060497</v>
      </c>
      <c r="C286">
        <f>C287*(1+G286*3)</f>
        <v>53.046717222859719</v>
      </c>
      <c r="D286">
        <f t="shared" si="8"/>
        <v>41.293411923665211</v>
      </c>
      <c r="F286">
        <v>21106.58984375</v>
      </c>
      <c r="G286">
        <f t="shared" si="9"/>
        <v>-5.0148002274508219E-4</v>
      </c>
    </row>
    <row r="287" spans="1:7" x14ac:dyDescent="0.25">
      <c r="A287" s="1">
        <v>45604</v>
      </c>
      <c r="B287">
        <v>41.375</v>
      </c>
      <c r="C287">
        <f>C288*(1+G287*3)</f>
        <v>53.126643073390163</v>
      </c>
      <c r="D287">
        <f t="shared" si="8"/>
        <v>41.375510389212849</v>
      </c>
      <c r="F287">
        <v>21117.1796875</v>
      </c>
      <c r="G287">
        <f t="shared" si="9"/>
        <v>7.3972575352621028E-4</v>
      </c>
    </row>
    <row r="288" spans="1:7" x14ac:dyDescent="0.25">
      <c r="A288" s="1">
        <v>45603</v>
      </c>
      <c r="B288">
        <v>41.275001525878899</v>
      </c>
      <c r="C288">
        <f>C289*(1+G288*3)</f>
        <v>53.009006691135333</v>
      </c>
      <c r="D288">
        <f t="shared" si="8"/>
        <v>41.303667250442075</v>
      </c>
      <c r="F288">
        <v>21101.5703125</v>
      </c>
      <c r="G288">
        <f t="shared" si="9"/>
        <v>1.5409997010349841E-2</v>
      </c>
    </row>
    <row r="289" spans="1:7" x14ac:dyDescent="0.25">
      <c r="A289" s="1">
        <v>45602</v>
      </c>
      <c r="B289">
        <v>39.430000305175703</v>
      </c>
      <c r="C289">
        <f>C290*(1+G289*3)</f>
        <v>50.666686240656773</v>
      </c>
      <c r="D289">
        <f t="shared" si="8"/>
        <v>39.496685868644732</v>
      </c>
      <c r="F289">
        <v>20781.330078125</v>
      </c>
      <c r="G289">
        <f t="shared" si="9"/>
        <v>2.7382039808969472E-2</v>
      </c>
    </row>
    <row r="290" spans="1:7" x14ac:dyDescent="0.25">
      <c r="A290" s="1">
        <v>45601</v>
      </c>
      <c r="B290">
        <v>36.470001220703097</v>
      </c>
      <c r="C290">
        <f>C291*(1+G290*3)</f>
        <v>46.820559008693984</v>
      </c>
      <c r="D290">
        <f t="shared" si="8"/>
        <v>36.514666987091573</v>
      </c>
      <c r="F290">
        <v>20227.4609375</v>
      </c>
      <c r="G290">
        <f t="shared" si="9"/>
        <v>1.3217121826120559E-2</v>
      </c>
    </row>
    <row r="291" spans="1:7" x14ac:dyDescent="0.25">
      <c r="A291" s="1">
        <v>45600</v>
      </c>
      <c r="B291">
        <v>35.134998321533203</v>
      </c>
      <c r="C291">
        <f>C292*(1+G291*3)</f>
        <v>45.034865112836194</v>
      </c>
      <c r="D291">
        <f t="shared" si="8"/>
        <v>35.138246457535544</v>
      </c>
      <c r="F291">
        <v>19963.599609375</v>
      </c>
      <c r="G291">
        <f t="shared" si="9"/>
        <v>-3.4712987307750076E-3</v>
      </c>
    </row>
    <row r="292" spans="1:7" x14ac:dyDescent="0.25">
      <c r="A292" s="1">
        <v>45597</v>
      </c>
      <c r="B292">
        <v>35.465000152587798</v>
      </c>
      <c r="C292">
        <f>C293*(1+G292*3)</f>
        <v>45.508788916450541</v>
      </c>
      <c r="D292">
        <f t="shared" si="8"/>
        <v>35.525247296602373</v>
      </c>
      <c r="F292">
        <v>20033.140625</v>
      </c>
      <c r="G292">
        <f t="shared" si="9"/>
        <v>7.1753489210168997E-3</v>
      </c>
    </row>
    <row r="293" spans="1:7" x14ac:dyDescent="0.25">
      <c r="A293" s="1">
        <v>45596</v>
      </c>
      <c r="B293">
        <v>34.724998474121001</v>
      </c>
      <c r="C293">
        <f>C294*(1+G293*3)</f>
        <v>44.549807673192483</v>
      </c>
      <c r="D293">
        <f t="shared" si="8"/>
        <v>34.792985142035562</v>
      </c>
      <c r="F293">
        <v>19890.419921875</v>
      </c>
      <c r="G293">
        <f t="shared" si="9"/>
        <v>-2.4391143480166022E-2</v>
      </c>
    </row>
    <row r="294" spans="1:7" x14ac:dyDescent="0.25">
      <c r="A294" s="1">
        <v>45595</v>
      </c>
      <c r="B294">
        <v>37.584999084472599</v>
      </c>
      <c r="C294">
        <f>C295*(1+G294*3)</f>
        <v>48.067037713825918</v>
      </c>
      <c r="D294">
        <f t="shared" si="8"/>
        <v>37.559352339343199</v>
      </c>
      <c r="F294">
        <v>20387.69921875</v>
      </c>
      <c r="G294">
        <f t="shared" si="9"/>
        <v>-7.9292464607025881E-3</v>
      </c>
    </row>
    <row r="295" spans="1:7" x14ac:dyDescent="0.25">
      <c r="A295" s="1">
        <v>45594</v>
      </c>
      <c r="B295">
        <v>38.439998626708899</v>
      </c>
      <c r="C295">
        <f>C296*(1+G295*3)</f>
        <v>49.238305697371544</v>
      </c>
      <c r="D295">
        <f t="shared" si="8"/>
        <v>38.493494281191815</v>
      </c>
      <c r="F295">
        <v>20550.650390625</v>
      </c>
      <c r="G295">
        <f t="shared" si="9"/>
        <v>9.8068590526374511E-3</v>
      </c>
    </row>
    <row r="296" spans="1:7" x14ac:dyDescent="0.25">
      <c r="A296" s="1">
        <v>45593</v>
      </c>
      <c r="B296">
        <v>37.404998779296797</v>
      </c>
      <c r="C296">
        <f>C297*(1+G296*3)</f>
        <v>47.831087497115789</v>
      </c>
      <c r="D296">
        <f t="shared" si="8"/>
        <v>37.410796327367009</v>
      </c>
      <c r="F296">
        <v>20351.0703125</v>
      </c>
      <c r="G296">
        <f t="shared" si="9"/>
        <v>-4.6640027469679879E-5</v>
      </c>
    </row>
    <row r="297" spans="1:7" x14ac:dyDescent="0.25">
      <c r="A297" s="1">
        <v>45590</v>
      </c>
      <c r="B297">
        <v>37.369998931884702</v>
      </c>
      <c r="C297">
        <f>C298*(1+G297*3)</f>
        <v>47.837780963370449</v>
      </c>
      <c r="D297">
        <f t="shared" si="8"/>
        <v>37.433994491234465</v>
      </c>
      <c r="F297">
        <v>20352.01953125</v>
      </c>
      <c r="G297">
        <f t="shared" si="9"/>
        <v>5.8889517743068165E-3</v>
      </c>
    </row>
    <row r="298" spans="1:7" x14ac:dyDescent="0.25">
      <c r="A298" s="1">
        <v>45589</v>
      </c>
      <c r="B298">
        <v>36.75</v>
      </c>
      <c r="C298">
        <f>C299*(1+G298*3)</f>
        <v>47.007309625104007</v>
      </c>
      <c r="D298">
        <f t="shared" si="8"/>
        <v>36.801484907222793</v>
      </c>
      <c r="F298">
        <v>20232.869140625</v>
      </c>
      <c r="G298">
        <f t="shared" si="9"/>
        <v>8.2677294106334731E-3</v>
      </c>
    </row>
    <row r="299" spans="1:7" x14ac:dyDescent="0.25">
      <c r="A299" s="1">
        <v>45588</v>
      </c>
      <c r="B299">
        <v>35.895000457763601</v>
      </c>
      <c r="C299">
        <f>C300*(1+G299*3)</f>
        <v>45.869597367476992</v>
      </c>
      <c r="D299">
        <f t="shared" si="8"/>
        <v>35.927603443614551</v>
      </c>
      <c r="F299">
        <v>20066.9609375</v>
      </c>
      <c r="G299">
        <f t="shared" si="9"/>
        <v>-1.5865261751148219E-2</v>
      </c>
    </row>
    <row r="300" spans="1:7" x14ac:dyDescent="0.25">
      <c r="A300" s="1">
        <v>45587</v>
      </c>
      <c r="B300">
        <v>37.634998321533203</v>
      </c>
      <c r="C300">
        <f>C301*(1+G300*3)</f>
        <v>48.161900858117654</v>
      </c>
      <c r="D300">
        <f t="shared" si="8"/>
        <v>37.742075367740604</v>
      </c>
      <c r="F300">
        <v>20390.4609375</v>
      </c>
      <c r="G300">
        <f t="shared" si="9"/>
        <v>1.4237789989575145E-3</v>
      </c>
    </row>
    <row r="301" spans="1:7" x14ac:dyDescent="0.25">
      <c r="A301" s="1">
        <v>45586</v>
      </c>
      <c r="B301">
        <v>37.525001525878899</v>
      </c>
      <c r="C301">
        <f>C302*(1+G301*3)</f>
        <v>47.957060093080841</v>
      </c>
      <c r="D301">
        <f t="shared" si="8"/>
        <v>37.59951497942783</v>
      </c>
      <c r="F301">
        <v>20361.470703125</v>
      </c>
      <c r="G301">
        <f t="shared" si="9"/>
        <v>1.8417422102905423E-3</v>
      </c>
    </row>
    <row r="302" spans="1:7" x14ac:dyDescent="0.25">
      <c r="A302" s="1">
        <v>45583</v>
      </c>
      <c r="B302">
        <v>37.319999694824197</v>
      </c>
      <c r="C302">
        <f>C303*(1+G302*3)</f>
        <v>47.693542462148372</v>
      </c>
      <c r="D302">
        <f t="shared" si="8"/>
        <v>37.41076129409938</v>
      </c>
      <c r="F302">
        <v>20324.0390625</v>
      </c>
      <c r="G302">
        <f t="shared" si="9"/>
        <v>6.6179475782093267E-3</v>
      </c>
    </row>
    <row r="303" spans="1:7" x14ac:dyDescent="0.25">
      <c r="A303" s="1">
        <v>45582</v>
      </c>
      <c r="B303">
        <v>36.669998168945298</v>
      </c>
      <c r="C303">
        <f>C304*(1+G303*3)</f>
        <v>46.765075997814833</v>
      </c>
      <c r="D303">
        <f t="shared" si="8"/>
        <v>36.699738565025676</v>
      </c>
      <c r="F303">
        <v>20190.419921875</v>
      </c>
      <c r="G303">
        <f t="shared" si="9"/>
        <v>8.1139582736722282E-4</v>
      </c>
    </row>
    <row r="304" spans="1:7" x14ac:dyDescent="0.25">
      <c r="A304" s="1">
        <v>45581</v>
      </c>
      <c r="B304">
        <v>36.560001373291001</v>
      </c>
      <c r="C304">
        <f>C305*(1+G304*3)</f>
        <v>46.651517457997528</v>
      </c>
      <c r="D304">
        <f t="shared" si="8"/>
        <v>36.628152537279576</v>
      </c>
      <c r="F304">
        <v>20174.05078125</v>
      </c>
      <c r="G304">
        <f t="shared" si="9"/>
        <v>7.0539796565194379E-4</v>
      </c>
    </row>
    <row r="305" spans="1:7" x14ac:dyDescent="0.25">
      <c r="A305" s="1">
        <v>45580</v>
      </c>
      <c r="B305">
        <v>36.580001831054602</v>
      </c>
      <c r="C305">
        <f>C306*(1+G305*3)</f>
        <v>46.553002278690393</v>
      </c>
      <c r="D305">
        <f t="shared" si="8"/>
        <v>36.568311950541229</v>
      </c>
      <c r="F305">
        <v>20159.830078125</v>
      </c>
      <c r="G305">
        <f t="shared" si="9"/>
        <v>-1.3661138480126844E-2</v>
      </c>
    </row>
    <row r="306" spans="1:7" x14ac:dyDescent="0.25">
      <c r="A306" s="1">
        <v>45579</v>
      </c>
      <c r="B306">
        <v>38.099998474121001</v>
      </c>
      <c r="C306">
        <f>C307*(1+G306*3)</f>
        <v>48.542437146764819</v>
      </c>
      <c r="D306">
        <f t="shared" si="8"/>
        <v>38.150138937808251</v>
      </c>
      <c r="F306">
        <v>20439.05078125</v>
      </c>
      <c r="G306">
        <f t="shared" si="9"/>
        <v>8.241925788657678E-3</v>
      </c>
    </row>
    <row r="307" spans="1:7" x14ac:dyDescent="0.25">
      <c r="A307" s="1">
        <v>45576</v>
      </c>
      <c r="B307">
        <v>37.150001525878899</v>
      </c>
      <c r="C307">
        <f>C308*(1+G307*3)</f>
        <v>47.371148671151516</v>
      </c>
      <c r="D307">
        <f t="shared" si="8"/>
        <v>37.247047436596482</v>
      </c>
      <c r="F307">
        <v>20271.970703125</v>
      </c>
      <c r="G307">
        <f t="shared" si="9"/>
        <v>1.4925054861734122E-3</v>
      </c>
    </row>
    <row r="308" spans="1:7" x14ac:dyDescent="0.25">
      <c r="A308" s="1">
        <v>45575</v>
      </c>
      <c r="B308">
        <v>37.055000305175703</v>
      </c>
      <c r="C308">
        <f>C309*(1+G308*3)</f>
        <v>47.15998904402327</v>
      </c>
      <c r="D308">
        <f t="shared" si="8"/>
        <v>37.098736775604209</v>
      </c>
      <c r="F308">
        <v>20241.759765625</v>
      </c>
      <c r="G308">
        <f t="shared" si="9"/>
        <v>-1.3370071237667203E-3</v>
      </c>
    </row>
    <row r="309" spans="1:7" x14ac:dyDescent="0.25">
      <c r="A309" s="1">
        <v>45574</v>
      </c>
      <c r="B309">
        <v>37.185001373291001</v>
      </c>
      <c r="C309">
        <f>C310*(1+G309*3)</f>
        <v>47.349910547157066</v>
      </c>
      <c r="D309">
        <f t="shared" si="8"/>
        <v>37.266091704319138</v>
      </c>
      <c r="F309">
        <v>20268.859375</v>
      </c>
      <c r="G309">
        <f t="shared" si="9"/>
        <v>8.0108338045083993E-3</v>
      </c>
    </row>
    <row r="310" spans="1:7" x14ac:dyDescent="0.25">
      <c r="A310" s="1">
        <v>45573</v>
      </c>
      <c r="B310">
        <v>36.310001373291001</v>
      </c>
      <c r="C310">
        <f>C311*(1+G310*3)</f>
        <v>46.238679418668383</v>
      </c>
      <c r="D310">
        <f t="shared" si="8"/>
        <v>36.408571078428501</v>
      </c>
      <c r="F310">
        <v>20107.779296875</v>
      </c>
      <c r="G310">
        <f t="shared" si="9"/>
        <v>1.5506443641281953E-2</v>
      </c>
    </row>
    <row r="311" spans="1:7" x14ac:dyDescent="0.25">
      <c r="A311" s="1">
        <v>45572</v>
      </c>
      <c r="B311">
        <v>34.799999237060497</v>
      </c>
      <c r="C311">
        <f>C312*(1+G311*3)</f>
        <v>44.183301781773892</v>
      </c>
      <c r="D311">
        <f t="shared" si="8"/>
        <v>34.806113534233582</v>
      </c>
      <c r="F311">
        <v>19800.740234375</v>
      </c>
      <c r="G311">
        <f t="shared" si="9"/>
        <v>-1.1693489817146352E-2</v>
      </c>
    </row>
    <row r="312" spans="1:7" x14ac:dyDescent="0.25">
      <c r="A312" s="1">
        <v>45569</v>
      </c>
      <c r="B312">
        <v>35.985000610351499</v>
      </c>
      <c r="C312">
        <f>C313*(1+G312*3)</f>
        <v>45.789623261802454</v>
      </c>
      <c r="D312">
        <f t="shared" si="8"/>
        <v>36.08946418637386</v>
      </c>
      <c r="F312">
        <v>20035.01953125</v>
      </c>
      <c r="G312">
        <f t="shared" si="9"/>
        <v>1.2210151970705185E-2</v>
      </c>
    </row>
    <row r="313" spans="1:7" x14ac:dyDescent="0.25">
      <c r="A313" s="1">
        <v>45568</v>
      </c>
      <c r="B313">
        <v>34.759998321533203</v>
      </c>
      <c r="C313">
        <f>C314*(1+G313*3)</f>
        <v>44.171597506763248</v>
      </c>
      <c r="D313">
        <f t="shared" si="8"/>
        <v>34.83032469880262</v>
      </c>
      <c r="F313">
        <v>19793.33984375</v>
      </c>
      <c r="G313">
        <f t="shared" si="9"/>
        <v>-4.6711061901427708E-4</v>
      </c>
    </row>
    <row r="314" spans="1:7" x14ac:dyDescent="0.25">
      <c r="A314" s="1">
        <v>45567</v>
      </c>
      <c r="B314">
        <v>34.840000152587798</v>
      </c>
      <c r="C314">
        <f>C315*(1+G314*3)</f>
        <v>44.233583436383817</v>
      </c>
      <c r="D314">
        <f t="shared" si="8"/>
        <v>34.89596821144842</v>
      </c>
      <c r="F314">
        <v>19802.58984375</v>
      </c>
      <c r="G314">
        <f t="shared" si="9"/>
        <v>1.4812429560457918E-3</v>
      </c>
    </row>
    <row r="315" spans="1:7" x14ac:dyDescent="0.25">
      <c r="A315" s="1">
        <v>45566</v>
      </c>
      <c r="B315">
        <v>34.709999084472599</v>
      </c>
      <c r="C315">
        <f>C316*(1+G315*3)</f>
        <v>44.037890988904536</v>
      </c>
      <c r="D315">
        <f t="shared" si="8"/>
        <v>34.758188820139409</v>
      </c>
      <c r="F315">
        <v>19773.30078125</v>
      </c>
      <c r="G315">
        <f t="shared" si="9"/>
        <v>-1.4325961854228852E-2</v>
      </c>
    </row>
    <row r="316" spans="1:7" x14ac:dyDescent="0.25">
      <c r="A316" s="1">
        <v>45565</v>
      </c>
      <c r="B316">
        <v>36.244998931884702</v>
      </c>
      <c r="C316">
        <f>C317*(1+G316*3)</f>
        <v>46.015541673033191</v>
      </c>
      <c r="D316">
        <f t="shared" ref="D316:D379" si="10">D317*(1+3*G316-0.000479788398685204)</f>
        <v>36.337324417294802</v>
      </c>
      <c r="F316">
        <v>20060.689453125</v>
      </c>
      <c r="G316">
        <f t="shared" si="9"/>
        <v>2.6023941049624355E-3</v>
      </c>
    </row>
    <row r="317" spans="1:7" x14ac:dyDescent="0.25">
      <c r="A317" s="1">
        <v>45562</v>
      </c>
      <c r="B317">
        <v>35.965000152587798</v>
      </c>
      <c r="C317">
        <f>C318*(1+G317*3)</f>
        <v>45.659072966058432</v>
      </c>
      <c r="D317">
        <f t="shared" si="10"/>
        <v>36.073003312285223</v>
      </c>
      <c r="F317">
        <v>20008.619140625</v>
      </c>
      <c r="G317">
        <f t="shared" si="9"/>
        <v>-5.3152899130763931E-3</v>
      </c>
    </row>
    <row r="318" spans="1:7" x14ac:dyDescent="0.25">
      <c r="A318" s="1">
        <v>45561</v>
      </c>
      <c r="B318">
        <v>36.595001220703097</v>
      </c>
      <c r="C318">
        <f>C319*(1+G318*3)</f>
        <v>46.398944490948828</v>
      </c>
      <c r="D318">
        <f t="shared" si="10"/>
        <v>36.675421243698217</v>
      </c>
      <c r="F318">
        <v>20115.5390625</v>
      </c>
      <c r="G318">
        <f t="shared" si="9"/>
        <v>7.1562851311208764E-3</v>
      </c>
    </row>
    <row r="319" spans="1:7" x14ac:dyDescent="0.25">
      <c r="A319" s="1">
        <v>45560</v>
      </c>
      <c r="B319">
        <v>35.834999084472599</v>
      </c>
      <c r="C319">
        <f>C320*(1+G319*3)</f>
        <v>45.423748600813504</v>
      </c>
      <c r="D319">
        <f t="shared" si="10"/>
        <v>35.921463245099972</v>
      </c>
      <c r="F319">
        <v>19972.609375</v>
      </c>
      <c r="G319">
        <f t="shared" si="9"/>
        <v>1.3923165825120432E-3</v>
      </c>
    </row>
    <row r="320" spans="1:7" x14ac:dyDescent="0.25">
      <c r="A320" s="1">
        <v>45559</v>
      </c>
      <c r="B320">
        <v>35.825000762939403</v>
      </c>
      <c r="C320">
        <f>C321*(1+G320*3)</f>
        <v>45.234805093100036</v>
      </c>
      <c r="D320">
        <f t="shared" si="10"/>
        <v>35.789145001492031</v>
      </c>
      <c r="F320">
        <v>19944.83984375</v>
      </c>
      <c r="G320">
        <f t="shared" si="9"/>
        <v>4.6665169928630235E-3</v>
      </c>
    </row>
    <row r="321" spans="1:7" x14ac:dyDescent="0.25">
      <c r="A321" s="1">
        <v>45558</v>
      </c>
      <c r="B321">
        <v>35.325000762939403</v>
      </c>
      <c r="C321">
        <f>C322*(1+G321*3)</f>
        <v>44.610281187447178</v>
      </c>
      <c r="D321">
        <f t="shared" si="10"/>
        <v>35.311738678278097</v>
      </c>
      <c r="F321">
        <v>19852.19921875</v>
      </c>
      <c r="G321">
        <f t="shared" si="9"/>
        <v>3.0674286603016299E-3</v>
      </c>
    </row>
    <row r="322" spans="1:7" x14ac:dyDescent="0.25">
      <c r="A322" s="1">
        <v>45555</v>
      </c>
      <c r="B322">
        <v>35.064998626708899</v>
      </c>
      <c r="C322">
        <f>C323*(1+G322*3)</f>
        <v>44.203507866698637</v>
      </c>
      <c r="D322">
        <f t="shared" si="10"/>
        <v>35.006395478355905</v>
      </c>
      <c r="F322">
        <v>19791.490234375</v>
      </c>
      <c r="G322">
        <f t="shared" ref="G322:G385" si="11">F322/F323-1</f>
        <v>-2.4365049276958706E-3</v>
      </c>
    </row>
    <row r="323" spans="1:7" x14ac:dyDescent="0.25">
      <c r="A323" s="1">
        <v>45554</v>
      </c>
      <c r="B323">
        <v>35.290000915527301</v>
      </c>
      <c r="C323">
        <f>C324*(1+G323*3)</f>
        <v>44.528993200775716</v>
      </c>
      <c r="D323">
        <f t="shared" si="10"/>
        <v>35.281211531595766</v>
      </c>
      <c r="F323">
        <v>19839.830078125</v>
      </c>
      <c r="G323">
        <f t="shared" si="11"/>
        <v>2.5606249518520974E-2</v>
      </c>
    </row>
    <row r="324" spans="1:7" x14ac:dyDescent="0.25">
      <c r="A324" s="1">
        <v>45553</v>
      </c>
      <c r="B324">
        <v>32.810001373291001</v>
      </c>
      <c r="C324">
        <f>C325*(1+G324*3)</f>
        <v>41.352356894330264</v>
      </c>
      <c r="D324">
        <f t="shared" si="10"/>
        <v>32.778904079114149</v>
      </c>
      <c r="F324">
        <v>19344.490234375</v>
      </c>
      <c r="G324">
        <f t="shared" si="11"/>
        <v>-4.5238958894863179E-3</v>
      </c>
    </row>
    <row r="325" spans="1:7" x14ac:dyDescent="0.25">
      <c r="A325" s="1">
        <v>45552</v>
      </c>
      <c r="B325">
        <v>33.244998931884702</v>
      </c>
      <c r="C325">
        <f>C326*(1+G325*3)</f>
        <v>41.921299680246435</v>
      </c>
      <c r="D325">
        <f t="shared" si="10"/>
        <v>33.246060299742815</v>
      </c>
      <c r="F325">
        <v>19432.400390625</v>
      </c>
      <c r="G325">
        <f t="shared" si="11"/>
        <v>4.8086364800536963E-4</v>
      </c>
    </row>
    <row r="326" spans="1:7" x14ac:dyDescent="0.25">
      <c r="A326" s="1">
        <v>45551</v>
      </c>
      <c r="B326">
        <v>33.224998474121001</v>
      </c>
      <c r="C326">
        <f>C327*(1+G326*3)</f>
        <v>41.860911508396164</v>
      </c>
      <c r="D326">
        <f t="shared" si="10"/>
        <v>33.214081697343779</v>
      </c>
      <c r="F326">
        <v>19423.060546875</v>
      </c>
      <c r="G326">
        <f t="shared" si="11"/>
        <v>-4.6903008266050428E-3</v>
      </c>
    </row>
    <row r="327" spans="1:7" x14ac:dyDescent="0.25">
      <c r="A327" s="1">
        <v>45548</v>
      </c>
      <c r="B327">
        <v>33.674999237060497</v>
      </c>
      <c r="C327">
        <f>C328*(1+G327*3)</f>
        <v>42.458338651009484</v>
      </c>
      <c r="D327">
        <f t="shared" si="10"/>
        <v>33.704505538649371</v>
      </c>
      <c r="F327">
        <v>19514.58984375</v>
      </c>
      <c r="G327">
        <f t="shared" si="11"/>
        <v>4.7118982620941718E-3</v>
      </c>
    </row>
    <row r="328" spans="1:7" x14ac:dyDescent="0.25">
      <c r="A328" s="1">
        <v>45547</v>
      </c>
      <c r="B328">
        <v>33.240001678466797</v>
      </c>
      <c r="C328">
        <f>C329*(1+G328*3)</f>
        <v>41.866526214676917</v>
      </c>
      <c r="D328">
        <f t="shared" si="10"/>
        <v>33.250440634005031</v>
      </c>
      <c r="F328">
        <v>19423.0703125</v>
      </c>
      <c r="G328">
        <f t="shared" si="11"/>
        <v>9.6567358052157548E-3</v>
      </c>
    </row>
    <row r="329" spans="1:7" x14ac:dyDescent="0.25">
      <c r="A329" s="1">
        <v>45546</v>
      </c>
      <c r="B329">
        <v>32.284999847412102</v>
      </c>
      <c r="C329">
        <f>C330*(1+G329*3)</f>
        <v>40.687792428731754</v>
      </c>
      <c r="D329">
        <f t="shared" si="10"/>
        <v>32.329363520747251</v>
      </c>
      <c r="F329">
        <v>19237.30078125</v>
      </c>
      <c r="G329">
        <f t="shared" si="11"/>
        <v>2.167704646637314E-2</v>
      </c>
    </row>
    <row r="330" spans="1:7" x14ac:dyDescent="0.25">
      <c r="A330" s="1">
        <v>45545</v>
      </c>
      <c r="B330">
        <v>30.350000381469702</v>
      </c>
      <c r="C330">
        <f>C331*(1+G330*3)</f>
        <v>38.203382909242848</v>
      </c>
      <c r="D330">
        <f t="shared" si="10"/>
        <v>30.369003327425268</v>
      </c>
      <c r="F330">
        <v>18829.140625</v>
      </c>
      <c r="G330">
        <f t="shared" si="11"/>
        <v>9.022202419659564E-3</v>
      </c>
    </row>
    <row r="331" spans="1:7" x14ac:dyDescent="0.25">
      <c r="A331" s="1">
        <v>45544</v>
      </c>
      <c r="B331">
        <v>29.5550003051757</v>
      </c>
      <c r="C331">
        <f>C332*(1+G331*3)</f>
        <v>37.196597220894482</v>
      </c>
      <c r="D331">
        <f t="shared" si="10"/>
        <v>29.582498790643573</v>
      </c>
      <c r="F331">
        <v>18660.779296875</v>
      </c>
      <c r="G331">
        <f t="shared" si="11"/>
        <v>1.2999550134646931E-2</v>
      </c>
    </row>
    <row r="332" spans="1:7" x14ac:dyDescent="0.25">
      <c r="A332" s="1">
        <v>45541</v>
      </c>
      <c r="B332">
        <v>28.495000839233398</v>
      </c>
      <c r="C332">
        <f>C333*(1+G332*3)</f>
        <v>35.800428813293671</v>
      </c>
      <c r="D332">
        <f t="shared" si="10"/>
        <v>28.485278287120668</v>
      </c>
      <c r="F332">
        <v>18421.310546875</v>
      </c>
      <c r="G332">
        <f t="shared" si="11"/>
        <v>-2.6889099616820733E-2</v>
      </c>
    </row>
    <row r="333" spans="1:7" x14ac:dyDescent="0.25">
      <c r="A333" s="1">
        <v>45540</v>
      </c>
      <c r="B333">
        <v>31.0100002288818</v>
      </c>
      <c r="C333">
        <f>C334*(1+G333*3)</f>
        <v>38.941755001784067</v>
      </c>
      <c r="D333">
        <f t="shared" si="10"/>
        <v>31.000911997810107</v>
      </c>
      <c r="F333">
        <v>18930.330078125</v>
      </c>
      <c r="G333">
        <f t="shared" si="11"/>
        <v>4.7193586709504132E-4</v>
      </c>
    </row>
    <row r="334" spans="1:7" x14ac:dyDescent="0.25">
      <c r="A334" s="1">
        <v>45539</v>
      </c>
      <c r="B334">
        <v>30.909999847412099</v>
      </c>
      <c r="C334">
        <f>C335*(1+G334*3)</f>
        <v>38.886698917867264</v>
      </c>
      <c r="D334">
        <f t="shared" si="10"/>
        <v>30.971921684372113</v>
      </c>
      <c r="F334">
        <v>18921.400390625</v>
      </c>
      <c r="G334">
        <f t="shared" si="11"/>
        <v>-1.9695319039341186E-3</v>
      </c>
    </row>
    <row r="335" spans="1:7" x14ac:dyDescent="0.25">
      <c r="A335" s="1">
        <v>45538</v>
      </c>
      <c r="B335">
        <v>31.174999237060501</v>
      </c>
      <c r="C335">
        <f>C336*(1+G335*3)</f>
        <v>39.117830362602753</v>
      </c>
      <c r="D335">
        <f t="shared" si="10"/>
        <v>31.171054352706086</v>
      </c>
      <c r="F335">
        <v>18958.740234375</v>
      </c>
      <c r="G335">
        <f t="shared" si="11"/>
        <v>-3.1464199135201265E-2</v>
      </c>
    </row>
    <row r="336" spans="1:7" x14ac:dyDescent="0.25">
      <c r="A336" s="1">
        <v>45534</v>
      </c>
      <c r="B336">
        <v>34.305000305175703</v>
      </c>
      <c r="C336">
        <f>C337*(1+G336*3)</f>
        <v>43.195130970150494</v>
      </c>
      <c r="D336">
        <f t="shared" si="10"/>
        <v>34.438297830968764</v>
      </c>
      <c r="F336">
        <v>19574.640625</v>
      </c>
      <c r="G336">
        <f t="shared" si="11"/>
        <v>1.2894469020064525E-2</v>
      </c>
    </row>
    <row r="337" spans="1:7" x14ac:dyDescent="0.25">
      <c r="A337" s="1">
        <v>45533</v>
      </c>
      <c r="B337">
        <v>33.174999237060497</v>
      </c>
      <c r="C337">
        <f>C338*(1+G337*3)</f>
        <v>41.586426312909474</v>
      </c>
      <c r="D337">
        <f t="shared" si="10"/>
        <v>33.171043918502157</v>
      </c>
      <c r="F337">
        <v>19325.44921875</v>
      </c>
      <c r="G337">
        <f t="shared" si="11"/>
        <v>-1.3089952469815813E-3</v>
      </c>
    </row>
    <row r="338" spans="1:7" x14ac:dyDescent="0.25">
      <c r="A338" s="1">
        <v>45532</v>
      </c>
      <c r="B338">
        <v>33.349998474121001</v>
      </c>
      <c r="C338">
        <f>C339*(1+G338*3)</f>
        <v>41.750379457718971</v>
      </c>
      <c r="D338">
        <f t="shared" si="10"/>
        <v>33.317868238643811</v>
      </c>
      <c r="F338">
        <v>19350.779296875</v>
      </c>
      <c r="G338">
        <f t="shared" si="11"/>
        <v>-1.178357144381792E-2</v>
      </c>
    </row>
    <row r="339" spans="1:7" x14ac:dyDescent="0.25">
      <c r="A339" s="1">
        <v>45531</v>
      </c>
      <c r="B339">
        <v>34.520000457763601</v>
      </c>
      <c r="C339">
        <f>C340*(1+G339*3)</f>
        <v>43.280371507022927</v>
      </c>
      <c r="D339">
        <f t="shared" si="10"/>
        <v>34.55602809774274</v>
      </c>
      <c r="F339">
        <v>19581.51953125</v>
      </c>
      <c r="G339">
        <f t="shared" si="11"/>
        <v>3.3346286489044363E-3</v>
      </c>
    </row>
    <row r="340" spans="1:7" x14ac:dyDescent="0.25">
      <c r="A340" s="1">
        <v>45530</v>
      </c>
      <c r="B340">
        <v>34.2299995422363</v>
      </c>
      <c r="C340">
        <f>C341*(1+G340*3)</f>
        <v>42.851688106580568</v>
      </c>
      <c r="D340">
        <f t="shared" si="10"/>
        <v>34.230018066605624</v>
      </c>
      <c r="F340">
        <v>19516.439453125</v>
      </c>
      <c r="G340">
        <f t="shared" si="11"/>
        <v>-1.0366160134335778E-2</v>
      </c>
    </row>
    <row r="341" spans="1:7" x14ac:dyDescent="0.25">
      <c r="A341" s="1">
        <v>45527</v>
      </c>
      <c r="B341">
        <v>35.264999389648402</v>
      </c>
      <c r="C341">
        <f>C342*(1+G341*3)</f>
        <v>44.227083186332919</v>
      </c>
      <c r="D341">
        <f t="shared" si="10"/>
        <v>35.346189541048425</v>
      </c>
      <c r="F341">
        <v>19720.869140625</v>
      </c>
      <c r="G341">
        <f t="shared" si="11"/>
        <v>1.1750009168500108E-2</v>
      </c>
    </row>
    <row r="342" spans="1:7" x14ac:dyDescent="0.25">
      <c r="A342" s="1">
        <v>45526</v>
      </c>
      <c r="B342">
        <v>34.189998626708899</v>
      </c>
      <c r="C342">
        <f>C343*(1+G342*3)</f>
        <v>42.721161083087189</v>
      </c>
      <c r="D342">
        <f t="shared" si="10"/>
        <v>34.158490653498376</v>
      </c>
      <c r="F342">
        <v>19491.83984375</v>
      </c>
      <c r="G342">
        <f t="shared" si="11"/>
        <v>-1.679710921372124E-2</v>
      </c>
    </row>
    <row r="343" spans="1:7" x14ac:dyDescent="0.25">
      <c r="A343" s="1">
        <v>45525</v>
      </c>
      <c r="B343">
        <v>35.915000915527301</v>
      </c>
      <c r="C343">
        <f>C344*(1+G343*3)</f>
        <v>44.988174946809877</v>
      </c>
      <c r="D343">
        <f t="shared" si="10"/>
        <v>35.98930685891181</v>
      </c>
      <c r="F343">
        <v>19824.83984375</v>
      </c>
      <c r="G343">
        <f t="shared" si="11"/>
        <v>5.3255825654470179E-3</v>
      </c>
    </row>
    <row r="344" spans="1:7" x14ac:dyDescent="0.25">
      <c r="A344" s="1">
        <v>45524</v>
      </c>
      <c r="B344">
        <v>35.430000305175703</v>
      </c>
      <c r="C344">
        <f>C345*(1+G344*3)</f>
        <v>44.280713164762417</v>
      </c>
      <c r="D344">
        <f t="shared" si="10"/>
        <v>35.440093177435955</v>
      </c>
      <c r="F344">
        <v>19719.8203125</v>
      </c>
      <c r="G344">
        <f t="shared" si="11"/>
        <v>-2.3610626530874423E-3</v>
      </c>
    </row>
    <row r="345" spans="1:7" x14ac:dyDescent="0.25">
      <c r="A345" s="1">
        <v>45523</v>
      </c>
      <c r="B345">
        <v>35.650001525878899</v>
      </c>
      <c r="C345">
        <f>C346*(1+G345*3)</f>
        <v>44.596599259662504</v>
      </c>
      <c r="D345">
        <f t="shared" si="10"/>
        <v>35.710168336301734</v>
      </c>
      <c r="F345">
        <v>19766.490234375</v>
      </c>
      <c r="G345">
        <f t="shared" si="11"/>
        <v>1.3223489497076635E-2</v>
      </c>
    </row>
    <row r="346" spans="1:7" x14ac:dyDescent="0.25">
      <c r="A346" s="1">
        <v>45520</v>
      </c>
      <c r="B346">
        <v>34.319999694824197</v>
      </c>
      <c r="C346">
        <f>C347*(1+G346*3)</f>
        <v>42.894937012475793</v>
      </c>
      <c r="D346">
        <f t="shared" si="10"/>
        <v>34.363441686295317</v>
      </c>
      <c r="F346">
        <v>19508.51953125</v>
      </c>
      <c r="G346">
        <f t="shared" si="11"/>
        <v>9.4248326753998413E-4</v>
      </c>
    </row>
    <row r="347" spans="1:7" x14ac:dyDescent="0.25">
      <c r="A347" s="1">
        <v>45519</v>
      </c>
      <c r="B347">
        <v>34.2299995422363</v>
      </c>
      <c r="C347">
        <f>C348*(1+G347*3)</f>
        <v>42.773995686813848</v>
      </c>
      <c r="D347">
        <f t="shared" si="10"/>
        <v>34.282956911541334</v>
      </c>
      <c r="F347">
        <v>19490.150390625</v>
      </c>
      <c r="G347">
        <f t="shared" si="11"/>
        <v>2.4574387562872113E-2</v>
      </c>
    </row>
    <row r="348" spans="1:7" x14ac:dyDescent="0.25">
      <c r="A348" s="1">
        <v>45518</v>
      </c>
      <c r="B348">
        <v>31.834999084472599</v>
      </c>
      <c r="C348">
        <f>C349*(1+G348*3)</f>
        <v>39.83708014615911</v>
      </c>
      <c r="D348">
        <f t="shared" si="10"/>
        <v>31.94332034355515</v>
      </c>
      <c r="F348">
        <v>19022.6796875</v>
      </c>
      <c r="G348">
        <f t="shared" si="11"/>
        <v>8.5497383081301059E-4</v>
      </c>
    </row>
    <row r="349" spans="1:7" x14ac:dyDescent="0.25">
      <c r="A349" s="1">
        <v>45517</v>
      </c>
      <c r="B349">
        <v>31.780000686645501</v>
      </c>
      <c r="C349">
        <f>C350*(1+G349*3)</f>
        <v>39.735162573668347</v>
      </c>
      <c r="D349">
        <f t="shared" si="10"/>
        <v>31.876852862726356</v>
      </c>
      <c r="F349">
        <v>19006.4296875</v>
      </c>
      <c r="G349">
        <f t="shared" si="11"/>
        <v>2.5045823366446118E-2</v>
      </c>
    </row>
    <row r="350" spans="1:7" x14ac:dyDescent="0.25">
      <c r="A350" s="1">
        <v>45516</v>
      </c>
      <c r="B350">
        <v>29.625</v>
      </c>
      <c r="C350">
        <f>C351*(1+G350*3)</f>
        <v>36.958215743329063</v>
      </c>
      <c r="D350">
        <f t="shared" si="10"/>
        <v>29.662331927205894</v>
      </c>
      <c r="F350">
        <v>18542.029296875</v>
      </c>
      <c r="G350">
        <f t="shared" si="11"/>
        <v>1.562660392393278E-3</v>
      </c>
    </row>
    <row r="351" spans="1:7" x14ac:dyDescent="0.25">
      <c r="A351" s="1">
        <v>45513</v>
      </c>
      <c r="B351">
        <v>29.424999237060501</v>
      </c>
      <c r="C351">
        <f>C352*(1+G351*3)</f>
        <v>36.785764770496812</v>
      </c>
      <c r="D351">
        <f t="shared" si="10"/>
        <v>29.538030201819637</v>
      </c>
      <c r="F351">
        <v>18513.099609375</v>
      </c>
      <c r="G351">
        <f t="shared" si="11"/>
        <v>5.3915643353816822E-3</v>
      </c>
    </row>
    <row r="352" spans="1:7" x14ac:dyDescent="0.25">
      <c r="A352" s="1">
        <v>45512</v>
      </c>
      <c r="B352">
        <v>29.030000686645501</v>
      </c>
      <c r="C352">
        <f>C353*(1+G352*3)</f>
        <v>36.200237049471923</v>
      </c>
      <c r="D352">
        <f t="shared" si="10"/>
        <v>29.081597306265241</v>
      </c>
      <c r="F352">
        <v>18413.8203125</v>
      </c>
      <c r="G352">
        <f t="shared" si="11"/>
        <v>3.058375117087242E-2</v>
      </c>
    </row>
    <row r="353" spans="1:7" x14ac:dyDescent="0.25">
      <c r="A353" s="1">
        <v>45511</v>
      </c>
      <c r="B353">
        <v>26.5949993133544</v>
      </c>
      <c r="C353">
        <f>C354*(1+G353*3)</f>
        <v>33.157953272781434</v>
      </c>
      <c r="D353">
        <f t="shared" si="10"/>
        <v>26.649278603861443</v>
      </c>
      <c r="F353">
        <v>17867.369140625</v>
      </c>
      <c r="G353">
        <f t="shared" si="11"/>
        <v>-1.1646847765667157E-2</v>
      </c>
    </row>
    <row r="354" spans="1:7" x14ac:dyDescent="0.25">
      <c r="A354" s="1">
        <v>45510</v>
      </c>
      <c r="B354">
        <v>27.4799995422363</v>
      </c>
      <c r="C354">
        <f>C355*(1+G354*3)</f>
        <v>34.358456406469827</v>
      </c>
      <c r="D354">
        <f t="shared" si="10"/>
        <v>27.627866810327497</v>
      </c>
      <c r="F354">
        <v>18077.919921875</v>
      </c>
      <c r="G354">
        <f t="shared" si="11"/>
        <v>1.021280413414849E-2</v>
      </c>
    </row>
    <row r="355" spans="1:7" x14ac:dyDescent="0.25">
      <c r="A355" s="1">
        <v>45509</v>
      </c>
      <c r="B355">
        <v>26.809999465942301</v>
      </c>
      <c r="C355">
        <f>C356*(1+G355*3)</f>
        <v>33.337061759981715</v>
      </c>
      <c r="D355">
        <f t="shared" si="10"/>
        <v>26.819041423883327</v>
      </c>
      <c r="F355">
        <v>17895.16015625</v>
      </c>
      <c r="G355">
        <f t="shared" si="11"/>
        <v>-2.9591340132592459E-2</v>
      </c>
    </row>
    <row r="356" spans="1:7" x14ac:dyDescent="0.25">
      <c r="A356" s="1">
        <v>45506</v>
      </c>
      <c r="B356">
        <v>29.370000839233398</v>
      </c>
      <c r="C356">
        <f>C357*(1+G356*3)</f>
        <v>36.58484558850521</v>
      </c>
      <c r="D356">
        <f t="shared" si="10"/>
        <v>29.447327568224434</v>
      </c>
      <c r="F356">
        <v>18440.849609375</v>
      </c>
      <c r="G356">
        <f t="shared" si="11"/>
        <v>-2.3797338263088497E-2</v>
      </c>
    </row>
    <row r="357" spans="1:7" x14ac:dyDescent="0.25">
      <c r="A357" s="1">
        <v>45505</v>
      </c>
      <c r="B357">
        <v>31.6800003051757</v>
      </c>
      <c r="C357">
        <f>C358*(1+G357*3)</f>
        <v>39.397513451494596</v>
      </c>
      <c r="D357">
        <f t="shared" si="10"/>
        <v>31.727651060888597</v>
      </c>
      <c r="F357">
        <v>18890.390625</v>
      </c>
      <c r="G357">
        <f t="shared" si="11"/>
        <v>-2.4379123390941948E-2</v>
      </c>
    </row>
    <row r="358" spans="1:7" x14ac:dyDescent="0.25">
      <c r="A358" s="1">
        <v>45504</v>
      </c>
      <c r="B358">
        <v>34.139999389648402</v>
      </c>
      <c r="C358">
        <f>C359*(1+G358*3)</f>
        <v>42.506313431625557</v>
      </c>
      <c r="D358">
        <f t="shared" si="10"/>
        <v>34.248962353366061</v>
      </c>
      <c r="F358">
        <v>19362.4296875</v>
      </c>
      <c r="G358">
        <f t="shared" si="11"/>
        <v>3.0120878789736683E-2</v>
      </c>
    </row>
    <row r="359" spans="1:7" x14ac:dyDescent="0.25">
      <c r="A359" s="1">
        <v>45503</v>
      </c>
      <c r="B359">
        <v>31.395000457763601</v>
      </c>
      <c r="C359">
        <f>C360*(1+G359*3)</f>
        <v>38.983648204570727</v>
      </c>
      <c r="D359">
        <f t="shared" si="10"/>
        <v>31.424443844713387</v>
      </c>
      <c r="F359">
        <v>18796.26953125</v>
      </c>
      <c r="G359">
        <f t="shared" si="11"/>
        <v>-1.3810479707912937E-2</v>
      </c>
    </row>
    <row r="360" spans="1:7" x14ac:dyDescent="0.25">
      <c r="A360" s="1">
        <v>45502</v>
      </c>
      <c r="B360">
        <v>32.7299995422363</v>
      </c>
      <c r="C360">
        <f>C361*(1+G360*3)</f>
        <v>40.668607124913848</v>
      </c>
      <c r="D360">
        <f t="shared" si="10"/>
        <v>32.799094141820639</v>
      </c>
      <c r="F360">
        <v>19059.490234375</v>
      </c>
      <c r="G360">
        <f t="shared" si="11"/>
        <v>1.8834481814073989E-3</v>
      </c>
    </row>
    <row r="361" spans="1:7" x14ac:dyDescent="0.25">
      <c r="A361" s="1">
        <v>45499</v>
      </c>
      <c r="B361">
        <v>32.540000915527301</v>
      </c>
      <c r="C361">
        <f>C362*(1+G361*3)</f>
        <v>40.440106589279353</v>
      </c>
      <c r="D361">
        <f t="shared" si="10"/>
        <v>32.630376945772483</v>
      </c>
      <c r="F361">
        <v>19023.66015625</v>
      </c>
      <c r="G361">
        <f t="shared" si="11"/>
        <v>1.0253538516813654E-2</v>
      </c>
    </row>
    <row r="362" spans="1:7" x14ac:dyDescent="0.25">
      <c r="A362" s="1">
        <v>45498</v>
      </c>
      <c r="B362">
        <v>31.6350002288818</v>
      </c>
      <c r="C362">
        <f>C363*(1+G362*3)</f>
        <v>39.233267141938434</v>
      </c>
      <c r="D362">
        <f t="shared" si="10"/>
        <v>31.671342497928649</v>
      </c>
      <c r="F362">
        <v>18830.580078125</v>
      </c>
      <c r="G362">
        <f t="shared" si="11"/>
        <v>-1.0603531151252787E-2</v>
      </c>
    </row>
    <row r="363" spans="1:7" x14ac:dyDescent="0.25">
      <c r="A363" s="1">
        <v>45497</v>
      </c>
      <c r="B363">
        <v>32.724998474121001</v>
      </c>
      <c r="C363">
        <f>C364*(1+G363*3)</f>
        <v>40.522305735499302</v>
      </c>
      <c r="D363">
        <f t="shared" si="10"/>
        <v>32.72814685727284</v>
      </c>
      <c r="F363">
        <v>19032.390625</v>
      </c>
      <c r="G363">
        <f t="shared" si="11"/>
        <v>-3.6546360164924185E-2</v>
      </c>
    </row>
    <row r="364" spans="1:7" x14ac:dyDescent="0.25">
      <c r="A364" s="1">
        <v>45496</v>
      </c>
      <c r="B364">
        <v>36.680000305175703</v>
      </c>
      <c r="C364">
        <f>C365*(1+G364*3)</f>
        <v>45.512224141663246</v>
      </c>
      <c r="D364">
        <f t="shared" si="10"/>
        <v>36.778110820909653</v>
      </c>
      <c r="F364">
        <v>19754.33984375</v>
      </c>
      <c r="G364">
        <f t="shared" si="11"/>
        <v>-3.4570826447396508E-3</v>
      </c>
    </row>
    <row r="365" spans="1:7" x14ac:dyDescent="0.25">
      <c r="A365" s="1">
        <v>45495</v>
      </c>
      <c r="B365">
        <v>37.080001831054602</v>
      </c>
      <c r="C365">
        <f>C366*(1+G365*3)</f>
        <v>45.989189427509707</v>
      </c>
      <c r="D365">
        <f t="shared" si="10"/>
        <v>37.18156938117923</v>
      </c>
      <c r="F365">
        <v>19822.869140625</v>
      </c>
      <c r="G365">
        <f t="shared" si="11"/>
        <v>1.5379596243580096E-2</v>
      </c>
    </row>
    <row r="366" spans="1:7" x14ac:dyDescent="0.25">
      <c r="A366" s="1">
        <v>45492</v>
      </c>
      <c r="B366">
        <v>35.529998779296797</v>
      </c>
      <c r="C366">
        <f>C367*(1+G366*3)</f>
        <v>43.960887334373183</v>
      </c>
      <c r="D366">
        <f t="shared" si="10"/>
        <v>35.558025483806865</v>
      </c>
      <c r="F366">
        <v>19522.619140625</v>
      </c>
      <c r="G366">
        <f t="shared" si="11"/>
        <v>-9.2600797343167507E-3</v>
      </c>
    </row>
    <row r="367" spans="1:7" x14ac:dyDescent="0.25">
      <c r="A367" s="1">
        <v>45491</v>
      </c>
      <c r="B367">
        <v>36.520000457763601</v>
      </c>
      <c r="C367">
        <f>C368*(1+G367*3)</f>
        <v>45.217027165064991</v>
      </c>
      <c r="D367">
        <f t="shared" si="10"/>
        <v>36.592119799338526</v>
      </c>
      <c r="F367">
        <v>19705.08984375</v>
      </c>
      <c r="G367">
        <f t="shared" si="11"/>
        <v>-4.7502456309261865E-3</v>
      </c>
    </row>
    <row r="368" spans="1:7" x14ac:dyDescent="0.25">
      <c r="A368" s="1">
        <v>45490</v>
      </c>
      <c r="B368">
        <v>37.075000762939403</v>
      </c>
      <c r="C368">
        <f>C369*(1+G368*3)</f>
        <v>45.870718708461936</v>
      </c>
      <c r="D368">
        <f t="shared" si="10"/>
        <v>37.139199720120487</v>
      </c>
      <c r="F368">
        <v>19799.140625</v>
      </c>
      <c r="G368">
        <f t="shared" si="11"/>
        <v>-2.9388191009023013E-2</v>
      </c>
    </row>
    <row r="369" spans="1:7" x14ac:dyDescent="0.25">
      <c r="A369" s="1">
        <v>45489</v>
      </c>
      <c r="B369">
        <v>40.650001525878899</v>
      </c>
      <c r="C369">
        <f>C370*(1+G369*3)</f>
        <v>50.305918537012126</v>
      </c>
      <c r="D369">
        <f t="shared" si="10"/>
        <v>40.751599209088404</v>
      </c>
      <c r="F369">
        <v>20398.619140625</v>
      </c>
      <c r="G369">
        <f t="shared" si="11"/>
        <v>5.7577622251137051E-4</v>
      </c>
    </row>
    <row r="370" spans="1:7" x14ac:dyDescent="0.25">
      <c r="A370" s="1">
        <v>45488</v>
      </c>
      <c r="B370">
        <v>40.619998931884702</v>
      </c>
      <c r="C370">
        <f>C371*(1+G370*3)</f>
        <v>50.219173518933005</v>
      </c>
      <c r="D370">
        <f t="shared" si="10"/>
        <v>40.700823293055009</v>
      </c>
      <c r="F370">
        <v>20386.880859375</v>
      </c>
      <c r="G370">
        <f t="shared" si="11"/>
        <v>2.7243760472781542E-3</v>
      </c>
    </row>
    <row r="371" spans="1:7" x14ac:dyDescent="0.25">
      <c r="A371" s="1">
        <v>45485</v>
      </c>
      <c r="B371">
        <v>40.319999694824197</v>
      </c>
      <c r="C371">
        <f>C372*(1+G371*3)</f>
        <v>49.812053224917875</v>
      </c>
      <c r="D371">
        <f t="shared" si="10"/>
        <v>40.390088619052726</v>
      </c>
      <c r="F371">
        <v>20331.490234375</v>
      </c>
      <c r="G371">
        <f t="shared" si="11"/>
        <v>5.9437298177773545E-3</v>
      </c>
    </row>
    <row r="372" spans="1:7" x14ac:dyDescent="0.25">
      <c r="A372" s="1">
        <v>45484</v>
      </c>
      <c r="B372">
        <v>39.674999237060497</v>
      </c>
      <c r="C372">
        <f>C373*(1+G372*3)</f>
        <v>48.939405415225565</v>
      </c>
      <c r="D372">
        <f t="shared" si="10"/>
        <v>39.701216882565809</v>
      </c>
      <c r="F372">
        <v>20211.359375</v>
      </c>
      <c r="G372">
        <f t="shared" si="11"/>
        <v>-2.2443189198354974E-2</v>
      </c>
    </row>
    <row r="373" spans="1:7" x14ac:dyDescent="0.25">
      <c r="A373" s="1">
        <v>45483</v>
      </c>
      <c r="B373">
        <v>42.465000152587798</v>
      </c>
      <c r="C373">
        <f>C374*(1+G373*3)</f>
        <v>52.472345766374282</v>
      </c>
      <c r="D373">
        <f t="shared" si="10"/>
        <v>42.589160423175876</v>
      </c>
      <c r="F373">
        <v>20675.380859375</v>
      </c>
      <c r="G373">
        <f t="shared" si="11"/>
        <v>1.0871809308413249E-2</v>
      </c>
    </row>
    <row r="374" spans="1:7" x14ac:dyDescent="0.25">
      <c r="A374" s="1">
        <v>45482</v>
      </c>
      <c r="B374">
        <v>41.174999237060497</v>
      </c>
      <c r="C374">
        <f>C375*(1+G374*3)</f>
        <v>50.814993023882288</v>
      </c>
      <c r="D374">
        <f t="shared" si="10"/>
        <v>41.263142936050265</v>
      </c>
      <c r="F374">
        <v>20453.01953125</v>
      </c>
      <c r="G374">
        <f t="shared" si="11"/>
        <v>6.5952899959142997E-4</v>
      </c>
    </row>
    <row r="375" spans="1:7" x14ac:dyDescent="0.25">
      <c r="A375" s="1">
        <v>45481</v>
      </c>
      <c r="B375">
        <v>41.084999084472599</v>
      </c>
      <c r="C375">
        <f>C376*(1+G375*3)</f>
        <v>50.714649677383221</v>
      </c>
      <c r="D375">
        <f t="shared" si="10"/>
        <v>41.201390349872149</v>
      </c>
      <c r="F375">
        <v>20439.5390625</v>
      </c>
      <c r="G375">
        <f t="shared" si="11"/>
        <v>2.3327004568376442E-3</v>
      </c>
    </row>
    <row r="376" spans="1:7" x14ac:dyDescent="0.25">
      <c r="A376" s="1">
        <v>45478</v>
      </c>
      <c r="B376">
        <v>40.814998626708899</v>
      </c>
      <c r="C376">
        <f>C377*(1+G376*3)</f>
        <v>50.362209827765476</v>
      </c>
      <c r="D376">
        <f t="shared" si="10"/>
        <v>40.934566037076529</v>
      </c>
      <c r="F376">
        <v>20391.970703125</v>
      </c>
      <c r="G376">
        <f t="shared" si="11"/>
        <v>1.0172071069236344E-2</v>
      </c>
    </row>
    <row r="377" spans="1:7" x14ac:dyDescent="0.25">
      <c r="A377" s="1">
        <v>45476</v>
      </c>
      <c r="B377">
        <v>39.615001678466797</v>
      </c>
      <c r="C377">
        <f>C378*(1+G377*3)</f>
        <v>48.870856355575413</v>
      </c>
      <c r="D377">
        <f t="shared" si="10"/>
        <v>39.740891730761938</v>
      </c>
      <c r="F377">
        <v>20186.630859375</v>
      </c>
      <c r="G377">
        <f t="shared" si="11"/>
        <v>8.7318203786654891E-3</v>
      </c>
    </row>
    <row r="378" spans="1:7" x14ac:dyDescent="0.25">
      <c r="A378" s="1">
        <v>45475</v>
      </c>
      <c r="B378">
        <v>38.665000915527301</v>
      </c>
      <c r="C378">
        <f>C379*(1+G378*3)</f>
        <v>47.623340977824505</v>
      </c>
      <c r="D378">
        <f t="shared" si="10"/>
        <v>38.744549573573387</v>
      </c>
      <c r="F378">
        <v>20011.890625</v>
      </c>
      <c r="G378">
        <f t="shared" si="11"/>
        <v>1.0078119200615632E-2</v>
      </c>
    </row>
    <row r="379" spans="1:7" x14ac:dyDescent="0.25">
      <c r="A379" s="1">
        <v>45474</v>
      </c>
      <c r="B379">
        <v>37.514999389648402</v>
      </c>
      <c r="C379">
        <f>C380*(1+G379*3)</f>
        <v>46.22573555853922</v>
      </c>
      <c r="D379">
        <f t="shared" si="10"/>
        <v>37.62503292755909</v>
      </c>
      <c r="F379">
        <v>19812.220703125</v>
      </c>
      <c r="G379">
        <f t="shared" si="11"/>
        <v>6.571783898772221E-3</v>
      </c>
    </row>
    <row r="380" spans="1:7" x14ac:dyDescent="0.25">
      <c r="A380" s="1">
        <v>45471</v>
      </c>
      <c r="B380">
        <v>36.909999847412102</v>
      </c>
      <c r="C380">
        <f>C381*(1+G380*3)</f>
        <v>45.331999250223895</v>
      </c>
      <c r="D380">
        <f t="shared" ref="D380:D443" si="12">D381*(1+3*G380-0.000479788398685204)</f>
        <v>36.914953012262622</v>
      </c>
      <c r="F380">
        <v>19682.869140625</v>
      </c>
      <c r="G380">
        <f t="shared" si="11"/>
        <v>-5.3645964467172735E-3</v>
      </c>
    </row>
    <row r="381" spans="1:7" x14ac:dyDescent="0.25">
      <c r="A381" s="1">
        <v>45470</v>
      </c>
      <c r="B381">
        <v>37.5</v>
      </c>
      <c r="C381">
        <f>C382*(1+G381*3)</f>
        <v>46.073496395375308</v>
      </c>
      <c r="D381">
        <f t="shared" si="12"/>
        <v>37.537076670550682</v>
      </c>
      <c r="F381">
        <v>19789.029296875</v>
      </c>
      <c r="G381">
        <f t="shared" si="11"/>
        <v>1.9228605123660092E-3</v>
      </c>
    </row>
    <row r="382" spans="1:7" x14ac:dyDescent="0.25">
      <c r="A382" s="1">
        <v>45469</v>
      </c>
      <c r="B382">
        <v>37.2299995422363</v>
      </c>
      <c r="C382">
        <f>C383*(1+G382*3)</f>
        <v>45.809242047471805</v>
      </c>
      <c r="D382">
        <f t="shared" si="12"/>
        <v>37.339595275267733</v>
      </c>
      <c r="F382">
        <v>19751.05078125</v>
      </c>
      <c r="G382">
        <f t="shared" si="11"/>
        <v>2.5338607327327622E-3</v>
      </c>
    </row>
    <row r="383" spans="1:7" x14ac:dyDescent="0.25">
      <c r="A383" s="1">
        <v>45468</v>
      </c>
      <c r="B383">
        <v>37.139999389648402</v>
      </c>
      <c r="C383">
        <f>C384*(1+G383*3)</f>
        <v>45.463646402314787</v>
      </c>
      <c r="D383">
        <f t="shared" si="12"/>
        <v>37.075550847131097</v>
      </c>
      <c r="F383">
        <v>19701.130859375</v>
      </c>
      <c r="G383">
        <f t="shared" si="11"/>
        <v>1.1631124445329322E-2</v>
      </c>
    </row>
    <row r="384" spans="1:7" x14ac:dyDescent="0.25">
      <c r="A384" s="1">
        <v>45467</v>
      </c>
      <c r="B384">
        <v>35.939998626708899</v>
      </c>
      <c r="C384">
        <f>C385*(1+G384*3)</f>
        <v>43.930754195248461</v>
      </c>
      <c r="D384">
        <f t="shared" si="12"/>
        <v>35.842095837689811</v>
      </c>
      <c r="F384">
        <v>19474.619140625</v>
      </c>
      <c r="G384">
        <f t="shared" si="11"/>
        <v>-1.1462214299735707E-2</v>
      </c>
    </row>
    <row r="385" spans="1:7" x14ac:dyDescent="0.25">
      <c r="A385" s="1">
        <v>45464</v>
      </c>
      <c r="B385">
        <v>37.200000762939403</v>
      </c>
      <c r="C385">
        <f>C386*(1+G385*3)</f>
        <v>45.495180728597639</v>
      </c>
      <c r="D385">
        <f t="shared" si="12"/>
        <v>37.136927985925873</v>
      </c>
      <c r="F385">
        <v>19700.4296875</v>
      </c>
      <c r="G385">
        <f t="shared" si="11"/>
        <v>-2.6260785679832477E-3</v>
      </c>
    </row>
    <row r="386" spans="1:7" x14ac:dyDescent="0.25">
      <c r="A386" s="1">
        <v>45463</v>
      </c>
      <c r="B386">
        <v>37.544998168945298</v>
      </c>
      <c r="C386">
        <f>C387*(1+G386*3)</f>
        <v>45.856448639525887</v>
      </c>
      <c r="D386">
        <f t="shared" si="12"/>
        <v>37.449935449051168</v>
      </c>
      <c r="F386">
        <v>19752.30078125</v>
      </c>
      <c r="G386">
        <f t="shared" ref="G386:G449" si="13">F386/F387-1</f>
        <v>-7.8637651108528495E-3</v>
      </c>
    </row>
    <row r="387" spans="1:7" x14ac:dyDescent="0.25">
      <c r="A387" s="1">
        <v>45461</v>
      </c>
      <c r="B387">
        <v>38.450000762939403</v>
      </c>
      <c r="C387">
        <f>C388*(1+G387*3)</f>
        <v>46.964399662070093</v>
      </c>
      <c r="D387">
        <f t="shared" si="12"/>
        <v>38.373630317495397</v>
      </c>
      <c r="F387">
        <v>19908.859375</v>
      </c>
      <c r="G387">
        <f t="shared" si="13"/>
        <v>3.0696134956231802E-4</v>
      </c>
    </row>
    <row r="388" spans="1:7" x14ac:dyDescent="0.25">
      <c r="A388" s="1">
        <v>45460</v>
      </c>
      <c r="B388">
        <v>38.430000305175703</v>
      </c>
      <c r="C388">
        <f>C389*(1+G388*3)</f>
        <v>46.921190686021937</v>
      </c>
      <c r="D388">
        <f t="shared" si="12"/>
        <v>38.356711338975401</v>
      </c>
      <c r="F388">
        <v>19902.75</v>
      </c>
      <c r="G388">
        <f t="shared" si="13"/>
        <v>1.2357664324946116E-2</v>
      </c>
    </row>
    <row r="389" spans="1:7" x14ac:dyDescent="0.25">
      <c r="A389" s="1">
        <v>45457</v>
      </c>
      <c r="B389">
        <v>37.084999084472599</v>
      </c>
      <c r="C389">
        <f>C390*(1+G389*3)</f>
        <v>45.243865189690027</v>
      </c>
      <c r="D389">
        <f t="shared" si="12"/>
        <v>37.002665239985689</v>
      </c>
      <c r="F389">
        <v>19659.80078125</v>
      </c>
      <c r="G389">
        <f t="shared" si="13"/>
        <v>4.2336005717829028E-3</v>
      </c>
    </row>
    <row r="390" spans="1:7" x14ac:dyDescent="0.25">
      <c r="A390" s="1">
        <v>45456</v>
      </c>
      <c r="B390">
        <v>36.555000305175703</v>
      </c>
      <c r="C390">
        <f>C391*(1+G390*3)</f>
        <v>44.676438601662362</v>
      </c>
      <c r="D390">
        <f t="shared" si="12"/>
        <v>36.555914916982424</v>
      </c>
      <c r="F390">
        <v>19576.919921875</v>
      </c>
      <c r="G390">
        <f t="shared" si="13"/>
        <v>5.7405190277670659E-3</v>
      </c>
    </row>
    <row r="391" spans="1:7" x14ac:dyDescent="0.25">
      <c r="A391" s="1">
        <v>45455</v>
      </c>
      <c r="B391">
        <v>35.9799995422363</v>
      </c>
      <c r="C391">
        <f>C392*(1+G391*3)</f>
        <v>43.92006666646347</v>
      </c>
      <c r="D391">
        <f t="shared" si="12"/>
        <v>35.953981672529999</v>
      </c>
      <c r="F391">
        <v>19465.1796875</v>
      </c>
      <c r="G391">
        <f t="shared" si="13"/>
        <v>1.3274212118168149E-2</v>
      </c>
    </row>
    <row r="392" spans="1:7" x14ac:dyDescent="0.25">
      <c r="A392" s="1">
        <v>45454</v>
      </c>
      <c r="B392">
        <v>34.615001678466797</v>
      </c>
      <c r="C392">
        <f>C393*(1+G392*3)</f>
        <v>42.238036690989958</v>
      </c>
      <c r="D392">
        <f t="shared" si="12"/>
        <v>34.592994740132511</v>
      </c>
      <c r="F392">
        <v>19210.1796875</v>
      </c>
      <c r="G392">
        <f t="shared" si="13"/>
        <v>7.1041735547725526E-3</v>
      </c>
    </row>
    <row r="393" spans="1:7" x14ac:dyDescent="0.25">
      <c r="A393" s="1">
        <v>45453</v>
      </c>
      <c r="B393">
        <v>33.915000915527301</v>
      </c>
      <c r="C393">
        <f>C394*(1+G393*3)</f>
        <v>41.356622812688151</v>
      </c>
      <c r="D393">
        <f t="shared" si="12"/>
        <v>33.887035208360672</v>
      </c>
      <c r="F393">
        <v>19074.669921875</v>
      </c>
      <c r="G393">
        <f t="shared" si="13"/>
        <v>3.8798431739532901E-3</v>
      </c>
    </row>
    <row r="394" spans="1:7" x14ac:dyDescent="0.25">
      <c r="A394" s="1">
        <v>45450</v>
      </c>
      <c r="B394">
        <v>33.560001373291001</v>
      </c>
      <c r="C394">
        <f>C395*(1+G394*3)</f>
        <v>40.880789654626184</v>
      </c>
      <c r="D394">
        <f t="shared" si="12"/>
        <v>33.513038375835329</v>
      </c>
      <c r="F394">
        <v>19000.94921875</v>
      </c>
      <c r="G394">
        <f t="shared" si="13"/>
        <v>-1.0640887850299485E-3</v>
      </c>
    </row>
    <row r="395" spans="1:7" x14ac:dyDescent="0.25">
      <c r="A395" s="1">
        <v>45449</v>
      </c>
      <c r="B395">
        <v>33.685001373291001</v>
      </c>
      <c r="C395">
        <f>C396*(1+G395*3)</f>
        <v>41.011709956484978</v>
      </c>
      <c r="D395">
        <f t="shared" si="12"/>
        <v>33.636553642539027</v>
      </c>
      <c r="F395">
        <v>19021.189453125</v>
      </c>
      <c r="G395">
        <f t="shared" si="13"/>
        <v>-7.2820021781361266E-4</v>
      </c>
    </row>
    <row r="396" spans="1:7" x14ac:dyDescent="0.25">
      <c r="A396" s="1">
        <v>45448</v>
      </c>
      <c r="B396">
        <v>33.724998474121001</v>
      </c>
      <c r="C396">
        <f>C397*(1+G396*3)</f>
        <v>41.101500320943508</v>
      </c>
      <c r="D396">
        <f t="shared" si="12"/>
        <v>33.726413930583142</v>
      </c>
      <c r="F396">
        <v>19035.05078125</v>
      </c>
      <c r="G396">
        <f t="shared" si="13"/>
        <v>2.0381356295984698E-2</v>
      </c>
    </row>
    <row r="397" spans="1:7" x14ac:dyDescent="0.25">
      <c r="A397" s="1">
        <v>45447</v>
      </c>
      <c r="B397">
        <v>31.8050003051757</v>
      </c>
      <c r="C397">
        <f>C398*(1+G397*3)</f>
        <v>38.733195167378732</v>
      </c>
      <c r="D397">
        <f t="shared" si="12"/>
        <v>31.797444819227472</v>
      </c>
      <c r="F397">
        <v>18654.83984375</v>
      </c>
      <c r="G397">
        <f t="shared" si="13"/>
        <v>2.8960392167034499E-3</v>
      </c>
    </row>
    <row r="398" spans="1:7" x14ac:dyDescent="0.25">
      <c r="A398" s="1">
        <v>45446</v>
      </c>
      <c r="B398">
        <v>31.569999694824201</v>
      </c>
      <c r="C398">
        <f>C399*(1+G398*3)</f>
        <v>38.399575140840852</v>
      </c>
      <c r="D398">
        <f t="shared" si="12"/>
        <v>31.538565886314831</v>
      </c>
      <c r="F398">
        <v>18600.970703125</v>
      </c>
      <c r="G398">
        <f t="shared" si="13"/>
        <v>3.469899423281575E-3</v>
      </c>
    </row>
    <row r="399" spans="1:7" x14ac:dyDescent="0.25">
      <c r="A399" s="1">
        <v>45443</v>
      </c>
      <c r="B399">
        <v>31.264999389648398</v>
      </c>
      <c r="C399">
        <f>C400*(1+G399*3)</f>
        <v>38.003965328711324</v>
      </c>
      <c r="D399">
        <f t="shared" si="12"/>
        <v>31.228469993861573</v>
      </c>
      <c r="F399">
        <v>18536.650390625</v>
      </c>
      <c r="G399">
        <f t="shared" si="13"/>
        <v>-1.0840943240020273E-4</v>
      </c>
    </row>
    <row r="400" spans="1:7" x14ac:dyDescent="0.25">
      <c r="A400" s="1">
        <v>45442</v>
      </c>
      <c r="B400">
        <v>31.299999237060501</v>
      </c>
      <c r="C400">
        <f>C401*(1+G400*3)</f>
        <v>38.016329314760178</v>
      </c>
      <c r="D400">
        <f t="shared" si="12"/>
        <v>31.253629687567098</v>
      </c>
      <c r="F400">
        <v>18538.66015625</v>
      </c>
      <c r="G400">
        <f t="shared" si="13"/>
        <v>-1.0572262732330806E-2</v>
      </c>
    </row>
    <row r="401" spans="1:7" x14ac:dyDescent="0.25">
      <c r="A401" s="1">
        <v>45441</v>
      </c>
      <c r="B401">
        <v>32.340000152587798</v>
      </c>
      <c r="C401">
        <f>C402*(1+G401*3)</f>
        <v>39.26158054932219</v>
      </c>
      <c r="D401">
        <f t="shared" si="12"/>
        <v>32.293365503533842</v>
      </c>
      <c r="F401">
        <v>18736.75</v>
      </c>
      <c r="G401">
        <f t="shared" si="13"/>
        <v>-7.0319764110970961E-3</v>
      </c>
    </row>
    <row r="402" spans="1:7" x14ac:dyDescent="0.25">
      <c r="A402" s="1">
        <v>45440</v>
      </c>
      <c r="B402">
        <v>33.029998779296797</v>
      </c>
      <c r="C402">
        <f>C403*(1+G402*3)</f>
        <v>40.10768952934405</v>
      </c>
      <c r="D402">
        <f t="shared" si="12"/>
        <v>33.005482473693398</v>
      </c>
      <c r="F402">
        <v>18869.439453125</v>
      </c>
      <c r="G402">
        <f t="shared" si="13"/>
        <v>3.2480172380222605E-3</v>
      </c>
    </row>
    <row r="403" spans="1:7" x14ac:dyDescent="0.25">
      <c r="A403" s="1">
        <v>45436</v>
      </c>
      <c r="B403">
        <v>32.674999237060497</v>
      </c>
      <c r="C403">
        <f>C404*(1+G403*3)</f>
        <v>39.720649466823005</v>
      </c>
      <c r="D403">
        <f t="shared" si="12"/>
        <v>32.702517738289941</v>
      </c>
      <c r="F403">
        <v>18808.349609375</v>
      </c>
      <c r="G403">
        <f t="shared" si="13"/>
        <v>9.931541903369201E-3</v>
      </c>
    </row>
    <row r="404" spans="1:7" x14ac:dyDescent="0.25">
      <c r="A404" s="1">
        <v>45435</v>
      </c>
      <c r="B404">
        <v>31.784999847412099</v>
      </c>
      <c r="C404">
        <f>C405*(1+G404*3)</f>
        <v>38.571428200485258</v>
      </c>
      <c r="D404">
        <f t="shared" si="12"/>
        <v>31.771151597998088</v>
      </c>
      <c r="F404">
        <v>18623.390625</v>
      </c>
      <c r="G404">
        <f t="shared" si="13"/>
        <v>-4.3735751110308696E-3</v>
      </c>
    </row>
    <row r="405" spans="1:7" x14ac:dyDescent="0.25">
      <c r="A405" s="1">
        <v>45434</v>
      </c>
      <c r="B405">
        <v>32.264999389648402</v>
      </c>
      <c r="C405">
        <f>C406*(1+G405*3)</f>
        <v>39.084241802021765</v>
      </c>
      <c r="D405">
        <f t="shared" si="12"/>
        <v>32.209213447784443</v>
      </c>
      <c r="F405">
        <v>18705.19921875</v>
      </c>
      <c r="G405">
        <f t="shared" si="13"/>
        <v>-4.5963738743115545E-4</v>
      </c>
    </row>
    <row r="406" spans="1:7" x14ac:dyDescent="0.25">
      <c r="A406" s="1">
        <v>45433</v>
      </c>
      <c r="B406">
        <v>32.284999847412102</v>
      </c>
      <c r="C406">
        <f>C407*(1+G406*3)</f>
        <v>39.13820995574013</v>
      </c>
      <c r="D406">
        <f t="shared" si="12"/>
        <v>32.26919221345392</v>
      </c>
      <c r="F406">
        <v>18713.80078125</v>
      </c>
      <c r="G406">
        <f t="shared" si="13"/>
        <v>2.1211805858791788E-3</v>
      </c>
    </row>
    <row r="407" spans="1:7" x14ac:dyDescent="0.25">
      <c r="A407" s="1">
        <v>45432</v>
      </c>
      <c r="B407">
        <v>32.119998931884702</v>
      </c>
      <c r="C407">
        <f>C408*(1+G407*3)</f>
        <v>38.890727189286217</v>
      </c>
      <c r="D407">
        <f t="shared" si="12"/>
        <v>32.080438823767906</v>
      </c>
      <c r="F407">
        <v>18674.189453125</v>
      </c>
      <c r="G407">
        <f t="shared" si="13"/>
        <v>6.8994604909395907E-3</v>
      </c>
    </row>
    <row r="408" spans="1:7" x14ac:dyDescent="0.25">
      <c r="A408" s="1">
        <v>45429</v>
      </c>
      <c r="B408">
        <v>31.4699993133544</v>
      </c>
      <c r="C408">
        <f>C409*(1+G408*3)</f>
        <v>38.1020758876572</v>
      </c>
      <c r="D408">
        <f t="shared" si="12"/>
        <v>31.444671800288194</v>
      </c>
      <c r="F408">
        <v>18546.23046875</v>
      </c>
      <c r="G408">
        <f t="shared" si="13"/>
        <v>-6.3209901074290364E-4</v>
      </c>
    </row>
    <row r="409" spans="1:7" x14ac:dyDescent="0.25">
      <c r="A409" s="1">
        <v>45428</v>
      </c>
      <c r="B409">
        <v>31.540000915527301</v>
      </c>
      <c r="C409">
        <f>C410*(1+G409*3)</f>
        <v>38.174466014266969</v>
      </c>
      <c r="D409">
        <f t="shared" si="12"/>
        <v>31.519564979424551</v>
      </c>
      <c r="F409">
        <v>18557.9609375</v>
      </c>
      <c r="G409">
        <f t="shared" si="13"/>
        <v>-2.08045278651392E-3</v>
      </c>
    </row>
    <row r="410" spans="1:7" x14ac:dyDescent="0.25">
      <c r="A410" s="1">
        <v>45427</v>
      </c>
      <c r="B410">
        <v>31.735000610351499</v>
      </c>
      <c r="C410">
        <f>C411*(1+G410*3)</f>
        <v>38.414222945774881</v>
      </c>
      <c r="D410">
        <f t="shared" si="12"/>
        <v>31.732846095085854</v>
      </c>
      <c r="F410">
        <v>18596.650390625</v>
      </c>
      <c r="G410">
        <f t="shared" si="13"/>
        <v>1.494756886549764E-2</v>
      </c>
    </row>
    <row r="411" spans="1:7" x14ac:dyDescent="0.25">
      <c r="A411" s="1">
        <v>45426</v>
      </c>
      <c r="B411">
        <v>30.334999084472599</v>
      </c>
      <c r="C411">
        <f>C412*(1+G411*3)</f>
        <v>36.765555909278163</v>
      </c>
      <c r="D411">
        <f t="shared" si="12"/>
        <v>30.384883972944248</v>
      </c>
      <c r="F411">
        <v>18322.76953125</v>
      </c>
      <c r="G411">
        <f t="shared" si="13"/>
        <v>6.8225079011017264E-3</v>
      </c>
    </row>
    <row r="412" spans="1:7" x14ac:dyDescent="0.25">
      <c r="A412" s="1">
        <v>45425</v>
      </c>
      <c r="B412">
        <v>29.780000686645501</v>
      </c>
      <c r="C412">
        <f>C413*(1+G412*3)</f>
        <v>36.028148917326575</v>
      </c>
      <c r="D412">
        <f t="shared" si="12"/>
        <v>29.789460129017904</v>
      </c>
      <c r="F412">
        <v>18198.609375</v>
      </c>
      <c r="G412">
        <f t="shared" si="13"/>
        <v>2.0609722575324341E-3</v>
      </c>
    </row>
    <row r="413" spans="1:7" x14ac:dyDescent="0.25">
      <c r="A413" s="1">
        <v>45422</v>
      </c>
      <c r="B413">
        <v>29.584999084472599</v>
      </c>
      <c r="C413">
        <f>C414*(1+G413*3)</f>
        <v>35.80675870833646</v>
      </c>
      <c r="D413">
        <f t="shared" si="12"/>
        <v>29.620530441407187</v>
      </c>
      <c r="F413">
        <v>18161.1796875</v>
      </c>
      <c r="G413">
        <f t="shared" si="13"/>
        <v>2.6344358024483761E-3</v>
      </c>
    </row>
    <row r="414" spans="1:7" x14ac:dyDescent="0.25">
      <c r="A414" s="1">
        <v>45421</v>
      </c>
      <c r="B414">
        <v>29.3850002288818</v>
      </c>
      <c r="C414">
        <f>C415*(1+G414*3)</f>
        <v>35.525985920656495</v>
      </c>
      <c r="D414">
        <f t="shared" si="12"/>
        <v>29.402262189148438</v>
      </c>
      <c r="F414">
        <v>18113.4609375</v>
      </c>
      <c r="G414">
        <f t="shared" si="13"/>
        <v>1.5731908494225344E-3</v>
      </c>
    </row>
    <row r="415" spans="1:7" x14ac:dyDescent="0.25">
      <c r="A415" s="1">
        <v>45420</v>
      </c>
      <c r="B415">
        <v>29.225000381469702</v>
      </c>
      <c r="C415">
        <f>C416*(1+G415*3)</f>
        <v>35.359106054390907</v>
      </c>
      <c r="D415">
        <f t="shared" si="12"/>
        <v>29.278129240863596</v>
      </c>
      <c r="F415">
        <v>18085.009765625</v>
      </c>
      <c r="G415">
        <f t="shared" si="13"/>
        <v>-3.5593904319874969E-4</v>
      </c>
    </row>
    <row r="416" spans="1:7" x14ac:dyDescent="0.25">
      <c r="A416" s="1">
        <v>45419</v>
      </c>
      <c r="B416">
        <v>29.280000686645501</v>
      </c>
      <c r="C416">
        <f>C417*(1+G416*3)</f>
        <v>35.396903474255382</v>
      </c>
      <c r="D416">
        <f t="shared" si="12"/>
        <v>29.323510467772138</v>
      </c>
      <c r="F416">
        <v>18091.44921875</v>
      </c>
      <c r="G416">
        <f t="shared" si="13"/>
        <v>-1.1722914346734559E-4</v>
      </c>
    </row>
    <row r="417" spans="1:7" x14ac:dyDescent="0.25">
      <c r="A417" s="1">
        <v>45418</v>
      </c>
      <c r="B417">
        <v>29.280000686645501</v>
      </c>
      <c r="C417">
        <f>C418*(1+G417*3)</f>
        <v>35.409356499855008</v>
      </c>
      <c r="D417">
        <f t="shared" si="12"/>
        <v>29.34791254768971</v>
      </c>
      <c r="F417">
        <v>18093.5703125</v>
      </c>
      <c r="G417">
        <f t="shared" si="13"/>
        <v>1.1333731437136452E-2</v>
      </c>
    </row>
    <row r="418" spans="1:7" x14ac:dyDescent="0.25">
      <c r="A418" s="1">
        <v>45415</v>
      </c>
      <c r="B418">
        <v>28.350000381469702</v>
      </c>
      <c r="C418">
        <f>C419*(1+G418*3)</f>
        <v>34.244986074156117</v>
      </c>
      <c r="D418">
        <f t="shared" si="12"/>
        <v>28.396037450014845</v>
      </c>
      <c r="F418">
        <v>17890.80078125</v>
      </c>
      <c r="G418">
        <f t="shared" si="13"/>
        <v>1.9910551605853533E-2</v>
      </c>
    </row>
    <row r="419" spans="1:7" x14ac:dyDescent="0.25">
      <c r="A419" s="1">
        <v>45414</v>
      </c>
      <c r="B419">
        <v>26.754999160766602</v>
      </c>
      <c r="C419">
        <f>C420*(1+G419*3)</f>
        <v>32.314771308828746</v>
      </c>
      <c r="D419">
        <f t="shared" si="12"/>
        <v>26.807635039640122</v>
      </c>
      <c r="F419">
        <v>17541.5390625</v>
      </c>
      <c r="G419">
        <f t="shared" si="13"/>
        <v>1.287568943074735E-2</v>
      </c>
    </row>
    <row r="420" spans="1:7" x14ac:dyDescent="0.25">
      <c r="A420" s="1">
        <v>45413</v>
      </c>
      <c r="B420">
        <v>25.799999237060501</v>
      </c>
      <c r="C420">
        <f>C421*(1+G420*3)</f>
        <v>31.112968547952601</v>
      </c>
      <c r="D420">
        <f t="shared" si="12"/>
        <v>25.822574078688291</v>
      </c>
      <c r="F420">
        <v>17318.55078125</v>
      </c>
      <c r="G420">
        <f t="shared" si="13"/>
        <v>-7.0030873609251421E-3</v>
      </c>
    </row>
    <row r="421" spans="1:7" x14ac:dyDescent="0.25">
      <c r="A421" s="1">
        <v>45412</v>
      </c>
      <c r="B421">
        <v>26.370000839233398</v>
      </c>
      <c r="C421">
        <f>C422*(1+G421*3)</f>
        <v>31.780656693590966</v>
      </c>
      <c r="D421">
        <f t="shared" si="12"/>
        <v>26.389662876428595</v>
      </c>
      <c r="F421">
        <v>17440.689453125</v>
      </c>
      <c r="G421">
        <f t="shared" si="13"/>
        <v>-1.9233910024796907E-2</v>
      </c>
    </row>
    <row r="422" spans="1:7" x14ac:dyDescent="0.25">
      <c r="A422" s="1">
        <v>45411</v>
      </c>
      <c r="B422">
        <v>27.9699993133544</v>
      </c>
      <c r="C422">
        <f>C423*(1+G422*3)</f>
        <v>33.726748427650115</v>
      </c>
      <c r="D422">
        <f t="shared" si="12"/>
        <v>28.019903403938656</v>
      </c>
      <c r="F422">
        <v>17782.720703125</v>
      </c>
      <c r="G422">
        <f t="shared" si="13"/>
        <v>3.6357844169330189E-3</v>
      </c>
    </row>
    <row r="423" spans="1:7" x14ac:dyDescent="0.25">
      <c r="A423" s="1">
        <v>45408</v>
      </c>
      <c r="B423">
        <v>27.639999389648398</v>
      </c>
      <c r="C423">
        <f>C424*(1+G423*3)</f>
        <v>33.362848058424149</v>
      </c>
      <c r="D423">
        <f t="shared" si="12"/>
        <v>27.730739321269056</v>
      </c>
      <c r="F423">
        <v>17718.30078125</v>
      </c>
      <c r="G423">
        <f t="shared" si="13"/>
        <v>1.6511332506239151E-2</v>
      </c>
    </row>
    <row r="424" spans="1:7" x14ac:dyDescent="0.25">
      <c r="A424" s="1">
        <v>45407</v>
      </c>
      <c r="B424">
        <v>26.424999237060501</v>
      </c>
      <c r="C424">
        <f>C425*(1+G424*3)</f>
        <v>31.788249010798864</v>
      </c>
      <c r="D424">
        <f t="shared" si="12"/>
        <v>26.43403847026185</v>
      </c>
      <c r="F424">
        <v>17430.5</v>
      </c>
      <c r="G424">
        <f t="shared" si="13"/>
        <v>-5.4944871258547634E-3</v>
      </c>
    </row>
    <row r="425" spans="1:7" x14ac:dyDescent="0.25">
      <c r="A425" s="1">
        <v>45406</v>
      </c>
      <c r="B425">
        <v>26.8549995422363</v>
      </c>
      <c r="C425">
        <f>C426*(1+G425*3)</f>
        <v>32.321011149769923</v>
      </c>
      <c r="D425">
        <f t="shared" si="12"/>
        <v>26.890183367249655</v>
      </c>
      <c r="F425">
        <v>17526.80078125</v>
      </c>
      <c r="G425">
        <f t="shared" si="13"/>
        <v>3.1668815445000664E-3</v>
      </c>
    </row>
    <row r="426" spans="1:7" x14ac:dyDescent="0.25">
      <c r="A426" s="1">
        <v>45405</v>
      </c>
      <c r="B426">
        <v>26.5949993133544</v>
      </c>
      <c r="C426">
        <f>C427*(1+G426*3)</f>
        <v>32.016830619760611</v>
      </c>
      <c r="D426">
        <f t="shared" si="12"/>
        <v>26.64977953735367</v>
      </c>
      <c r="F426">
        <v>17471.470703125</v>
      </c>
      <c r="G426">
        <f t="shared" si="13"/>
        <v>1.5140417994783384E-2</v>
      </c>
    </row>
    <row r="427" spans="1:7" x14ac:dyDescent="0.25">
      <c r="A427" s="1">
        <v>45404</v>
      </c>
      <c r="B427">
        <v>25.459999084472599</v>
      </c>
      <c r="C427">
        <f>C428*(1+G427*3)</f>
        <v>30.625769753328452</v>
      </c>
      <c r="D427">
        <f t="shared" si="12"/>
        <v>25.503609929401257</v>
      </c>
      <c r="F427">
        <v>17210.890625</v>
      </c>
      <c r="G427">
        <f t="shared" si="13"/>
        <v>1.0168082476344598E-2</v>
      </c>
    </row>
    <row r="428" spans="1:7" x14ac:dyDescent="0.25">
      <c r="A428" s="1">
        <v>45401</v>
      </c>
      <c r="B428">
        <v>24.7399997711181</v>
      </c>
      <c r="C428">
        <f>C429*(1+G428*3)</f>
        <v>29.719207688600537</v>
      </c>
      <c r="D428">
        <f t="shared" si="12"/>
        <v>24.760198367920328</v>
      </c>
      <c r="F428">
        <v>17037.650390625</v>
      </c>
      <c r="G428">
        <f t="shared" si="13"/>
        <v>-2.0504414664142989E-2</v>
      </c>
    </row>
    <row r="429" spans="1:7" x14ac:dyDescent="0.25">
      <c r="A429" s="1">
        <v>45400</v>
      </c>
      <c r="B429">
        <v>26.375</v>
      </c>
      <c r="C429">
        <f>C430*(1+G429*3)</f>
        <v>31.667157259660662</v>
      </c>
      <c r="D429">
        <f t="shared" si="12"/>
        <v>26.396603887748959</v>
      </c>
      <c r="F429">
        <v>17394.310546875</v>
      </c>
      <c r="G429">
        <f t="shared" si="13"/>
        <v>-5.6768466805920959E-3</v>
      </c>
    </row>
    <row r="430" spans="1:7" x14ac:dyDescent="0.25">
      <c r="A430" s="1">
        <v>45399</v>
      </c>
      <c r="B430">
        <v>26.8549995422363</v>
      </c>
      <c r="C430">
        <f>C431*(1+G430*3)</f>
        <v>32.215809900143306</v>
      </c>
      <c r="D430">
        <f t="shared" si="12"/>
        <v>26.86705484226491</v>
      </c>
      <c r="F430">
        <v>17493.619140625</v>
      </c>
      <c r="G430">
        <f t="shared" si="13"/>
        <v>-1.2422108908268892E-2</v>
      </c>
    </row>
    <row r="431" spans="1:7" x14ac:dyDescent="0.25">
      <c r="A431" s="1">
        <v>45398</v>
      </c>
      <c r="B431">
        <v>27.889999389648398</v>
      </c>
      <c r="C431">
        <f>C432*(1+G431*3)</f>
        <v>33.462847300797129</v>
      </c>
      <c r="D431">
        <f t="shared" si="12"/>
        <v>27.920962715274381</v>
      </c>
      <c r="F431">
        <v>17713.66015625</v>
      </c>
      <c r="G431">
        <f t="shared" si="13"/>
        <v>3.8573127402607987E-4</v>
      </c>
    </row>
    <row r="432" spans="1:7" x14ac:dyDescent="0.25">
      <c r="A432" s="1">
        <v>45397</v>
      </c>
      <c r="B432">
        <v>27.8850002288818</v>
      </c>
      <c r="C432">
        <f>C433*(1+G432*3)</f>
        <v>33.424169058854126</v>
      </c>
      <c r="D432">
        <f t="shared" si="12"/>
        <v>27.902061707349972</v>
      </c>
      <c r="F432">
        <v>17706.830078125</v>
      </c>
      <c r="G432">
        <f t="shared" si="13"/>
        <v>-1.6477924690600942E-2</v>
      </c>
    </row>
    <row r="433" spans="1:7" x14ac:dyDescent="0.25">
      <c r="A433" s="1">
        <v>45394</v>
      </c>
      <c r="B433">
        <v>29.360000610351499</v>
      </c>
      <c r="C433">
        <f>C434*(1+G433*3)</f>
        <v>35.16237811438809</v>
      </c>
      <c r="D433">
        <f t="shared" si="12"/>
        <v>29.367919175757383</v>
      </c>
      <c r="F433">
        <v>18003.490234375</v>
      </c>
      <c r="G433">
        <f t="shared" si="13"/>
        <v>-1.6631557745800274E-2</v>
      </c>
    </row>
    <row r="434" spans="1:7" x14ac:dyDescent="0.25">
      <c r="A434" s="1">
        <v>45393</v>
      </c>
      <c r="B434">
        <v>30.850000381469702</v>
      </c>
      <c r="C434">
        <f>C435*(1+G434*3)</f>
        <v>37.00892640419228</v>
      </c>
      <c r="D434">
        <f t="shared" si="12"/>
        <v>30.925789155117538</v>
      </c>
      <c r="F434">
        <v>18307.98046875</v>
      </c>
      <c r="G434">
        <f t="shared" si="13"/>
        <v>1.6451582470990544E-2</v>
      </c>
    </row>
    <row r="435" spans="1:7" x14ac:dyDescent="0.25">
      <c r="A435" s="1">
        <v>45392</v>
      </c>
      <c r="B435">
        <v>29.465000152587798</v>
      </c>
      <c r="C435">
        <f>C436*(1+G435*3)</f>
        <v>35.268269853862378</v>
      </c>
      <c r="D435">
        <f t="shared" si="12"/>
        <v>29.484724455793117</v>
      </c>
      <c r="F435">
        <v>18011.66015625</v>
      </c>
      <c r="G435">
        <f t="shared" si="13"/>
        <v>-8.7089214014979266E-3</v>
      </c>
    </row>
    <row r="436" spans="1:7" x14ac:dyDescent="0.25">
      <c r="A436" s="1">
        <v>45391</v>
      </c>
      <c r="B436">
        <v>30.2600002288818</v>
      </c>
      <c r="C436">
        <f>C437*(1+G436*3)</f>
        <v>36.214435880921982</v>
      </c>
      <c r="D436">
        <f t="shared" si="12"/>
        <v>30.290654343980961</v>
      </c>
      <c r="F436">
        <v>18169.900390625</v>
      </c>
      <c r="G436">
        <f t="shared" si="13"/>
        <v>3.8513926984318214E-3</v>
      </c>
    </row>
    <row r="437" spans="1:7" x14ac:dyDescent="0.25">
      <c r="A437" s="1">
        <v>45390</v>
      </c>
      <c r="B437">
        <v>29.9500007629394</v>
      </c>
      <c r="C437">
        <f>C438*(1+G437*3)</f>
        <v>35.800787209551054</v>
      </c>
      <c r="D437">
        <f t="shared" si="12"/>
        <v>29.958878053542801</v>
      </c>
      <c r="F437">
        <v>18100.189453125</v>
      </c>
      <c r="G437">
        <f t="shared" si="13"/>
        <v>-4.5677456541159955E-4</v>
      </c>
    </row>
    <row r="438" spans="1:7" x14ac:dyDescent="0.25">
      <c r="A438" s="1">
        <v>45387</v>
      </c>
      <c r="B438">
        <v>29.9300003051757</v>
      </c>
      <c r="C438">
        <f>C439*(1+G438*3)</f>
        <v>35.849913195110275</v>
      </c>
      <c r="D438">
        <f t="shared" si="12"/>
        <v>30.014408072940412</v>
      </c>
      <c r="F438">
        <v>18108.4609375</v>
      </c>
      <c r="G438">
        <f t="shared" si="13"/>
        <v>1.284660640478652E-2</v>
      </c>
    </row>
    <row r="439" spans="1:7" x14ac:dyDescent="0.25">
      <c r="A439" s="1">
        <v>45386</v>
      </c>
      <c r="B439">
        <v>28.909999847412099</v>
      </c>
      <c r="C439">
        <f>C440*(1+G439*3)</f>
        <v>34.519536499072537</v>
      </c>
      <c r="D439">
        <f t="shared" si="12"/>
        <v>28.913942529273619</v>
      </c>
      <c r="F439">
        <v>17878.779296875</v>
      </c>
      <c r="G439">
        <f t="shared" si="13"/>
        <v>-1.549599231750165E-2</v>
      </c>
    </row>
    <row r="440" spans="1:7" x14ac:dyDescent="0.25">
      <c r="A440" s="1">
        <v>45385</v>
      </c>
      <c r="B440">
        <v>30.340000152587798</v>
      </c>
      <c r="C440">
        <f>C441*(1+G440*3)</f>
        <v>36.202518337152732</v>
      </c>
      <c r="D440">
        <f t="shared" si="12"/>
        <v>30.338892513880541</v>
      </c>
      <c r="F440">
        <v>18160.189453125</v>
      </c>
      <c r="G440">
        <f t="shared" si="13"/>
        <v>2.119557667089822E-3</v>
      </c>
    </row>
    <row r="441" spans="1:7" x14ac:dyDescent="0.25">
      <c r="A441" s="1">
        <v>45384</v>
      </c>
      <c r="B441">
        <v>30.139999389648398</v>
      </c>
      <c r="C441">
        <f>C442*(1+G441*3)</f>
        <v>35.973772878794541</v>
      </c>
      <c r="D441">
        <f t="shared" si="12"/>
        <v>30.161576088623455</v>
      </c>
      <c r="F441">
        <v>18121.779296875</v>
      </c>
      <c r="G441">
        <f t="shared" si="13"/>
        <v>-9.3706912511671847E-3</v>
      </c>
    </row>
    <row r="442" spans="1:7" x14ac:dyDescent="0.25">
      <c r="A442" s="1">
        <v>45383</v>
      </c>
      <c r="B442">
        <v>30.9699993133544</v>
      </c>
      <c r="C442">
        <f>C443*(1+G442*3)</f>
        <v>37.014322235412322</v>
      </c>
      <c r="D442">
        <f t="shared" si="12"/>
        <v>31.049334377049199</v>
      </c>
      <c r="F442">
        <v>18293.19921875</v>
      </c>
      <c r="G442">
        <f t="shared" si="13"/>
        <v>2.1095820733563198E-3</v>
      </c>
    </row>
    <row r="443" spans="1:7" x14ac:dyDescent="0.25">
      <c r="A443" s="1">
        <v>45379</v>
      </c>
      <c r="B443">
        <v>30.780000686645501</v>
      </c>
      <c r="C443">
        <f>C444*(1+G443*3)</f>
        <v>36.781541195602344</v>
      </c>
      <c r="D443">
        <f t="shared" si="12"/>
        <v>30.86878416049705</v>
      </c>
      <c r="F443">
        <v>18254.689453125</v>
      </c>
      <c r="G443">
        <f t="shared" si="13"/>
        <v>-1.4304808120695345E-3</v>
      </c>
    </row>
    <row r="444" spans="1:7" x14ac:dyDescent="0.25">
      <c r="A444" s="1">
        <v>45378</v>
      </c>
      <c r="B444">
        <v>30.975000381469702</v>
      </c>
      <c r="C444">
        <f>C445*(1+G444*3)</f>
        <v>36.940067368303083</v>
      </c>
      <c r="D444">
        <f t="shared" ref="D444:D501" si="14">D445*(1+3*G444-0.000479788398685204)</f>
        <v>31.016772341089741</v>
      </c>
      <c r="F444">
        <v>18280.83984375</v>
      </c>
      <c r="G444">
        <f t="shared" si="13"/>
        <v>3.8604448231172039E-3</v>
      </c>
    </row>
    <row r="445" spans="1:7" x14ac:dyDescent="0.25">
      <c r="A445" s="1">
        <v>45377</v>
      </c>
      <c r="B445">
        <v>30.704999923706001</v>
      </c>
      <c r="C445">
        <f>C446*(1+G445*3)</f>
        <v>36.517150039824379</v>
      </c>
      <c r="D445">
        <f t="shared" si="14"/>
        <v>30.676218883876537</v>
      </c>
      <c r="F445">
        <v>18210.5390625</v>
      </c>
      <c r="G445">
        <f t="shared" si="13"/>
        <v>-3.6396161299785401E-3</v>
      </c>
    </row>
    <row r="446" spans="1:7" x14ac:dyDescent="0.25">
      <c r="A446" s="1">
        <v>45376</v>
      </c>
      <c r="B446">
        <v>30.995000839233398</v>
      </c>
      <c r="C446">
        <f>C447*(1+G446*3)</f>
        <v>36.920276946315632</v>
      </c>
      <c r="D446">
        <f t="shared" si="14"/>
        <v>31.029917644689167</v>
      </c>
      <c r="F446">
        <v>18277.060546875</v>
      </c>
      <c r="G446">
        <f t="shared" si="13"/>
        <v>-3.4013529371733631E-3</v>
      </c>
    </row>
    <row r="447" spans="1:7" x14ac:dyDescent="0.25">
      <c r="A447" s="1">
        <v>45373</v>
      </c>
      <c r="B447">
        <v>31.315000534057599</v>
      </c>
      <c r="C447">
        <f>C448*(1+G447*3)</f>
        <v>37.300897498108817</v>
      </c>
      <c r="D447">
        <f t="shared" si="14"/>
        <v>31.365016690758775</v>
      </c>
      <c r="F447">
        <v>18339.439453125</v>
      </c>
      <c r="G447">
        <f t="shared" si="13"/>
        <v>1.0402946257663803E-3</v>
      </c>
    </row>
    <row r="448" spans="1:7" x14ac:dyDescent="0.25">
      <c r="A448" s="1">
        <v>45372</v>
      </c>
      <c r="B448">
        <v>31.25</v>
      </c>
      <c r="C448">
        <f>C449*(1+G448*3)</f>
        <v>37.184847905799785</v>
      </c>
      <c r="D448">
        <f t="shared" si="14"/>
        <v>31.282396893762449</v>
      </c>
      <c r="F448">
        <v>18320.380859375</v>
      </c>
      <c r="G448">
        <f t="shared" si="13"/>
        <v>4.4008225348155516E-3</v>
      </c>
    </row>
    <row r="449" spans="1:7" x14ac:dyDescent="0.25">
      <c r="A449" s="1">
        <v>45371</v>
      </c>
      <c r="B449">
        <v>30.850000381469702</v>
      </c>
      <c r="C449">
        <f>C450*(1+G449*3)</f>
        <v>36.700313209577295</v>
      </c>
      <c r="D449">
        <f t="shared" si="14"/>
        <v>30.889400954559445</v>
      </c>
      <c r="F449">
        <v>18240.109375</v>
      </c>
      <c r="G449">
        <f t="shared" si="13"/>
        <v>1.1529938956853059E-2</v>
      </c>
    </row>
    <row r="450" spans="1:7" x14ac:dyDescent="0.25">
      <c r="A450" s="1">
        <v>45370</v>
      </c>
      <c r="B450">
        <v>29.899999618530199</v>
      </c>
      <c r="C450">
        <f>C451*(1+G450*3)</f>
        <v>35.473298316997635</v>
      </c>
      <c r="D450">
        <f t="shared" si="14"/>
        <v>29.870516776832112</v>
      </c>
      <c r="F450">
        <v>18032.19921875</v>
      </c>
      <c r="G450">
        <f t="shared" ref="G450:G513" si="15">F450/F451-1</f>
        <v>2.6238213790239495E-3</v>
      </c>
    </row>
    <row r="451" spans="1:7" x14ac:dyDescent="0.25">
      <c r="A451" s="1">
        <v>45369</v>
      </c>
      <c r="B451">
        <v>29.694999694824201</v>
      </c>
      <c r="C451">
        <f>C452*(1+G451*3)</f>
        <v>35.19625227942084</v>
      </c>
      <c r="D451">
        <f t="shared" si="14"/>
        <v>29.651343659295133</v>
      </c>
      <c r="F451">
        <v>17985.009765625</v>
      </c>
      <c r="G451">
        <f t="shared" si="15"/>
        <v>9.9257235059593274E-3</v>
      </c>
    </row>
    <row r="452" spans="1:7" x14ac:dyDescent="0.25">
      <c r="A452" s="1">
        <v>45366</v>
      </c>
      <c r="B452">
        <v>28.879999160766602</v>
      </c>
      <c r="C452">
        <f>C453*(1+G452*3)</f>
        <v>34.178512873538011</v>
      </c>
      <c r="D452">
        <f t="shared" si="14"/>
        <v>28.807363328027488</v>
      </c>
      <c r="F452">
        <v>17808.25</v>
      </c>
      <c r="G452">
        <f t="shared" si="15"/>
        <v>-1.1466151494489707E-2</v>
      </c>
    </row>
    <row r="453" spans="1:7" x14ac:dyDescent="0.25">
      <c r="A453" s="1">
        <v>45365</v>
      </c>
      <c r="B453">
        <v>29.975000381469702</v>
      </c>
      <c r="C453">
        <f>C454*(1+G453*3)</f>
        <v>35.39608343859355</v>
      </c>
      <c r="D453">
        <f t="shared" si="14"/>
        <v>29.848423906694688</v>
      </c>
      <c r="F453">
        <v>18014.810546875</v>
      </c>
      <c r="G453">
        <f t="shared" si="15"/>
        <v>-2.9698227997081439E-3</v>
      </c>
    </row>
    <row r="454" spans="1:7" x14ac:dyDescent="0.25">
      <c r="A454" s="1">
        <v>45364</v>
      </c>
      <c r="B454">
        <v>30.2199993133544</v>
      </c>
      <c r="C454">
        <f>C455*(1+G454*3)</f>
        <v>35.714278675853592</v>
      </c>
      <c r="D454">
        <f t="shared" si="14"/>
        <v>30.131334746288353</v>
      </c>
      <c r="F454">
        <v>18068.470703125</v>
      </c>
      <c r="G454">
        <f t="shared" si="15"/>
        <v>-8.2681688097061556E-3</v>
      </c>
    </row>
    <row r="455" spans="1:7" x14ac:dyDescent="0.25">
      <c r="A455" s="1">
        <v>45363</v>
      </c>
      <c r="B455">
        <v>30.940000534057599</v>
      </c>
      <c r="C455">
        <f>C456*(1+G455*3)</f>
        <v>36.622686334489011</v>
      </c>
      <c r="D455">
        <f t="shared" si="14"/>
        <v>30.912946807361905</v>
      </c>
      <c r="F455">
        <v>18219.109375</v>
      </c>
      <c r="G455">
        <f t="shared" si="15"/>
        <v>1.4896643715527791E-2</v>
      </c>
    </row>
    <row r="456" spans="1:7" x14ac:dyDescent="0.25">
      <c r="A456" s="1">
        <v>45362</v>
      </c>
      <c r="B456">
        <v>29.6800003051757</v>
      </c>
      <c r="C456">
        <f>C457*(1+G456*3)</f>
        <v>35.056034563570783</v>
      </c>
      <c r="D456">
        <f t="shared" si="14"/>
        <v>29.604143401645889</v>
      </c>
      <c r="F456">
        <v>17951.689453125</v>
      </c>
      <c r="G456">
        <f t="shared" si="15"/>
        <v>-3.7050783235845763E-3</v>
      </c>
    </row>
    <row r="457" spans="1:7" x14ac:dyDescent="0.25">
      <c r="A457" s="1">
        <v>45359</v>
      </c>
      <c r="B457">
        <v>30.030000686645501</v>
      </c>
      <c r="C457">
        <f>C458*(1+G457*3)</f>
        <v>35.450070426086505</v>
      </c>
      <c r="D457">
        <f t="shared" si="14"/>
        <v>29.951430943382547</v>
      </c>
      <c r="F457">
        <v>18018.44921875</v>
      </c>
      <c r="G457">
        <f t="shared" si="15"/>
        <v>-1.5277143120332903E-2</v>
      </c>
    </row>
    <row r="458" spans="1:7" x14ac:dyDescent="0.25">
      <c r="A458" s="1">
        <v>45358</v>
      </c>
      <c r="B458">
        <v>31.405000686645501</v>
      </c>
      <c r="C458">
        <f>C459*(1+G458*3)</f>
        <v>37.152838101076618</v>
      </c>
      <c r="D458">
        <f t="shared" si="14"/>
        <v>31.405875272039438</v>
      </c>
      <c r="F458">
        <v>18297.990234375</v>
      </c>
      <c r="G458">
        <f t="shared" si="15"/>
        <v>1.5563692385340833E-2</v>
      </c>
    </row>
    <row r="459" spans="1:7" x14ac:dyDescent="0.25">
      <c r="A459" s="1">
        <v>45357</v>
      </c>
      <c r="B459">
        <v>30.065000534057599</v>
      </c>
      <c r="C459">
        <f>C460*(1+G459*3)</f>
        <v>35.495514304015146</v>
      </c>
      <c r="D459">
        <f t="shared" si="14"/>
        <v>30.018673674743582</v>
      </c>
      <c r="F459">
        <v>18017.5703125</v>
      </c>
      <c r="G459">
        <f t="shared" si="15"/>
        <v>6.6880124630757098E-3</v>
      </c>
    </row>
    <row r="460" spans="1:7" x14ac:dyDescent="0.25">
      <c r="A460" s="1">
        <v>45356</v>
      </c>
      <c r="B460">
        <v>29.520000457763601</v>
      </c>
      <c r="C460">
        <f>C461*(1+G460*3)</f>
        <v>34.797339189471963</v>
      </c>
      <c r="D460">
        <f t="shared" si="14"/>
        <v>29.442072790418365</v>
      </c>
      <c r="F460">
        <v>17897.869140625</v>
      </c>
      <c r="G460">
        <f t="shared" si="15"/>
        <v>-1.8029335322769402E-2</v>
      </c>
    </row>
    <row r="461" spans="1:7" x14ac:dyDescent="0.25">
      <c r="A461" s="1">
        <v>45355</v>
      </c>
      <c r="B461">
        <v>31.190000534057599</v>
      </c>
      <c r="C461">
        <f>C462*(1+G461*3)</f>
        <v>36.78707893443427</v>
      </c>
      <c r="D461">
        <f t="shared" si="14"/>
        <v>31.141389742171583</v>
      </c>
      <c r="F461">
        <v>18226.48046875</v>
      </c>
      <c r="G461">
        <f t="shared" si="15"/>
        <v>-4.1758215959936118E-3</v>
      </c>
    </row>
    <row r="462" spans="1:7" x14ac:dyDescent="0.25">
      <c r="A462" s="1">
        <v>45352</v>
      </c>
      <c r="B462">
        <v>31.565000534057599</v>
      </c>
      <c r="C462">
        <f>C463*(1+G462*3)</f>
        <v>37.253774279945674</v>
      </c>
      <c r="D462">
        <f t="shared" si="14"/>
        <v>31.551791887748525</v>
      </c>
      <c r="F462">
        <v>18302.91015625</v>
      </c>
      <c r="G462">
        <f t="shared" si="15"/>
        <v>1.4357276993729684E-2</v>
      </c>
    </row>
    <row r="463" spans="1:7" x14ac:dyDescent="0.25">
      <c r="A463" s="1">
        <v>45351</v>
      </c>
      <c r="B463">
        <v>30.1800003051757</v>
      </c>
      <c r="C463">
        <f>C464*(1+G463*3)</f>
        <v>35.715444683135651</v>
      </c>
      <c r="D463">
        <f t="shared" si="14"/>
        <v>30.262835892737712</v>
      </c>
      <c r="F463">
        <v>18043.849609375</v>
      </c>
      <c r="G463">
        <f t="shared" si="15"/>
        <v>9.4743690382947943E-3</v>
      </c>
    </row>
    <row r="464" spans="1:7" x14ac:dyDescent="0.25">
      <c r="A464" s="1">
        <v>45350</v>
      </c>
      <c r="B464">
        <v>29.4699993133544</v>
      </c>
      <c r="C464">
        <f>C465*(1+G464*3)</f>
        <v>34.728356875732764</v>
      </c>
      <c r="D464">
        <f t="shared" si="14"/>
        <v>29.440179571898028</v>
      </c>
      <c r="F464">
        <v>17874.5</v>
      </c>
      <c r="G464">
        <f t="shared" si="15"/>
        <v>-5.3725729466379546E-3</v>
      </c>
    </row>
    <row r="465" spans="1:7" x14ac:dyDescent="0.25">
      <c r="A465" s="1">
        <v>45349</v>
      </c>
      <c r="B465">
        <v>29.954999923706001</v>
      </c>
      <c r="C465">
        <f>C466*(1+G465*3)</f>
        <v>35.297268322369717</v>
      </c>
      <c r="D465">
        <f t="shared" si="14"/>
        <v>29.937060144346191</v>
      </c>
      <c r="F465">
        <v>17971.05078125</v>
      </c>
      <c r="G465">
        <f t="shared" si="15"/>
        <v>2.1033853144214465E-3</v>
      </c>
    </row>
    <row r="466" spans="1:7" x14ac:dyDescent="0.25">
      <c r="A466" s="1">
        <v>45348</v>
      </c>
      <c r="B466">
        <v>29.770000457763601</v>
      </c>
      <c r="C466">
        <f>C467*(1+G466*3)</f>
        <v>35.075933710798971</v>
      </c>
      <c r="D466">
        <f t="shared" si="14"/>
        <v>29.763527837629496</v>
      </c>
      <c r="F466">
        <v>17933.330078125</v>
      </c>
      <c r="G466">
        <f t="shared" si="15"/>
        <v>-2.3856561850232882E-4</v>
      </c>
    </row>
    <row r="467" spans="1:7" x14ac:dyDescent="0.25">
      <c r="A467" s="1">
        <v>45345</v>
      </c>
      <c r="B467">
        <v>29.809999465942301</v>
      </c>
      <c r="C467">
        <f>C468*(1+G467*3)</f>
        <v>35.10105542579219</v>
      </c>
      <c r="D467">
        <f t="shared" si="14"/>
        <v>29.799152284773371</v>
      </c>
      <c r="F467">
        <v>17937.609375</v>
      </c>
      <c r="G467">
        <f t="shared" si="15"/>
        <v>-3.7262407405358466E-3</v>
      </c>
    </row>
    <row r="468" spans="1:7" x14ac:dyDescent="0.25">
      <c r="A468" s="1">
        <v>45344</v>
      </c>
      <c r="B468">
        <v>30.084999084472599</v>
      </c>
      <c r="C468">
        <f>C469*(1+G468*3)</f>
        <v>35.4978763246828</v>
      </c>
      <c r="D468">
        <f t="shared" si="14"/>
        <v>30.150664122656238</v>
      </c>
      <c r="F468">
        <v>18004.69921875</v>
      </c>
      <c r="G468">
        <f t="shared" si="15"/>
        <v>3.0081341330769007E-2</v>
      </c>
    </row>
    <row r="469" spans="1:7" x14ac:dyDescent="0.25">
      <c r="A469" s="1">
        <v>45343</v>
      </c>
      <c r="B469">
        <v>27.690000534057599</v>
      </c>
      <c r="C469">
        <f>C470*(1+G469*3)</f>
        <v>32.559569732558586</v>
      </c>
      <c r="D469">
        <f t="shared" si="14"/>
        <v>27.667144082988202</v>
      </c>
      <c r="F469">
        <v>17478.91015625</v>
      </c>
      <c r="G469">
        <f t="shared" si="15"/>
        <v>-3.829309910511447E-3</v>
      </c>
    </row>
    <row r="470" spans="1:7" x14ac:dyDescent="0.25">
      <c r="A470" s="1">
        <v>45342</v>
      </c>
      <c r="B470">
        <v>28.040000915527301</v>
      </c>
      <c r="C470">
        <f>C471*(1+G470*3)</f>
        <v>32.937958687460309</v>
      </c>
      <c r="D470">
        <f t="shared" si="14"/>
        <v>28.002267325344988</v>
      </c>
      <c r="F470">
        <v>17546.099609375</v>
      </c>
      <c r="G470">
        <f t="shared" si="15"/>
        <v>-7.9091379537685746E-3</v>
      </c>
    </row>
    <row r="471" spans="1:7" x14ac:dyDescent="0.25">
      <c r="A471" s="1">
        <v>45338</v>
      </c>
      <c r="B471">
        <v>28.704999923706001</v>
      </c>
      <c r="C471">
        <f>C472*(1+G471*3)</f>
        <v>33.738485700735403</v>
      </c>
      <c r="D471">
        <f t="shared" si="14"/>
        <v>28.696939955080435</v>
      </c>
      <c r="F471">
        <v>17685.98046875</v>
      </c>
      <c r="G471">
        <f t="shared" si="15"/>
        <v>-8.9511786625141587E-3</v>
      </c>
    </row>
    <row r="472" spans="1:7" x14ac:dyDescent="0.25">
      <c r="A472" s="1">
        <v>45337</v>
      </c>
      <c r="B472">
        <v>29.514999389648398</v>
      </c>
      <c r="C472">
        <f>C473*(1+G472*3)</f>
        <v>34.669483935260445</v>
      </c>
      <c r="D472">
        <f t="shared" si="14"/>
        <v>29.503365001141923</v>
      </c>
      <c r="F472">
        <v>17845.720703125</v>
      </c>
      <c r="G472">
        <f t="shared" si="15"/>
        <v>2.1389618894727125E-3</v>
      </c>
    </row>
    <row r="473" spans="1:7" x14ac:dyDescent="0.25">
      <c r="A473" s="1">
        <v>45336</v>
      </c>
      <c r="B473">
        <v>29.270000457763601</v>
      </c>
      <c r="C473">
        <f>C474*(1+G473*3)</f>
        <v>34.448432283838805</v>
      </c>
      <c r="D473">
        <f t="shared" si="14"/>
        <v>29.329234483168545</v>
      </c>
      <c r="F473">
        <v>17807.630859375</v>
      </c>
      <c r="G473">
        <f t="shared" si="15"/>
        <v>1.1773067825641137E-2</v>
      </c>
    </row>
    <row r="474" spans="1:7" x14ac:dyDescent="0.25">
      <c r="A474" s="1">
        <v>45335</v>
      </c>
      <c r="B474">
        <v>28.370000839233398</v>
      </c>
      <c r="C474">
        <f>C475*(1+G474*3)</f>
        <v>33.27324767873548</v>
      </c>
      <c r="D474">
        <f t="shared" si="14"/>
        <v>28.341821983028282</v>
      </c>
      <c r="F474">
        <v>17600.419921875</v>
      </c>
      <c r="G474">
        <f t="shared" si="15"/>
        <v>-1.5782899854323795E-2</v>
      </c>
    </row>
    <row r="475" spans="1:7" x14ac:dyDescent="0.25">
      <c r="A475" s="1">
        <v>45334</v>
      </c>
      <c r="B475">
        <v>29.780000686645501</v>
      </c>
      <c r="C475">
        <f>C476*(1+G475*3)</f>
        <v>34.926995495068745</v>
      </c>
      <c r="D475">
        <f t="shared" si="14"/>
        <v>29.76545887447951</v>
      </c>
      <c r="F475">
        <v>17882.66015625</v>
      </c>
      <c r="G475">
        <f t="shared" si="15"/>
        <v>-4.4398273564781876E-3</v>
      </c>
    </row>
    <row r="476" spans="1:7" x14ac:dyDescent="0.25">
      <c r="A476" s="1">
        <v>45331</v>
      </c>
      <c r="B476">
        <v>30.1350002288818</v>
      </c>
      <c r="C476">
        <f>C477*(1+G476*3)</f>
        <v>35.398484981059113</v>
      </c>
      <c r="D476">
        <f t="shared" si="14"/>
        <v>30.181947734522847</v>
      </c>
      <c r="F476">
        <v>17962.41015625</v>
      </c>
      <c r="G476">
        <f t="shared" si="15"/>
        <v>1.0079206078693392E-2</v>
      </c>
    </row>
    <row r="477" spans="1:7" x14ac:dyDescent="0.25">
      <c r="A477" s="1">
        <v>45330</v>
      </c>
      <c r="B477">
        <v>29.274999618530199</v>
      </c>
      <c r="C477">
        <f>C478*(1+G477*3)</f>
        <v>34.359534494252479</v>
      </c>
      <c r="D477">
        <f t="shared" si="14"/>
        <v>29.309753089509169</v>
      </c>
      <c r="F477">
        <v>17783.169921875</v>
      </c>
      <c r="G477">
        <f t="shared" si="15"/>
        <v>1.5826245055878818E-3</v>
      </c>
    </row>
    <row r="478" spans="1:7" x14ac:dyDescent="0.25">
      <c r="A478" s="1">
        <v>45329</v>
      </c>
      <c r="B478">
        <v>29.155000686645501</v>
      </c>
      <c r="C478">
        <f>C479*(1+G478*3)</f>
        <v>34.197170653359152</v>
      </c>
      <c r="D478">
        <f t="shared" si="14"/>
        <v>29.185188221990572</v>
      </c>
      <c r="F478">
        <v>17755.0703125</v>
      </c>
      <c r="G478">
        <f t="shared" si="15"/>
        <v>1.0376295480902131E-2</v>
      </c>
    </row>
    <row r="479" spans="1:7" x14ac:dyDescent="0.25">
      <c r="A479" s="1">
        <v>45328</v>
      </c>
      <c r="B479">
        <v>28.309999465942301</v>
      </c>
      <c r="C479">
        <f>C480*(1+G479*3)</f>
        <v>33.164787741846744</v>
      </c>
      <c r="D479">
        <f t="shared" si="14"/>
        <v>28.317288859398012</v>
      </c>
      <c r="F479">
        <v>17572.73046875</v>
      </c>
      <c r="G479">
        <f t="shared" si="15"/>
        <v>-2.2885655114353032E-3</v>
      </c>
    </row>
    <row r="480" spans="1:7" x14ac:dyDescent="0.25">
      <c r="A480" s="1">
        <v>45327</v>
      </c>
      <c r="B480">
        <v>28.475000381469702</v>
      </c>
      <c r="C480">
        <f>C481*(1+G480*3)</f>
        <v>33.394061232315856</v>
      </c>
      <c r="D480">
        <f t="shared" si="14"/>
        <v>28.526832276067832</v>
      </c>
      <c r="F480">
        <v>17613.0390625</v>
      </c>
      <c r="G480">
        <f t="shared" si="15"/>
        <v>-1.6829257978288048E-3</v>
      </c>
    </row>
    <row r="481" spans="1:7" x14ac:dyDescent="0.25">
      <c r="A481" s="1">
        <v>45324</v>
      </c>
      <c r="B481">
        <v>28.620000839233398</v>
      </c>
      <c r="C481">
        <f>C482*(1+G481*3)</f>
        <v>33.563515952904801</v>
      </c>
      <c r="D481">
        <f t="shared" si="14"/>
        <v>28.6854215161963</v>
      </c>
      <c r="F481">
        <v>17642.73046875</v>
      </c>
      <c r="G481">
        <f t="shared" si="15"/>
        <v>1.7182156123782377E-2</v>
      </c>
    </row>
    <row r="482" spans="1:7" x14ac:dyDescent="0.25">
      <c r="A482" s="1">
        <v>45323</v>
      </c>
      <c r="B482">
        <v>27.25</v>
      </c>
      <c r="C482">
        <f>C483*(1+G482*3)</f>
        <v>31.918243237399235</v>
      </c>
      <c r="D482">
        <f t="shared" si="14"/>
        <v>27.291723791436716</v>
      </c>
      <c r="F482">
        <v>17344.7109375</v>
      </c>
      <c r="G482">
        <f t="shared" si="15"/>
        <v>1.2106424388498738E-2</v>
      </c>
    </row>
    <row r="483" spans="1:7" x14ac:dyDescent="0.25">
      <c r="A483" s="1">
        <v>45322</v>
      </c>
      <c r="B483">
        <v>26.319999694824201</v>
      </c>
      <c r="C483">
        <f>C484*(1+G483*3)</f>
        <v>30.799623305183879</v>
      </c>
      <c r="D483">
        <f t="shared" si="14"/>
        <v>26.347444939869856</v>
      </c>
      <c r="F483">
        <v>17137.240234375</v>
      </c>
      <c r="G483">
        <f t="shared" si="15"/>
        <v>-1.9424175655191167E-2</v>
      </c>
    </row>
    <row r="484" spans="1:7" x14ac:dyDescent="0.25">
      <c r="A484" s="1">
        <v>45321</v>
      </c>
      <c r="B484">
        <v>27.965000152587798</v>
      </c>
      <c r="C484">
        <f>C485*(1+G484*3)</f>
        <v>32.705452678301491</v>
      </c>
      <c r="D484">
        <f t="shared" si="14"/>
        <v>27.992042232822278</v>
      </c>
      <c r="F484">
        <v>17476.7109375</v>
      </c>
      <c r="G484">
        <f t="shared" si="15"/>
        <v>-6.7945420782326016E-3</v>
      </c>
    </row>
    <row r="485" spans="1:7" x14ac:dyDescent="0.25">
      <c r="A485" s="1">
        <v>45320</v>
      </c>
      <c r="B485">
        <v>28.534999847412099</v>
      </c>
      <c r="C485">
        <f>C486*(1+G485*3)</f>
        <v>33.385980016435603</v>
      </c>
      <c r="D485">
        <f t="shared" si="14"/>
        <v>28.588495876028624</v>
      </c>
      <c r="F485">
        <v>17596.26953125</v>
      </c>
      <c r="G485">
        <f t="shared" si="15"/>
        <v>1.0060252992385221E-2</v>
      </c>
    </row>
    <row r="486" spans="1:7" x14ac:dyDescent="0.25">
      <c r="A486" s="1">
        <v>45317</v>
      </c>
      <c r="B486">
        <v>27.7199993133544</v>
      </c>
      <c r="C486">
        <f>C487*(1+G486*3)</f>
        <v>32.407885437099239</v>
      </c>
      <c r="D486">
        <f t="shared" si="14"/>
        <v>27.763881644170965</v>
      </c>
      <c r="F486">
        <v>17421.009765625</v>
      </c>
      <c r="G486">
        <f t="shared" si="15"/>
        <v>-5.4792785441901692E-3</v>
      </c>
    </row>
    <row r="487" spans="1:7" x14ac:dyDescent="0.25">
      <c r="A487" s="1">
        <v>45316</v>
      </c>
      <c r="B487">
        <v>28.2399997711181</v>
      </c>
      <c r="C487">
        <f>C488*(1+G487*3)</f>
        <v>32.949503967491594</v>
      </c>
      <c r="D487">
        <f t="shared" si="14"/>
        <v>28.241663489096744</v>
      </c>
      <c r="F487">
        <v>17516.990234375</v>
      </c>
      <c r="G487">
        <f t="shared" si="15"/>
        <v>1.0108662823804515E-3</v>
      </c>
    </row>
    <row r="488" spans="1:7" x14ac:dyDescent="0.25">
      <c r="A488" s="1">
        <v>45315</v>
      </c>
      <c r="B488">
        <v>28.159999847412099</v>
      </c>
      <c r="C488">
        <f>C489*(1+G488*3)</f>
        <v>32.849883448815987</v>
      </c>
      <c r="D488">
        <f t="shared" si="14"/>
        <v>28.169751453256456</v>
      </c>
      <c r="F488">
        <v>17499.30078125</v>
      </c>
      <c r="G488">
        <f t="shared" si="15"/>
        <v>5.4636113117381147E-3</v>
      </c>
    </row>
    <row r="489" spans="1:7" x14ac:dyDescent="0.25">
      <c r="A489" s="1">
        <v>45314</v>
      </c>
      <c r="B489">
        <v>27.704999923706001</v>
      </c>
      <c r="C489">
        <f>C490*(1+G489*3)</f>
        <v>32.320129572232908</v>
      </c>
      <c r="D489">
        <f t="shared" si="14"/>
        <v>27.728561055637773</v>
      </c>
      <c r="F489">
        <v>17404.2109375</v>
      </c>
      <c r="G489">
        <f t="shared" si="15"/>
        <v>4.2601532374899609E-3</v>
      </c>
    </row>
    <row r="490" spans="1:7" x14ac:dyDescent="0.25">
      <c r="A490" s="1">
        <v>45313</v>
      </c>
      <c r="B490">
        <v>27.379999160766602</v>
      </c>
      <c r="C490">
        <f>C491*(1+G490*3)</f>
        <v>31.912276014298939</v>
      </c>
      <c r="D490">
        <f t="shared" si="14"/>
        <v>27.391625671502393</v>
      </c>
      <c r="F490">
        <v>17330.380859375</v>
      </c>
      <c r="G490">
        <f t="shared" si="15"/>
        <v>9.4610485012136536E-4</v>
      </c>
    </row>
    <row r="491" spans="1:7" x14ac:dyDescent="0.25">
      <c r="A491" s="1">
        <v>45310</v>
      </c>
      <c r="B491">
        <v>27.270000457763601</v>
      </c>
      <c r="C491">
        <f>C492*(1+G491*3)</f>
        <v>31.821955295562507</v>
      </c>
      <c r="D491">
        <f t="shared" si="14"/>
        <v>27.327173817402571</v>
      </c>
      <c r="F491">
        <v>17314</v>
      </c>
      <c r="G491">
        <f t="shared" si="15"/>
        <v>1.9532757702992898E-2</v>
      </c>
    </row>
    <row r="492" spans="1:7" x14ac:dyDescent="0.25">
      <c r="A492" s="1">
        <v>45309</v>
      </c>
      <c r="B492">
        <v>25.780000686645501</v>
      </c>
      <c r="C492">
        <f>C493*(1+G492*3)</f>
        <v>30.06046401540517</v>
      </c>
      <c r="D492">
        <f t="shared" si="14"/>
        <v>25.826194525733651</v>
      </c>
      <c r="F492">
        <v>16982.2890625</v>
      </c>
      <c r="G492">
        <f t="shared" si="15"/>
        <v>1.4699190976750431E-2</v>
      </c>
    </row>
    <row r="493" spans="1:7" x14ac:dyDescent="0.25">
      <c r="A493" s="1">
        <v>45308</v>
      </c>
      <c r="B493">
        <v>24.7199993133544</v>
      </c>
      <c r="C493">
        <f>C494*(1+G493*3)</f>
        <v>28.790857094936754</v>
      </c>
      <c r="D493">
        <f t="shared" si="14"/>
        <v>24.74679418895289</v>
      </c>
      <c r="F493">
        <v>16736.279296875</v>
      </c>
      <c r="G493">
        <f t="shared" si="15"/>
        <v>-5.6106744970944034E-3</v>
      </c>
    </row>
    <row r="494" spans="1:7" x14ac:dyDescent="0.25">
      <c r="A494" s="1">
        <v>45307</v>
      </c>
      <c r="B494">
        <v>25.155000686645501</v>
      </c>
      <c r="C494">
        <f>C495*(1+G494*3)</f>
        <v>29.283762065943868</v>
      </c>
      <c r="D494">
        <f t="shared" si="14"/>
        <v>25.182753276547974</v>
      </c>
      <c r="F494">
        <v>16830.7109375</v>
      </c>
      <c r="G494">
        <f t="shared" si="15"/>
        <v>-1.3123001744508311E-4</v>
      </c>
    </row>
    <row r="495" spans="1:7" x14ac:dyDescent="0.25">
      <c r="A495" s="1">
        <v>45303</v>
      </c>
      <c r="B495">
        <v>25.170000076293899</v>
      </c>
      <c r="C495">
        <f>C496*(1+G495*3)</f>
        <v>29.295295332296416</v>
      </c>
      <c r="D495">
        <f t="shared" si="14"/>
        <v>25.204769099219089</v>
      </c>
      <c r="F495">
        <v>16832.919921875</v>
      </c>
      <c r="G495">
        <f t="shared" si="15"/>
        <v>7.1455932624742147E-4</v>
      </c>
    </row>
    <row r="496" spans="1:7" x14ac:dyDescent="0.25">
      <c r="A496" s="1">
        <v>45302</v>
      </c>
      <c r="B496">
        <v>25.139999389648398</v>
      </c>
      <c r="C496">
        <f>C497*(1+G496*3)</f>
        <v>29.232629987132281</v>
      </c>
      <c r="D496">
        <f t="shared" si="14"/>
        <v>25.16290081075606</v>
      </c>
      <c r="F496">
        <v>16820.900390625</v>
      </c>
      <c r="G496">
        <f t="shared" si="15"/>
        <v>1.6584008312590104E-3</v>
      </c>
    </row>
    <row r="497" spans="1:7" x14ac:dyDescent="0.25">
      <c r="A497" s="1">
        <v>45301</v>
      </c>
      <c r="B497">
        <v>25.020000457763601</v>
      </c>
      <c r="C497">
        <f>C498*(1+G497*3)</f>
        <v>29.087911736123949</v>
      </c>
      <c r="D497">
        <f t="shared" si="14"/>
        <v>25.050289386760685</v>
      </c>
      <c r="F497">
        <v>16793.05078125</v>
      </c>
      <c r="G497">
        <f t="shared" si="15"/>
        <v>6.8561439354604126E-3</v>
      </c>
    </row>
    <row r="498" spans="1:7" x14ac:dyDescent="0.25">
      <c r="A498" s="1">
        <v>45300</v>
      </c>
      <c r="B498">
        <v>24.534999847412099</v>
      </c>
      <c r="C498">
        <f>C499*(1+G498*3)</f>
        <v>28.501676937664097</v>
      </c>
      <c r="D498">
        <f t="shared" si="14"/>
        <v>24.556973110766123</v>
      </c>
      <c r="F498">
        <v>16678.69921875</v>
      </c>
      <c r="G498">
        <f t="shared" si="15"/>
        <v>1.7315498327044043E-3</v>
      </c>
    </row>
    <row r="499" spans="1:7" x14ac:dyDescent="0.25">
      <c r="A499" s="1">
        <v>45299</v>
      </c>
      <c r="B499">
        <v>24.375</v>
      </c>
      <c r="C499">
        <f>C500*(1+G499*3)</f>
        <v>28.354385841483328</v>
      </c>
      <c r="D499">
        <f t="shared" si="14"/>
        <v>24.441733731194336</v>
      </c>
      <c r="F499">
        <v>16649.869140625</v>
      </c>
      <c r="G499">
        <f t="shared" si="15"/>
        <v>2.1089726713094947E-2</v>
      </c>
    </row>
    <row r="500" spans="1:7" x14ac:dyDescent="0.25">
      <c r="A500" s="1">
        <v>45296</v>
      </c>
      <c r="B500">
        <v>22.9899997711181</v>
      </c>
      <c r="C500">
        <f>C501*(1+G500*3)</f>
        <v>26.667175510315268</v>
      </c>
      <c r="D500">
        <f t="shared" si="14"/>
        <v>22.997720828925956</v>
      </c>
      <c r="F500">
        <v>16305.98046875</v>
      </c>
      <c r="G500">
        <f t="shared" si="15"/>
        <v>1.4722201663093237E-3</v>
      </c>
    </row>
    <row r="501" spans="1:7" x14ac:dyDescent="0.25">
      <c r="A501" s="1">
        <v>45295</v>
      </c>
      <c r="B501">
        <v>22.905000686645501</v>
      </c>
      <c r="C501">
        <f>C502*(1+G501*3)</f>
        <v>26.549913555863135</v>
      </c>
      <c r="D501">
        <f t="shared" si="14"/>
        <v>22.907536786466032</v>
      </c>
      <c r="F501">
        <v>16282.009765625</v>
      </c>
      <c r="G501">
        <f t="shared" si="15"/>
        <v>-5.2833503586289243E-3</v>
      </c>
    </row>
    <row r="502" spans="1:7" x14ac:dyDescent="0.25">
      <c r="A502" s="1">
        <v>45294</v>
      </c>
      <c r="B502">
        <v>23.295000076293899</v>
      </c>
      <c r="C502">
        <f>C503*(1+G502*3)</f>
        <v>26.977508442578166</v>
      </c>
      <c r="D502">
        <f>D503*(1+3*G502-0.000479788398685204)</f>
        <v>23.287823201051417</v>
      </c>
      <c r="F502">
        <v>16368.490234375</v>
      </c>
      <c r="G502">
        <f t="shared" si="15"/>
        <v>-1.0605044780725437E-2</v>
      </c>
    </row>
    <row r="503" spans="1:7" x14ac:dyDescent="0.25">
      <c r="A503" s="1">
        <v>45293</v>
      </c>
      <c r="B503">
        <v>24.065000534057599</v>
      </c>
      <c r="C503">
        <f>C504*(1+G503*3)</f>
        <v>27.864005521557665</v>
      </c>
      <c r="D503">
        <v>24.065000534057599</v>
      </c>
      <c r="E503">
        <v>4.7978839868520403E-4</v>
      </c>
      <c r="F503">
        <v>16543.939453125</v>
      </c>
      <c r="G503">
        <f t="shared" si="15"/>
        <v>-1.6759266180964238E-2</v>
      </c>
    </row>
    <row r="504" spans="1:7" x14ac:dyDescent="0.25">
      <c r="A504" s="1">
        <v>45289</v>
      </c>
      <c r="B504">
        <v>25.350000381469702</v>
      </c>
      <c r="C504">
        <f>C505*(1+G504*3)</f>
        <v>29.339111456810667</v>
      </c>
      <c r="D504">
        <f t="shared" ref="D504:D567" si="16">D505*(1+3*G504-0.000470434260716402)</f>
        <v>25.350000381486662</v>
      </c>
      <c r="F504">
        <v>16825.9296875</v>
      </c>
      <c r="G504">
        <f t="shared" si="15"/>
        <v>-4.2927562440064904E-3</v>
      </c>
    </row>
    <row r="505" spans="1:7" x14ac:dyDescent="0.25">
      <c r="A505" s="1">
        <v>45288</v>
      </c>
      <c r="B505">
        <v>25.704999923706001</v>
      </c>
      <c r="C505">
        <f>C506*(1+G505*3)</f>
        <v>29.721877786161087</v>
      </c>
      <c r="D505">
        <f t="shared" si="16"/>
        <v>25.69296818276014</v>
      </c>
      <c r="F505">
        <v>16898.470703125</v>
      </c>
      <c r="G505">
        <f t="shared" si="15"/>
        <v>-4.9270575981696929E-4</v>
      </c>
    </row>
    <row r="506" spans="1:7" x14ac:dyDescent="0.25">
      <c r="A506" s="1">
        <v>45287</v>
      </c>
      <c r="B506">
        <v>25.770000457763601</v>
      </c>
      <c r="C506">
        <f>C507*(1+G506*3)</f>
        <v>29.765875240692335</v>
      </c>
      <c r="D506">
        <f t="shared" si="16"/>
        <v>25.743129998367184</v>
      </c>
      <c r="F506">
        <v>16906.80078125</v>
      </c>
      <c r="G506">
        <f t="shared" si="15"/>
        <v>1.6790537866540056E-3</v>
      </c>
    </row>
    <row r="507" spans="1:7" x14ac:dyDescent="0.25">
      <c r="A507" s="1">
        <v>45286</v>
      </c>
      <c r="B507">
        <v>25.6350002288818</v>
      </c>
      <c r="C507">
        <f>C508*(1+G507*3)</f>
        <v>29.616691188229058</v>
      </c>
      <c r="D507">
        <f t="shared" si="16"/>
        <v>25.626102581261293</v>
      </c>
      <c r="F507">
        <v>16878.4609375</v>
      </c>
      <c r="G507">
        <f t="shared" si="15"/>
        <v>6.0236117945584589E-3</v>
      </c>
    </row>
    <row r="508" spans="1:7" x14ac:dyDescent="0.25">
      <c r="A508" s="1">
        <v>45282</v>
      </c>
      <c r="B508">
        <v>25.174999237060501</v>
      </c>
      <c r="C508">
        <f>C509*(1+G508*3)</f>
        <v>29.090992648922665</v>
      </c>
      <c r="D508">
        <f t="shared" si="16"/>
        <v>25.182873899206367</v>
      </c>
      <c r="F508">
        <v>16777.400390625</v>
      </c>
      <c r="G508">
        <f t="shared" si="15"/>
        <v>1.1929190840711534E-3</v>
      </c>
    </row>
    <row r="509" spans="1:7" x14ac:dyDescent="0.25">
      <c r="A509" s="1">
        <v>45281</v>
      </c>
      <c r="B509">
        <v>25.0750007629394</v>
      </c>
      <c r="C509">
        <f>C510*(1+G509*3)</f>
        <v>28.987254302366317</v>
      </c>
      <c r="D509">
        <f t="shared" si="16"/>
        <v>25.104839947998151</v>
      </c>
      <c r="F509">
        <v>16757.41015625</v>
      </c>
      <c r="G509">
        <f t="shared" si="15"/>
        <v>1.227788048935019E-2</v>
      </c>
    </row>
    <row r="510" spans="1:7" x14ac:dyDescent="0.25">
      <c r="A510" s="1">
        <v>45280</v>
      </c>
      <c r="B510">
        <v>24.270000457763601</v>
      </c>
      <c r="C510">
        <f>C511*(1+G510*3)</f>
        <v>27.957478560710399</v>
      </c>
      <c r="D510">
        <f t="shared" si="16"/>
        <v>24.223978401980933</v>
      </c>
      <c r="F510">
        <v>16554.16015625</v>
      </c>
      <c r="G510">
        <f t="shared" si="15"/>
        <v>-1.5327846674366041E-2</v>
      </c>
    </row>
    <row r="511" spans="1:7" x14ac:dyDescent="0.25">
      <c r="A511" s="1">
        <v>45279</v>
      </c>
      <c r="B511">
        <v>25.5100002288818</v>
      </c>
      <c r="C511">
        <f>C512*(1+G511*3)</f>
        <v>29.305027463978231</v>
      </c>
      <c r="D511">
        <f t="shared" si="16"/>
        <v>25.404099800832252</v>
      </c>
      <c r="F511">
        <v>16811.849609375</v>
      </c>
      <c r="G511">
        <f t="shared" si="15"/>
        <v>4.9043517730920083E-3</v>
      </c>
    </row>
    <row r="512" spans="1:7" x14ac:dyDescent="0.25">
      <c r="A512" s="1">
        <v>45278</v>
      </c>
      <c r="B512">
        <v>25.1350002288818</v>
      </c>
      <c r="C512">
        <f>C513*(1+G512*3)</f>
        <v>28.880112767207379</v>
      </c>
      <c r="D512">
        <f t="shared" si="16"/>
        <v>25.047359747432157</v>
      </c>
      <c r="F512">
        <v>16729.80078125</v>
      </c>
      <c r="G512">
        <f t="shared" si="15"/>
        <v>6.3976832425391983E-3</v>
      </c>
    </row>
    <row r="513" spans="1:7" x14ac:dyDescent="0.25">
      <c r="A513" s="1">
        <v>45275</v>
      </c>
      <c r="B513">
        <v>24.620000839233398</v>
      </c>
      <c r="C513">
        <f>C514*(1+G513*3)</f>
        <v>28.336253641962802</v>
      </c>
      <c r="D513">
        <f t="shared" si="16"/>
        <v>24.587026308385671</v>
      </c>
      <c r="F513">
        <v>16623.44921875</v>
      </c>
      <c r="G513">
        <f t="shared" si="15"/>
        <v>5.1771689647635011E-3</v>
      </c>
    </row>
    <row r="514" spans="1:7" x14ac:dyDescent="0.25">
      <c r="A514" s="1">
        <v>45274</v>
      </c>
      <c r="B514">
        <v>24.329999923706001</v>
      </c>
      <c r="C514">
        <f>C515*(1+G514*3)</f>
        <v>27.902879870877705</v>
      </c>
      <c r="D514">
        <f t="shared" si="16"/>
        <v>24.222213787190832</v>
      </c>
      <c r="F514">
        <v>16537.830078125</v>
      </c>
      <c r="G514">
        <f t="shared" ref="G514:G577" si="17">F514/F515-1</f>
        <v>-1.4816154797449022E-3</v>
      </c>
    </row>
    <row r="515" spans="1:7" x14ac:dyDescent="0.25">
      <c r="A515" s="1">
        <v>45273</v>
      </c>
      <c r="B515">
        <v>24.370000839233398</v>
      </c>
      <c r="C515">
        <f>C516*(1+G515*3)</f>
        <v>28.027457616063266</v>
      </c>
      <c r="D515">
        <f t="shared" si="16"/>
        <v>24.341860866106902</v>
      </c>
      <c r="F515">
        <v>16562.369140625</v>
      </c>
      <c r="G515">
        <f t="shared" si="17"/>
        <v>1.2725691525138805E-2</v>
      </c>
    </row>
    <row r="516" spans="1:7" x14ac:dyDescent="0.25">
      <c r="A516" s="1">
        <v>45272</v>
      </c>
      <c r="B516">
        <v>23.540000915527301</v>
      </c>
      <c r="C516">
        <f>C517*(1+G516*3)</f>
        <v>26.996798814427361</v>
      </c>
      <c r="D516">
        <f t="shared" si="16"/>
        <v>23.457362534294731</v>
      </c>
      <c r="F516">
        <v>16354.25</v>
      </c>
      <c r="G516">
        <f t="shared" si="17"/>
        <v>8.1692598397742344E-3</v>
      </c>
    </row>
    <row r="517" spans="1:7" x14ac:dyDescent="0.25">
      <c r="A517" s="1">
        <v>45271</v>
      </c>
      <c r="B517">
        <v>22.985000610351499</v>
      </c>
      <c r="C517">
        <f>C518*(1+G517*3)</f>
        <v>26.350994452276083</v>
      </c>
      <c r="D517">
        <f t="shared" si="16"/>
        <v>22.906745191378644</v>
      </c>
      <c r="F517">
        <v>16221.73046875</v>
      </c>
      <c r="G517">
        <f t="shared" si="17"/>
        <v>8.5199052889177729E-3</v>
      </c>
    </row>
    <row r="518" spans="1:7" x14ac:dyDescent="0.25">
      <c r="A518" s="1">
        <v>45268</v>
      </c>
      <c r="B518">
        <v>22.415000915527301</v>
      </c>
      <c r="C518">
        <f>C519*(1+G518*3)</f>
        <v>25.694256555314773</v>
      </c>
      <c r="D518">
        <f t="shared" si="16"/>
        <v>22.346097654528187</v>
      </c>
      <c r="F518">
        <v>16084.6904296875</v>
      </c>
      <c r="G518">
        <f t="shared" si="17"/>
        <v>3.8820554359930703E-3</v>
      </c>
    </row>
    <row r="519" spans="1:7" x14ac:dyDescent="0.25">
      <c r="A519" s="1">
        <v>45267</v>
      </c>
      <c r="B519">
        <v>22.149999618530199</v>
      </c>
      <c r="C519">
        <f>C520*(1+G519*3)</f>
        <v>25.398461844704482</v>
      </c>
      <c r="D519">
        <f t="shared" si="16"/>
        <v>22.099123768808685</v>
      </c>
      <c r="F519">
        <v>16022.490234375</v>
      </c>
      <c r="G519">
        <f t="shared" si="17"/>
        <v>1.484923296972962E-2</v>
      </c>
    </row>
    <row r="520" spans="1:7" x14ac:dyDescent="0.25">
      <c r="A520" s="1">
        <v>45266</v>
      </c>
      <c r="B520">
        <v>21.2600002288818</v>
      </c>
      <c r="C520">
        <f>C521*(1+G520*3)</f>
        <v>24.315272410468044</v>
      </c>
      <c r="D520">
        <f t="shared" si="16"/>
        <v>21.166176601162924</v>
      </c>
      <c r="F520">
        <v>15788.0498046875</v>
      </c>
      <c r="G520">
        <f t="shared" si="17"/>
        <v>-5.6469198940264365E-3</v>
      </c>
    </row>
    <row r="521" spans="1:7" x14ac:dyDescent="0.25">
      <c r="A521" s="1">
        <v>45265</v>
      </c>
      <c r="B521">
        <v>21.645000457763601</v>
      </c>
      <c r="C521">
        <f>C522*(1+G521*3)</f>
        <v>24.734290074527454</v>
      </c>
      <c r="D521">
        <f t="shared" si="16"/>
        <v>21.541235225440449</v>
      </c>
      <c r="F521">
        <v>15877.7099609375</v>
      </c>
      <c r="G521">
        <f t="shared" si="17"/>
        <v>2.4015676620865456E-3</v>
      </c>
    </row>
    <row r="522" spans="1:7" x14ac:dyDescent="0.25">
      <c r="A522" s="1">
        <v>45264</v>
      </c>
      <c r="B522">
        <v>21.4899997711181</v>
      </c>
      <c r="C522">
        <f>C523*(1+G522*3)</f>
        <v>24.557361578230122</v>
      </c>
      <c r="D522">
        <f t="shared" si="16"/>
        <v>21.39714112713197</v>
      </c>
      <c r="F522">
        <v>15839.669921875</v>
      </c>
      <c r="G522">
        <f t="shared" si="17"/>
        <v>-9.8708776876775817E-3</v>
      </c>
    </row>
    <row r="523" spans="1:7" x14ac:dyDescent="0.25">
      <c r="A523" s="1">
        <v>45261</v>
      </c>
      <c r="B523">
        <v>22.120000839233398</v>
      </c>
      <c r="C523">
        <f>C524*(1+G523*3)</f>
        <v>25.306761418118583</v>
      </c>
      <c r="D523">
        <f t="shared" si="16"/>
        <v>22.060797586131155</v>
      </c>
      <c r="F523">
        <v>15997.580078125</v>
      </c>
      <c r="G523">
        <f t="shared" si="17"/>
        <v>3.1170282032788599E-3</v>
      </c>
    </row>
    <row r="524" spans="1:7" x14ac:dyDescent="0.25">
      <c r="A524" s="1">
        <v>45260</v>
      </c>
      <c r="B524">
        <v>21.934999465942301</v>
      </c>
      <c r="C524">
        <f>C525*(1+G524*3)</f>
        <v>25.072308143306628</v>
      </c>
      <c r="D524">
        <f t="shared" si="16"/>
        <v>21.866607887163941</v>
      </c>
      <c r="F524">
        <v>15947.8701171875</v>
      </c>
      <c r="G524">
        <f t="shared" si="17"/>
        <v>-2.4850192122777282E-3</v>
      </c>
    </row>
    <row r="525" spans="1:7" x14ac:dyDescent="0.25">
      <c r="A525" s="1">
        <v>45259</v>
      </c>
      <c r="B525">
        <v>22.120000839233398</v>
      </c>
      <c r="C525">
        <f>C526*(1+G525*3)</f>
        <v>25.260627577842019</v>
      </c>
      <c r="D525">
        <f t="shared" si="16"/>
        <v>22.041296000023618</v>
      </c>
      <c r="F525">
        <v>15987.599609375</v>
      </c>
      <c r="G525">
        <f t="shared" si="17"/>
        <v>-1.4259503692661823E-3</v>
      </c>
    </row>
    <row r="526" spans="1:7" x14ac:dyDescent="0.25">
      <c r="A526" s="1">
        <v>45258</v>
      </c>
      <c r="B526">
        <v>22.2000007629394</v>
      </c>
      <c r="C526">
        <f>C527*(1+G526*3)</f>
        <v>25.3691530372664</v>
      </c>
      <c r="D526">
        <f t="shared" si="16"/>
        <v>22.146453682006381</v>
      </c>
      <c r="F526">
        <v>16010.4296875</v>
      </c>
      <c r="G526">
        <f t="shared" si="17"/>
        <v>3.0352886876947593E-3</v>
      </c>
    </row>
    <row r="527" spans="1:7" x14ac:dyDescent="0.25">
      <c r="A527" s="1">
        <v>45257</v>
      </c>
      <c r="B527">
        <v>22.024999618530199</v>
      </c>
      <c r="C527">
        <f>C528*(1+G527*3)</f>
        <v>25.140229474873003</v>
      </c>
      <c r="D527">
        <f t="shared" si="16"/>
        <v>21.956846828622773</v>
      </c>
      <c r="F527">
        <v>15961.98046875</v>
      </c>
      <c r="G527">
        <f t="shared" si="17"/>
        <v>-1.2532401849785213E-3</v>
      </c>
    </row>
    <row r="528" spans="1:7" x14ac:dyDescent="0.25">
      <c r="A528" s="1">
        <v>45254</v>
      </c>
      <c r="B528">
        <v>22.090000152587798</v>
      </c>
      <c r="C528">
        <f>C529*(1+G528*3)</f>
        <v>25.235106423198289</v>
      </c>
      <c r="D528">
        <f t="shared" si="16"/>
        <v>22.050122259484443</v>
      </c>
      <c r="F528">
        <v>15982.009765625</v>
      </c>
      <c r="G528">
        <f t="shared" si="17"/>
        <v>-1.2111374848241541E-3</v>
      </c>
    </row>
    <row r="529" spans="1:7" x14ac:dyDescent="0.25">
      <c r="A529" s="1">
        <v>45252</v>
      </c>
      <c r="B529">
        <v>22.2000007629394</v>
      </c>
      <c r="C529">
        <f>C530*(1+G529*3)</f>
        <v>25.327130333989857</v>
      </c>
      <c r="D529">
        <f t="shared" si="16"/>
        <v>22.140985469976449</v>
      </c>
      <c r="F529">
        <v>16001.3896484375</v>
      </c>
      <c r="G529">
        <f t="shared" si="17"/>
        <v>4.2532413068450126E-3</v>
      </c>
    </row>
    <row r="530" spans="1:7" x14ac:dyDescent="0.25">
      <c r="A530" s="1">
        <v>45251</v>
      </c>
      <c r="B530">
        <v>21.944999694824201</v>
      </c>
      <c r="C530">
        <f>C531*(1+G530*3)</f>
        <v>25.008034715228387</v>
      </c>
      <c r="D530">
        <f t="shared" si="16"/>
        <v>21.872191769822006</v>
      </c>
      <c r="F530">
        <v>15933.6201171875</v>
      </c>
      <c r="G530">
        <f t="shared" si="17"/>
        <v>-5.8301058104308634E-3</v>
      </c>
    </row>
    <row r="531" spans="1:7" x14ac:dyDescent="0.25">
      <c r="A531" s="1">
        <v>45250</v>
      </c>
      <c r="B531">
        <v>22.350000381469702</v>
      </c>
      <c r="C531">
        <f>C532*(1+G531*3)</f>
        <v>25.453219605781914</v>
      </c>
      <c r="D531">
        <f t="shared" si="16"/>
        <v>22.272217538664364</v>
      </c>
      <c r="F531">
        <v>16027.0595703125</v>
      </c>
      <c r="G531">
        <f t="shared" si="17"/>
        <v>1.1937710097026155E-2</v>
      </c>
    </row>
    <row r="532" spans="1:7" x14ac:dyDescent="0.25">
      <c r="A532" s="1">
        <v>45247</v>
      </c>
      <c r="B532">
        <v>21.579999923706001</v>
      </c>
      <c r="C532">
        <f>C533*(1+G532*3)</f>
        <v>24.573177208739565</v>
      </c>
      <c r="D532">
        <f t="shared" si="16"/>
        <v>21.511928006117135</v>
      </c>
      <c r="F532">
        <v>15837.990234375</v>
      </c>
      <c r="G532">
        <f t="shared" si="17"/>
        <v>3.0444393155537597E-4</v>
      </c>
    </row>
    <row r="533" spans="1:7" x14ac:dyDescent="0.25">
      <c r="A533" s="1">
        <v>45246</v>
      </c>
      <c r="B533">
        <v>21.565000534057599</v>
      </c>
      <c r="C533">
        <f>C534*(1+G533*3)</f>
        <v>24.550754224323455</v>
      </c>
      <c r="D533">
        <f t="shared" si="16"/>
        <v>21.502404644126262</v>
      </c>
      <c r="F533">
        <v>15833.169921875</v>
      </c>
      <c r="G533">
        <f t="shared" si="17"/>
        <v>1.0109409320067098E-3</v>
      </c>
    </row>
    <row r="534" spans="1:7" x14ac:dyDescent="0.25">
      <c r="A534" s="1">
        <v>45245</v>
      </c>
      <c r="B534">
        <v>21.530000686645501</v>
      </c>
      <c r="C534">
        <f>C535*(1+G534*3)</f>
        <v>24.476521272640518</v>
      </c>
      <c r="D534">
        <f t="shared" si="16"/>
        <v>21.447447949389225</v>
      </c>
      <c r="F534">
        <v>15817.1796875</v>
      </c>
      <c r="G534">
        <f t="shared" si="17"/>
        <v>2.9786371256013133E-4</v>
      </c>
    </row>
    <row r="535" spans="1:7" x14ac:dyDescent="0.25">
      <c r="A535" s="1">
        <v>45244</v>
      </c>
      <c r="B535">
        <v>21.4699993133544</v>
      </c>
      <c r="C535">
        <f>C536*(1+G535*3)</f>
        <v>24.454668797328317</v>
      </c>
      <c r="D535">
        <f t="shared" si="16"/>
        <v>21.438376153089106</v>
      </c>
      <c r="F535">
        <v>15812.4697265625</v>
      </c>
      <c r="G535">
        <f t="shared" si="17"/>
        <v>2.1293299635803953E-2</v>
      </c>
    </row>
    <row r="536" spans="1:7" x14ac:dyDescent="0.25">
      <c r="A536" s="1">
        <v>45243</v>
      </c>
      <c r="B536">
        <v>20.2000007629394</v>
      </c>
      <c r="C536">
        <f>C537*(1+G536*3)</f>
        <v>22.986305900170574</v>
      </c>
      <c r="D536">
        <f t="shared" si="16"/>
        <v>20.160038880424803</v>
      </c>
      <c r="F536">
        <v>15482.7900390625</v>
      </c>
      <c r="G536">
        <f t="shared" si="17"/>
        <v>-2.983432272748221E-3</v>
      </c>
    </row>
    <row r="537" spans="1:7" x14ac:dyDescent="0.25">
      <c r="A537" s="1">
        <v>45240</v>
      </c>
      <c r="B537">
        <v>20.3850002288818</v>
      </c>
      <c r="C537">
        <f>C538*(1+G537*3)</f>
        <v>23.193898173192792</v>
      </c>
      <c r="D537">
        <f t="shared" si="16"/>
        <v>20.351767408158629</v>
      </c>
      <c r="F537">
        <v>15529.1201171875</v>
      </c>
      <c r="G537">
        <f t="shared" si="17"/>
        <v>2.2466550200258339E-2</v>
      </c>
    </row>
    <row r="538" spans="1:7" x14ac:dyDescent="0.25">
      <c r="A538" s="1">
        <v>45239</v>
      </c>
      <c r="B538">
        <v>19.110000610351499</v>
      </c>
      <c r="C538">
        <f>C539*(1+G538*3)</f>
        <v>21.729347728508571</v>
      </c>
      <c r="D538">
        <f t="shared" si="16"/>
        <v>19.07508679720322</v>
      </c>
      <c r="F538">
        <v>15187.900390625</v>
      </c>
      <c r="G538">
        <f t="shared" si="17"/>
        <v>-8.1850635026700092E-3</v>
      </c>
    </row>
    <row r="539" spans="1:7" x14ac:dyDescent="0.25">
      <c r="A539" s="1">
        <v>45238</v>
      </c>
      <c r="B539">
        <v>19.5750007629394</v>
      </c>
      <c r="C539">
        <f>C540*(1+G539*3)</f>
        <v>22.276347689855648</v>
      </c>
      <c r="D539">
        <f t="shared" si="16"/>
        <v>19.564705782834977</v>
      </c>
      <c r="F539">
        <v>15313.240234375</v>
      </c>
      <c r="G539">
        <f t="shared" si="17"/>
        <v>1.1258290491731326E-3</v>
      </c>
    </row>
    <row r="540" spans="1:7" x14ac:dyDescent="0.25">
      <c r="A540" s="1">
        <v>45237</v>
      </c>
      <c r="B540">
        <v>19.540000915527301</v>
      </c>
      <c r="C540">
        <f>C541*(1+G540*3)</f>
        <v>22.201362872097722</v>
      </c>
      <c r="D540">
        <f t="shared" si="16"/>
        <v>19.507995009626505</v>
      </c>
      <c r="F540">
        <v>15296.01953125</v>
      </c>
      <c r="G540">
        <f t="shared" si="17"/>
        <v>9.3098316296624795E-3</v>
      </c>
    </row>
    <row r="541" spans="1:7" x14ac:dyDescent="0.25">
      <c r="A541" s="1">
        <v>45236</v>
      </c>
      <c r="B541">
        <v>19.004999160766602</v>
      </c>
      <c r="C541">
        <f>C542*(1+G541*3)</f>
        <v>21.598137792996578</v>
      </c>
      <c r="D541">
        <f t="shared" si="16"/>
        <v>18.986639718469903</v>
      </c>
      <c r="F541">
        <v>15154.9296875</v>
      </c>
      <c r="G541">
        <f t="shared" si="17"/>
        <v>3.6716109129821817E-3</v>
      </c>
    </row>
    <row r="542" spans="1:7" x14ac:dyDescent="0.25">
      <c r="A542" s="1">
        <v>45233</v>
      </c>
      <c r="B542">
        <v>18.790000915527301</v>
      </c>
      <c r="C542">
        <f>C543*(1+G542*3)</f>
        <v>21.362829795963457</v>
      </c>
      <c r="D542">
        <f t="shared" si="16"/>
        <v>18.788526013366376</v>
      </c>
      <c r="F542">
        <v>15099.490234375</v>
      </c>
      <c r="G542">
        <f t="shared" si="17"/>
        <v>1.2060714434624975E-2</v>
      </c>
    </row>
    <row r="543" spans="1:7" x14ac:dyDescent="0.25">
      <c r="A543" s="1">
        <v>45232</v>
      </c>
      <c r="B543">
        <v>18.149999618530199</v>
      </c>
      <c r="C543">
        <f>C544*(1+G543*3)</f>
        <v>20.616867347132526</v>
      </c>
      <c r="D543">
        <f t="shared" si="16"/>
        <v>18.140690936789873</v>
      </c>
      <c r="F543">
        <v>14919.5498046875</v>
      </c>
      <c r="G543">
        <f t="shared" si="17"/>
        <v>1.7363873745177782E-2</v>
      </c>
    </row>
    <row r="544" spans="1:7" x14ac:dyDescent="0.25">
      <c r="A544" s="1">
        <v>45231</v>
      </c>
      <c r="B544">
        <v>17.235000610351499</v>
      </c>
      <c r="C544">
        <f>C545*(1+G544*3)</f>
        <v>19.596075979505397</v>
      </c>
      <c r="D544">
        <f t="shared" si="16"/>
        <v>17.25021439419163</v>
      </c>
      <c r="F544">
        <v>14664.91015625</v>
      </c>
      <c r="G544">
        <f t="shared" si="17"/>
        <v>1.7705327768446022E-2</v>
      </c>
    </row>
    <row r="545" spans="1:7" x14ac:dyDescent="0.25">
      <c r="A545" s="1">
        <v>45230</v>
      </c>
      <c r="B545">
        <v>16.389999389648398</v>
      </c>
      <c r="C545">
        <f>C546*(1+G545*3)</f>
        <v>18.607709207869608</v>
      </c>
      <c r="D545">
        <f t="shared" si="16"/>
        <v>16.387486186445077</v>
      </c>
      <c r="F545">
        <v>14409.7802734375</v>
      </c>
      <c r="G545">
        <f t="shared" si="17"/>
        <v>5.1808766501344472E-3</v>
      </c>
    </row>
    <row r="546" spans="1:7" x14ac:dyDescent="0.25">
      <c r="A546" s="1">
        <v>45229</v>
      </c>
      <c r="B546">
        <v>16.155000686645501</v>
      </c>
      <c r="C546">
        <f>C547*(1+G546*3)</f>
        <v>18.322922799191957</v>
      </c>
      <c r="D546">
        <f t="shared" si="16"/>
        <v>16.144158273698615</v>
      </c>
      <c r="F546">
        <v>14335.509765625</v>
      </c>
      <c r="G546">
        <f t="shared" si="17"/>
        <v>1.0936900642184444E-2</v>
      </c>
    </row>
    <row r="547" spans="1:7" x14ac:dyDescent="0.25">
      <c r="A547" s="1">
        <v>45226</v>
      </c>
      <c r="B547">
        <v>15.649999618530201</v>
      </c>
      <c r="C547">
        <f>C548*(1+G547*3)</f>
        <v>17.740833596140412</v>
      </c>
      <c r="D547">
        <f t="shared" si="16"/>
        <v>15.638407973953404</v>
      </c>
      <c r="F547">
        <v>14180.419921875</v>
      </c>
      <c r="G547">
        <f t="shared" si="17"/>
        <v>5.0213867471380347E-3</v>
      </c>
    </row>
    <row r="548" spans="1:7" x14ac:dyDescent="0.25">
      <c r="A548" s="1">
        <v>45225</v>
      </c>
      <c r="B548">
        <v>15.4300003051757</v>
      </c>
      <c r="C548">
        <f>C549*(1+G548*3)</f>
        <v>17.477548997416168</v>
      </c>
      <c r="D548">
        <f t="shared" si="16"/>
        <v>15.413468044893982</v>
      </c>
      <c r="F548">
        <v>14109.5703125</v>
      </c>
      <c r="G548">
        <f t="shared" si="17"/>
        <v>-1.8917824572739828E-2</v>
      </c>
    </row>
    <row r="549" spans="1:7" x14ac:dyDescent="0.25">
      <c r="A549" s="1">
        <v>45224</v>
      </c>
      <c r="B549">
        <v>16.3850002288818</v>
      </c>
      <c r="C549">
        <f>C550*(1+G549*3)</f>
        <v>18.529142181219139</v>
      </c>
      <c r="D549">
        <f t="shared" si="16"/>
        <v>16.349023034569701</v>
      </c>
      <c r="F549">
        <v>14381.6396484375</v>
      </c>
      <c r="G549">
        <f t="shared" si="17"/>
        <v>-2.4699861143497537E-2</v>
      </c>
    </row>
    <row r="550" spans="1:7" x14ac:dyDescent="0.25">
      <c r="A550" s="1">
        <v>45223</v>
      </c>
      <c r="B550">
        <v>17.6800003051757</v>
      </c>
      <c r="C550">
        <f>C551*(1+G550*3)</f>
        <v>20.012024889102268</v>
      </c>
      <c r="D550">
        <f t="shared" si="16"/>
        <v>17.666407342651315</v>
      </c>
      <c r="F550">
        <v>14745.8603515625</v>
      </c>
      <c r="G550">
        <f t="shared" si="17"/>
        <v>9.6550629386134013E-3</v>
      </c>
    </row>
    <row r="551" spans="1:7" x14ac:dyDescent="0.25">
      <c r="A551" s="1">
        <v>45222</v>
      </c>
      <c r="B551">
        <v>17.194999694824201</v>
      </c>
      <c r="C551">
        <f>C552*(1+G551*3)</f>
        <v>19.448689913535972</v>
      </c>
      <c r="D551">
        <f t="shared" si="16"/>
        <v>17.176954247367973</v>
      </c>
      <c r="F551">
        <v>14604.849609375</v>
      </c>
      <c r="G551">
        <f t="shared" si="17"/>
        <v>3.0197163163472318E-3</v>
      </c>
    </row>
    <row r="552" spans="1:7" x14ac:dyDescent="0.25">
      <c r="A552" s="1">
        <v>45219</v>
      </c>
      <c r="B552">
        <v>17.045000076293899</v>
      </c>
      <c r="C552">
        <f>C553*(1+G552*3)</f>
        <v>19.274083123662503</v>
      </c>
      <c r="D552">
        <f t="shared" si="16"/>
        <v>17.030682573794223</v>
      </c>
      <c r="F552">
        <v>14560.8798828125</v>
      </c>
      <c r="G552">
        <f t="shared" si="17"/>
        <v>-1.5034028772107133E-2</v>
      </c>
    </row>
    <row r="553" spans="1:7" x14ac:dyDescent="0.25">
      <c r="A553" s="1">
        <v>45218</v>
      </c>
      <c r="B553">
        <v>17.850000381469702</v>
      </c>
      <c r="C553">
        <f>C554*(1+G553*3)</f>
        <v>20.184443643100551</v>
      </c>
      <c r="D553">
        <f t="shared" si="16"/>
        <v>17.8438728357767</v>
      </c>
      <c r="F553">
        <v>14783.1298828125</v>
      </c>
      <c r="G553">
        <f t="shared" si="17"/>
        <v>-8.4598353503309021E-3</v>
      </c>
    </row>
    <row r="554" spans="1:7" x14ac:dyDescent="0.25">
      <c r="A554" s="1">
        <v>45217</v>
      </c>
      <c r="B554">
        <v>18.340000152587798</v>
      </c>
      <c r="C554">
        <f>C555*(1+G554*3)</f>
        <v>20.710054599115182</v>
      </c>
      <c r="D554">
        <f t="shared" si="16"/>
        <v>18.317375909709838</v>
      </c>
      <c r="F554">
        <v>14909.259765625</v>
      </c>
      <c r="G554">
        <f t="shared" si="17"/>
        <v>-1.4068897143792225E-2</v>
      </c>
    </row>
    <row r="555" spans="1:7" x14ac:dyDescent="0.25">
      <c r="A555" s="1">
        <v>45216</v>
      </c>
      <c r="B555">
        <v>19.149999618530199</v>
      </c>
      <c r="C555">
        <f>C556*(1+G555*3)</f>
        <v>21.622676222352585</v>
      </c>
      <c r="D555">
        <f t="shared" si="16"/>
        <v>19.133958250973912</v>
      </c>
      <c r="F555">
        <v>15122.009765625</v>
      </c>
      <c r="G555">
        <f t="shared" si="17"/>
        <v>-3.3428856611843472E-3</v>
      </c>
    </row>
    <row r="556" spans="1:7" x14ac:dyDescent="0.25">
      <c r="A556" s="1">
        <v>45215</v>
      </c>
      <c r="B556">
        <v>19.334999084472599</v>
      </c>
      <c r="C556">
        <f>C557*(1+G556*3)</f>
        <v>21.841719333479084</v>
      </c>
      <c r="D556">
        <f t="shared" si="16"/>
        <v>19.336978957436557</v>
      </c>
      <c r="F556">
        <v>15172.73046875</v>
      </c>
      <c r="G556">
        <f t="shared" si="17"/>
        <v>1.1844543436429156E-2</v>
      </c>
    </row>
    <row r="557" spans="1:7" x14ac:dyDescent="0.25">
      <c r="A557" s="1">
        <v>45212</v>
      </c>
      <c r="B557">
        <v>18.704999923706001</v>
      </c>
      <c r="C557">
        <f>C558*(1+G557*3)</f>
        <v>21.092235630199205</v>
      </c>
      <c r="D557">
        <f t="shared" si="16"/>
        <v>18.681930756746912</v>
      </c>
      <c r="F557">
        <v>14995.1201171875</v>
      </c>
      <c r="G557">
        <f t="shared" si="17"/>
        <v>-1.2445880694224365E-2</v>
      </c>
    </row>
    <row r="558" spans="1:7" x14ac:dyDescent="0.25">
      <c r="A558" s="1">
        <v>45211</v>
      </c>
      <c r="B558">
        <v>19.440000534057599</v>
      </c>
      <c r="C558">
        <f>C559*(1+G558*3)</f>
        <v>21.910315134613999</v>
      </c>
      <c r="D558">
        <f t="shared" si="16"/>
        <v>19.416012852976479</v>
      </c>
      <c r="F558">
        <v>15184.099609375</v>
      </c>
      <c r="G558">
        <f t="shared" si="17"/>
        <v>-3.7412281626333366E-3</v>
      </c>
    </row>
    <row r="559" spans="1:7" x14ac:dyDescent="0.25">
      <c r="A559" s="1">
        <v>45210</v>
      </c>
      <c r="B559">
        <v>19.670000076293899</v>
      </c>
      <c r="C559">
        <f>C560*(1+G559*3)</f>
        <v>22.159020994820619</v>
      </c>
      <c r="D559">
        <f t="shared" si="16"/>
        <v>19.645752616985448</v>
      </c>
      <c r="F559">
        <v>15241.1201171875</v>
      </c>
      <c r="G559">
        <f t="shared" si="17"/>
        <v>7.2431975989688535E-3</v>
      </c>
    </row>
    <row r="560" spans="1:7" x14ac:dyDescent="0.25">
      <c r="A560" s="1">
        <v>45209</v>
      </c>
      <c r="B560">
        <v>19.2600002288818</v>
      </c>
      <c r="C560">
        <f>C561*(1+G560*3)</f>
        <v>21.687754911905795</v>
      </c>
      <c r="D560">
        <f t="shared" si="16"/>
        <v>19.236794551878937</v>
      </c>
      <c r="F560">
        <v>15131.51953125</v>
      </c>
      <c r="G560">
        <f t="shared" si="17"/>
        <v>5.60698460736897E-3</v>
      </c>
    </row>
    <row r="561" spans="1:7" x14ac:dyDescent="0.25">
      <c r="A561" s="1">
        <v>45208</v>
      </c>
      <c r="B561">
        <v>18.9500007629394</v>
      </c>
      <c r="C561">
        <f>C562*(1+G561*3)</f>
        <v>21.328981105654982</v>
      </c>
      <c r="D561">
        <f t="shared" si="16"/>
        <v>18.927322987133063</v>
      </c>
      <c r="F561">
        <v>15047.150390625</v>
      </c>
      <c r="G561">
        <f t="shared" si="17"/>
        <v>4.9361497640516561E-3</v>
      </c>
    </row>
    <row r="562" spans="1:7" x14ac:dyDescent="0.25">
      <c r="A562" s="1">
        <v>45205</v>
      </c>
      <c r="B562">
        <v>18.674999237060501</v>
      </c>
      <c r="C562">
        <f>C563*(1+G562*3)</f>
        <v>21.017740954494698</v>
      </c>
      <c r="D562">
        <f t="shared" si="16"/>
        <v>18.659778798240573</v>
      </c>
      <c r="F562">
        <v>14973.240234375</v>
      </c>
      <c r="G562">
        <f t="shared" si="17"/>
        <v>1.6981374485733669E-2</v>
      </c>
    </row>
    <row r="563" spans="1:7" x14ac:dyDescent="0.25">
      <c r="A563" s="1">
        <v>45204</v>
      </c>
      <c r="B563">
        <v>17.780000686645501</v>
      </c>
      <c r="C563">
        <f>C564*(1+G563*3)</f>
        <v>19.998913819846514</v>
      </c>
      <c r="D563">
        <f t="shared" si="16"/>
        <v>17.763204343093623</v>
      </c>
      <c r="F563">
        <v>14723.2197265625</v>
      </c>
      <c r="G563">
        <f t="shared" si="17"/>
        <v>-3.5888857753151315E-3</v>
      </c>
    </row>
    <row r="564" spans="1:7" x14ac:dyDescent="0.25">
      <c r="A564" s="1">
        <v>45203</v>
      </c>
      <c r="B564">
        <v>17.9699993133544</v>
      </c>
      <c r="C564">
        <f>C565*(1+G564*3)</f>
        <v>20.21657879604652</v>
      </c>
      <c r="D564">
        <f t="shared" si="16"/>
        <v>17.965079587783212</v>
      </c>
      <c r="F564">
        <v>14776.25</v>
      </c>
      <c r="G564">
        <f t="shared" si="17"/>
        <v>1.4460756295844535E-2</v>
      </c>
    </row>
    <row r="565" spans="1:7" x14ac:dyDescent="0.25">
      <c r="A565" s="1">
        <v>45202</v>
      </c>
      <c r="B565">
        <v>17.270000457763601</v>
      </c>
      <c r="C565">
        <f>C566*(1+G565*3)</f>
        <v>19.376003789676886</v>
      </c>
      <c r="D565">
        <f t="shared" si="16"/>
        <v>17.225885248690862</v>
      </c>
      <c r="F565">
        <v>14565.6201171875</v>
      </c>
      <c r="G565">
        <f t="shared" si="17"/>
        <v>-1.8328485701152419E-2</v>
      </c>
    </row>
    <row r="566" spans="1:7" x14ac:dyDescent="0.25">
      <c r="A566" s="1">
        <v>45201</v>
      </c>
      <c r="B566">
        <v>18.235000610351499</v>
      </c>
      <c r="C566">
        <f>C567*(1+G566*3)</f>
        <v>20.503392180916006</v>
      </c>
      <c r="D566">
        <f t="shared" si="16"/>
        <v>18.23724809799474</v>
      </c>
      <c r="F566">
        <v>14837.5703125</v>
      </c>
      <c r="G566">
        <f t="shared" si="17"/>
        <v>8.3131553529949276E-3</v>
      </c>
    </row>
    <row r="567" spans="1:7" x14ac:dyDescent="0.25">
      <c r="A567" s="1">
        <v>45198</v>
      </c>
      <c r="B567">
        <v>17.809999465942301</v>
      </c>
      <c r="C567">
        <f>C568*(1+G567*3)</f>
        <v>20.004490860083678</v>
      </c>
      <c r="D567">
        <f t="shared" si="16"/>
        <v>17.801658744122875</v>
      </c>
      <c r="F567">
        <v>14715.240234375</v>
      </c>
      <c r="G567">
        <f t="shared" si="17"/>
        <v>8.4818734990665945E-4</v>
      </c>
    </row>
    <row r="568" spans="1:7" x14ac:dyDescent="0.25">
      <c r="A568" s="1">
        <v>45197</v>
      </c>
      <c r="B568">
        <v>17.770000457763601</v>
      </c>
      <c r="C568">
        <f>C569*(1+G568*3)</f>
        <v>19.953717388067165</v>
      </c>
      <c r="D568">
        <f t="shared" ref="D568:D631" si="18">D569*(1+3*G568-0.000470434260716402)</f>
        <v>17.764812253361747</v>
      </c>
      <c r="F568">
        <v>14702.76953125</v>
      </c>
      <c r="G568">
        <f t="shared" si="17"/>
        <v>8.4093297800602596E-3</v>
      </c>
    </row>
    <row r="569" spans="1:7" x14ac:dyDescent="0.25">
      <c r="A569" s="1">
        <v>45196</v>
      </c>
      <c r="B569">
        <v>17.350000381469702</v>
      </c>
      <c r="C569">
        <f>C570*(1+G569*3)</f>
        <v>19.462712289886895</v>
      </c>
      <c r="D569">
        <f t="shared" si="18"/>
        <v>17.335624573154949</v>
      </c>
      <c r="F569">
        <v>14580.16015625</v>
      </c>
      <c r="G569">
        <f t="shared" si="17"/>
        <v>2.3601319375117225E-3</v>
      </c>
    </row>
    <row r="570" spans="1:7" x14ac:dyDescent="0.25">
      <c r="A570" s="1">
        <v>45195</v>
      </c>
      <c r="B570">
        <v>17.245000839233398</v>
      </c>
      <c r="C570">
        <f>C571*(1+G570*3)</f>
        <v>19.325877428270203</v>
      </c>
      <c r="D570">
        <f t="shared" si="18"/>
        <v>17.221789208632362</v>
      </c>
      <c r="F570">
        <v>14545.830078125</v>
      </c>
      <c r="G570">
        <f t="shared" si="17"/>
        <v>-1.5104056943982092E-2</v>
      </c>
    </row>
    <row r="571" spans="1:7" x14ac:dyDescent="0.25">
      <c r="A571" s="1">
        <v>45194</v>
      </c>
      <c r="B571">
        <v>18.049999237060501</v>
      </c>
      <c r="C571">
        <f>C572*(1+G571*3)</f>
        <v>20.243137953388814</v>
      </c>
      <c r="D571">
        <f t="shared" si="18"/>
        <v>18.048077199750423</v>
      </c>
      <c r="F571">
        <v>14768.900390625</v>
      </c>
      <c r="G571">
        <f t="shared" si="17"/>
        <v>4.6119530546384624E-3</v>
      </c>
    </row>
    <row r="572" spans="1:7" x14ac:dyDescent="0.25">
      <c r="A572" s="1">
        <v>45191</v>
      </c>
      <c r="B572">
        <v>17.815000534057599</v>
      </c>
      <c r="C572">
        <f>C573*(1+G572*3)</f>
        <v>19.96687902722519</v>
      </c>
      <c r="D572">
        <f t="shared" si="18"/>
        <v>17.810038468082187</v>
      </c>
      <c r="F572">
        <v>14701.099609375</v>
      </c>
      <c r="G572">
        <f t="shared" si="17"/>
        <v>4.668070543689673E-4</v>
      </c>
    </row>
    <row r="573" spans="1:7" x14ac:dyDescent="0.25">
      <c r="A573" s="1">
        <v>45190</v>
      </c>
      <c r="B573">
        <v>17.799999237060501</v>
      </c>
      <c r="C573">
        <f>C574*(1+G573*3)</f>
        <v>19.938956091144892</v>
      </c>
      <c r="D573">
        <f t="shared" si="18"/>
        <v>17.793490754732481</v>
      </c>
      <c r="F573">
        <v>14694.240234375</v>
      </c>
      <c r="G573">
        <f t="shared" si="17"/>
        <v>-1.8415575296241826E-2</v>
      </c>
    </row>
    <row r="574" spans="1:7" x14ac:dyDescent="0.25">
      <c r="A574" s="1">
        <v>45189</v>
      </c>
      <c r="B574">
        <v>18.875</v>
      </c>
      <c r="C574">
        <f>C575*(1+G574*3)</f>
        <v>21.104934629521537</v>
      </c>
      <c r="D574">
        <f t="shared" si="18"/>
        <v>18.843390988179422</v>
      </c>
      <c r="F574">
        <v>14969.919921875</v>
      </c>
      <c r="G574">
        <f t="shared" si="17"/>
        <v>-1.4568309481595931E-2</v>
      </c>
    </row>
    <row r="575" spans="1:7" x14ac:dyDescent="0.25">
      <c r="A575" s="1">
        <v>45188</v>
      </c>
      <c r="B575">
        <v>19.799999237060501</v>
      </c>
      <c r="C575">
        <f>C576*(1+G575*3)</f>
        <v>22.069479658824147</v>
      </c>
      <c r="D575">
        <f t="shared" si="18"/>
        <v>19.714276293940777</v>
      </c>
      <c r="F575">
        <v>15191.23046875</v>
      </c>
      <c r="G575">
        <f t="shared" si="17"/>
        <v>-2.2422869312688221E-3</v>
      </c>
    </row>
    <row r="576" spans="1:7" x14ac:dyDescent="0.25">
      <c r="A576" s="1">
        <v>45187</v>
      </c>
      <c r="B576">
        <v>19.920000076293899</v>
      </c>
      <c r="C576">
        <f>C577*(1+G576*3)</f>
        <v>22.218943398048282</v>
      </c>
      <c r="D576">
        <f t="shared" si="18"/>
        <v>19.857194380854803</v>
      </c>
      <c r="F576">
        <v>15225.3701171875</v>
      </c>
      <c r="G576">
        <f t="shared" si="17"/>
        <v>1.5109276148697059E-3</v>
      </c>
    </row>
    <row r="577" spans="1:7" x14ac:dyDescent="0.25">
      <c r="A577" s="1">
        <v>45184</v>
      </c>
      <c r="B577">
        <v>19.875</v>
      </c>
      <c r="C577">
        <f>C578*(1+G577*3)</f>
        <v>22.1186842057352</v>
      </c>
      <c r="D577">
        <f t="shared" si="18"/>
        <v>19.776853906394312</v>
      </c>
      <c r="F577">
        <v>15202.400390625</v>
      </c>
      <c r="G577">
        <f t="shared" si="17"/>
        <v>-1.75449912065202E-2</v>
      </c>
    </row>
    <row r="578" spans="1:7" x14ac:dyDescent="0.25">
      <c r="A578" s="1">
        <v>45183</v>
      </c>
      <c r="B578">
        <v>20.9500007629394</v>
      </c>
      <c r="C578">
        <f>C579*(1+G578*3)</f>
        <v>23.3475836555242</v>
      </c>
      <c r="D578">
        <f t="shared" si="18"/>
        <v>20.886014210010163</v>
      </c>
      <c r="F578">
        <v>15473.8896484375</v>
      </c>
      <c r="G578">
        <f t="shared" ref="G578:G641" si="19">F578/F579-1</f>
        <v>8.1675165482748557E-3</v>
      </c>
    </row>
    <row r="579" spans="1:7" x14ac:dyDescent="0.25">
      <c r="A579" s="1">
        <v>45182</v>
      </c>
      <c r="B579">
        <v>20.4699993133544</v>
      </c>
      <c r="C579">
        <f>C580*(1+G579*3)</f>
        <v>22.789190386708515</v>
      </c>
      <c r="D579">
        <f t="shared" si="18"/>
        <v>20.395858583181202</v>
      </c>
      <c r="F579">
        <v>15348.5302734375</v>
      </c>
      <c r="G579">
        <f t="shared" si="19"/>
        <v>3.8450646094252416E-3</v>
      </c>
    </row>
    <row r="580" spans="1:7" x14ac:dyDescent="0.25">
      <c r="A580" s="1">
        <v>45181</v>
      </c>
      <c r="B580">
        <v>20.270000457763601</v>
      </c>
      <c r="C580">
        <f>C581*(1+G580*3)</f>
        <v>22.529310424148569</v>
      </c>
      <c r="D580">
        <f t="shared" si="18"/>
        <v>20.17265302759111</v>
      </c>
      <c r="F580">
        <v>15289.740234375</v>
      </c>
      <c r="G580">
        <f t="shared" si="19"/>
        <v>-1.1132539693316845E-2</v>
      </c>
    </row>
    <row r="581" spans="1:7" x14ac:dyDescent="0.25">
      <c r="A581" s="1">
        <v>45180</v>
      </c>
      <c r="B581">
        <v>20.940000534057599</v>
      </c>
      <c r="C581">
        <f>C582*(1+G581*3)</f>
        <v>23.30773321984196</v>
      </c>
      <c r="D581">
        <f t="shared" si="18"/>
        <v>20.879811600624123</v>
      </c>
      <c r="F581">
        <v>15461.8701171875</v>
      </c>
      <c r="G581">
        <f t="shared" si="19"/>
        <v>1.1887232251436064E-2</v>
      </c>
    </row>
    <row r="582" spans="1:7" x14ac:dyDescent="0.25">
      <c r="A582" s="1">
        <v>45177</v>
      </c>
      <c r="B582">
        <v>20.25</v>
      </c>
      <c r="C582">
        <f>C583*(1+G582*3)</f>
        <v>22.505160993099171</v>
      </c>
      <c r="D582">
        <f t="shared" si="18"/>
        <v>20.170003705719434</v>
      </c>
      <c r="F582">
        <v>15280.23046875</v>
      </c>
      <c r="G582">
        <f t="shared" si="19"/>
        <v>1.4228731336309863E-3</v>
      </c>
    </row>
    <row r="583" spans="1:7" x14ac:dyDescent="0.25">
      <c r="A583" s="1">
        <v>45176</v>
      </c>
      <c r="B583">
        <v>20.190000534057599</v>
      </c>
      <c r="C583">
        <f>C584*(1+G583*3)</f>
        <v>22.409503352325061</v>
      </c>
      <c r="D583">
        <f t="shared" si="18"/>
        <v>20.093684173081837</v>
      </c>
      <c r="F583">
        <v>15258.51953125</v>
      </c>
      <c r="G583">
        <f t="shared" si="19"/>
        <v>-7.3461494356384938E-3</v>
      </c>
    </row>
    <row r="584" spans="1:7" x14ac:dyDescent="0.25">
      <c r="A584" s="1">
        <v>45175</v>
      </c>
      <c r="B584">
        <v>20.639999389648398</v>
      </c>
      <c r="C584">
        <f>C585*(1+G584*3)</f>
        <v>22.914503452133541</v>
      </c>
      <c r="D584">
        <f t="shared" si="18"/>
        <v>20.556385438941959</v>
      </c>
      <c r="F584">
        <v>15371.4404296875</v>
      </c>
      <c r="G584">
        <f t="shared" si="19"/>
        <v>-8.8211043045538506E-3</v>
      </c>
    </row>
    <row r="585" spans="1:7" x14ac:dyDescent="0.25">
      <c r="A585" s="1">
        <v>45174</v>
      </c>
      <c r="B585">
        <v>21.2000007629394</v>
      </c>
      <c r="C585">
        <f>C586*(1+G585*3)</f>
        <v>23.537380517947916</v>
      </c>
      <c r="D585">
        <f t="shared" si="18"/>
        <v>21.125370836003864</v>
      </c>
      <c r="F585">
        <v>15508.240234375</v>
      </c>
      <c r="G585">
        <f t="shared" si="19"/>
        <v>1.1219443218817293E-3</v>
      </c>
    </row>
    <row r="586" spans="1:7" x14ac:dyDescent="0.25">
      <c r="A586" s="1">
        <v>45170</v>
      </c>
      <c r="B586">
        <v>21.145000457763601</v>
      </c>
      <c r="C586">
        <f>C587*(1+G586*3)</f>
        <v>23.458423383202671</v>
      </c>
      <c r="D586">
        <f t="shared" si="18"/>
        <v>21.064381054378892</v>
      </c>
      <c r="F586">
        <v>15490.8603515625</v>
      </c>
      <c r="G586">
        <f t="shared" si="19"/>
        <v>-6.5866167507588891E-4</v>
      </c>
    </row>
    <row r="587" spans="1:7" x14ac:dyDescent="0.25">
      <c r="A587" s="1">
        <v>45169</v>
      </c>
      <c r="B587">
        <v>21.2199993133544</v>
      </c>
      <c r="C587">
        <f>C588*(1+G587*3)</f>
        <v>23.504868651678329</v>
      </c>
      <c r="D587">
        <f t="shared" si="18"/>
        <v>21.116039741244634</v>
      </c>
      <c r="F587">
        <v>15501.0703125</v>
      </c>
      <c r="G587">
        <f t="shared" si="19"/>
        <v>2.4990008543894771E-3</v>
      </c>
    </row>
    <row r="588" spans="1:7" x14ac:dyDescent="0.25">
      <c r="A588" s="1">
        <v>45168</v>
      </c>
      <c r="B588">
        <v>21.030000686645501</v>
      </c>
      <c r="C588">
        <f>C589*(1+G588*3)</f>
        <v>23.329963852874702</v>
      </c>
      <c r="D588">
        <f t="shared" si="18"/>
        <v>20.968701726350687</v>
      </c>
      <c r="F588">
        <v>15462.4296875</v>
      </c>
      <c r="G588">
        <f t="shared" si="19"/>
        <v>5.5851204531149889E-3</v>
      </c>
    </row>
    <row r="589" spans="1:7" x14ac:dyDescent="0.25">
      <c r="A589" s="1">
        <v>45167</v>
      </c>
      <c r="B589">
        <v>20.684999465942301</v>
      </c>
      <c r="C589">
        <f>C590*(1+G589*3)</f>
        <v>22.945503647685562</v>
      </c>
      <c r="D589">
        <f t="shared" si="18"/>
        <v>20.632699715633699</v>
      </c>
      <c r="F589">
        <v>15376.5498046875</v>
      </c>
      <c r="G589">
        <f t="shared" si="19"/>
        <v>2.1530689640832268E-2</v>
      </c>
    </row>
    <row r="590" spans="1:7" x14ac:dyDescent="0.25">
      <c r="A590" s="1">
        <v>45166</v>
      </c>
      <c r="B590">
        <v>19.444999694824201</v>
      </c>
      <c r="C590">
        <f>C591*(1+G590*3)</f>
        <v>21.553329502923447</v>
      </c>
      <c r="D590">
        <f t="shared" si="18"/>
        <v>19.389418505894376</v>
      </c>
      <c r="F590">
        <v>15052.4599609375</v>
      </c>
      <c r="G590">
        <f t="shared" si="19"/>
        <v>7.4040383429645473E-3</v>
      </c>
    </row>
    <row r="591" spans="1:7" x14ac:dyDescent="0.25">
      <c r="A591" s="1">
        <v>45163</v>
      </c>
      <c r="B591">
        <v>19.020000457763601</v>
      </c>
      <c r="C591">
        <f>C592*(1+G591*3)</f>
        <v>21.084987338771878</v>
      </c>
      <c r="D591">
        <f t="shared" si="18"/>
        <v>18.97683031910454</v>
      </c>
      <c r="F591">
        <v>14941.830078125</v>
      </c>
      <c r="G591">
        <f t="shared" si="19"/>
        <v>8.4628726469455628E-3</v>
      </c>
    </row>
    <row r="592" spans="1:7" x14ac:dyDescent="0.25">
      <c r="A592" s="1">
        <v>45162</v>
      </c>
      <c r="B592">
        <v>18.579999923706001</v>
      </c>
      <c r="C592">
        <f>C593*(1+G592*3)</f>
        <v>20.562923139437899</v>
      </c>
      <c r="D592">
        <f t="shared" si="18"/>
        <v>18.515458717851434</v>
      </c>
      <c r="F592">
        <v>14816.4404296875</v>
      </c>
      <c r="G592">
        <f t="shared" si="19"/>
        <v>-2.189185612095923E-2</v>
      </c>
    </row>
    <row r="593" spans="1:7" x14ac:dyDescent="0.25">
      <c r="A593" s="1">
        <v>45161</v>
      </c>
      <c r="B593">
        <v>19.889999389648398</v>
      </c>
      <c r="C593">
        <f>C594*(1+G593*3)</f>
        <v>22.008332912163674</v>
      </c>
      <c r="D593">
        <f t="shared" si="18"/>
        <v>19.826930944097526</v>
      </c>
      <c r="F593">
        <v>15148.0595703125</v>
      </c>
      <c r="G593">
        <f t="shared" si="19"/>
        <v>1.6037309778915265E-2</v>
      </c>
    </row>
    <row r="594" spans="1:7" x14ac:dyDescent="0.25">
      <c r="A594" s="1">
        <v>45160</v>
      </c>
      <c r="B594">
        <v>18.995000839233398</v>
      </c>
      <c r="C594">
        <f>C595*(1+G594*3)</f>
        <v>20.998075011025527</v>
      </c>
      <c r="D594">
        <f t="shared" si="18"/>
        <v>18.925301295610335</v>
      </c>
      <c r="F594">
        <v>14908.9599609375</v>
      </c>
      <c r="G594">
        <f t="shared" si="19"/>
        <v>-1.8565336732750959E-3</v>
      </c>
    </row>
    <row r="595" spans="1:7" x14ac:dyDescent="0.25">
      <c r="A595" s="1">
        <v>45159</v>
      </c>
      <c r="B595">
        <v>19.079999923706001</v>
      </c>
      <c r="C595">
        <f>C596*(1+G595*3)</f>
        <v>21.115680929062339</v>
      </c>
      <c r="D595">
        <f t="shared" si="18"/>
        <v>19.040305412051413</v>
      </c>
      <c r="F595">
        <v>14936.6904296875</v>
      </c>
      <c r="G595">
        <f t="shared" si="19"/>
        <v>1.6458198150445469E-2</v>
      </c>
    </row>
    <row r="596" spans="1:7" x14ac:dyDescent="0.25">
      <c r="A596" s="1">
        <v>45156</v>
      </c>
      <c r="B596">
        <v>18.2000007629394</v>
      </c>
      <c r="C596">
        <f>C597*(1+G596*3)</f>
        <v>20.122157560049025</v>
      </c>
      <c r="D596">
        <f t="shared" si="18"/>
        <v>18.152569257224769</v>
      </c>
      <c r="F596">
        <v>14694.83984375</v>
      </c>
      <c r="G596">
        <f t="shared" si="19"/>
        <v>-1.4249794727436704E-3</v>
      </c>
    </row>
    <row r="597" spans="1:7" x14ac:dyDescent="0.25">
      <c r="A597" s="1">
        <v>45155</v>
      </c>
      <c r="B597">
        <v>18.284999847412099</v>
      </c>
      <c r="C597">
        <f>C598*(1+G597*3)</f>
        <v>20.208547857662406</v>
      </c>
      <c r="D597">
        <f t="shared" si="18"/>
        <v>18.239120682198095</v>
      </c>
      <c r="F597">
        <v>14715.8095703125</v>
      </c>
      <c r="G597">
        <f t="shared" si="19"/>
        <v>-1.0799615715490263E-2</v>
      </c>
    </row>
    <row r="598" spans="1:7" x14ac:dyDescent="0.25">
      <c r="A598" s="1">
        <v>45154</v>
      </c>
      <c r="B598">
        <v>18.924999237060501</v>
      </c>
      <c r="C598">
        <f>C599*(1+G598*3)</f>
        <v>20.885204402729229</v>
      </c>
      <c r="D598">
        <f t="shared" si="18"/>
        <v>18.859002543871465</v>
      </c>
      <c r="F598">
        <v>14876.4697265625</v>
      </c>
      <c r="G598">
        <f t="shared" si="19"/>
        <v>-1.07184739554117E-2</v>
      </c>
    </row>
    <row r="599" spans="1:7" x14ac:dyDescent="0.25">
      <c r="A599" s="1">
        <v>45153</v>
      </c>
      <c r="B599">
        <v>19.5750007629394</v>
      </c>
      <c r="C599">
        <f>C600*(1+G599*3)</f>
        <v>21.579089116767985</v>
      </c>
      <c r="D599">
        <f t="shared" si="18"/>
        <v>19.495045079834583</v>
      </c>
      <c r="F599">
        <v>15037.650390625</v>
      </c>
      <c r="G599">
        <f t="shared" si="19"/>
        <v>-1.1044586553413338E-2</v>
      </c>
    </row>
    <row r="600" spans="1:7" x14ac:dyDescent="0.25">
      <c r="A600" s="1">
        <v>45152</v>
      </c>
      <c r="B600">
        <v>20.194999694824201</v>
      </c>
      <c r="C600">
        <f>C601*(1+G600*3)</f>
        <v>22.318587842290391</v>
      </c>
      <c r="D600">
        <f t="shared" si="18"/>
        <v>20.172940483808393</v>
      </c>
      <c r="F600">
        <v>15205.58984375</v>
      </c>
      <c r="G600">
        <f t="shared" si="19"/>
        <v>1.1812529989452036E-2</v>
      </c>
    </row>
    <row r="601" spans="1:7" x14ac:dyDescent="0.25">
      <c r="A601" s="1">
        <v>45149</v>
      </c>
      <c r="B601">
        <v>19.545000076293899</v>
      </c>
      <c r="C601">
        <f>C602*(1+G601*3)</f>
        <v>21.554739810993791</v>
      </c>
      <c r="D601">
        <f t="shared" si="18"/>
        <v>19.491382284508845</v>
      </c>
      <c r="F601">
        <v>15028.0703125</v>
      </c>
      <c r="G601">
        <f t="shared" si="19"/>
        <v>-6.6607573542151188E-3</v>
      </c>
    </row>
    <row r="602" spans="1:7" x14ac:dyDescent="0.25">
      <c r="A602" s="1">
        <v>45148</v>
      </c>
      <c r="B602">
        <v>19.944999694824201</v>
      </c>
      <c r="C602">
        <f>C603*(1+G602*3)</f>
        <v>21.994234590388579</v>
      </c>
      <c r="D602">
        <f t="shared" si="18"/>
        <v>19.898357547750226</v>
      </c>
      <c r="F602">
        <v>15128.83984375</v>
      </c>
      <c r="G602">
        <f t="shared" si="19"/>
        <v>1.7964775434486935E-3</v>
      </c>
    </row>
    <row r="603" spans="1:7" x14ac:dyDescent="0.25">
      <c r="A603" s="1">
        <v>45147</v>
      </c>
      <c r="B603">
        <v>19.8549995422363</v>
      </c>
      <c r="C603">
        <f>C604*(1+G603*3)</f>
        <v>21.876333564444028</v>
      </c>
      <c r="D603">
        <f t="shared" si="18"/>
        <v>19.80095667415296</v>
      </c>
      <c r="F603">
        <v>15101.7099609375</v>
      </c>
      <c r="G603">
        <f t="shared" si="19"/>
        <v>-1.1218443332608907E-2</v>
      </c>
    </row>
    <row r="604" spans="1:7" x14ac:dyDescent="0.25">
      <c r="A604" s="1">
        <v>45146</v>
      </c>
      <c r="B604">
        <v>20.540000915527301</v>
      </c>
      <c r="C604">
        <f>C605*(1+G604*3)</f>
        <v>22.638230688844001</v>
      </c>
      <c r="D604">
        <f t="shared" si="18"/>
        <v>20.500553738192099</v>
      </c>
      <c r="F604">
        <v>15273.0498046875</v>
      </c>
      <c r="G604">
        <f t="shared" si="19"/>
        <v>-8.748774689849026E-3</v>
      </c>
    </row>
    <row r="605" spans="1:7" x14ac:dyDescent="0.25">
      <c r="A605" s="1">
        <v>45145</v>
      </c>
      <c r="B605">
        <v>21.079999923706001</v>
      </c>
      <c r="C605">
        <f>C606*(1+G605*3)</f>
        <v>23.248416153307399</v>
      </c>
      <c r="D605">
        <f t="shared" si="18"/>
        <v>21.063296747020882</v>
      </c>
      <c r="F605">
        <v>15407.849609375</v>
      </c>
      <c r="G605">
        <f t="shared" si="19"/>
        <v>8.7024801556985221E-3</v>
      </c>
    </row>
    <row r="606" spans="1:7" x14ac:dyDescent="0.25">
      <c r="A606" s="1">
        <v>45142</v>
      </c>
      <c r="B606">
        <v>20.569999694824201</v>
      </c>
      <c r="C606">
        <f>C607*(1+G606*3)</f>
        <v>22.656902422152267</v>
      </c>
      <c r="D606">
        <f t="shared" si="18"/>
        <v>20.536794810992337</v>
      </c>
      <c r="F606">
        <v>15274.919921875</v>
      </c>
      <c r="G606">
        <f t="shared" si="19"/>
        <v>-5.1206508067503931E-3</v>
      </c>
    </row>
    <row r="607" spans="1:7" x14ac:dyDescent="0.25">
      <c r="A607" s="1">
        <v>45141</v>
      </c>
      <c r="B607">
        <v>20.860000610351499</v>
      </c>
      <c r="C607">
        <f>C608*(1+G607*3)</f>
        <v>23.010386890739376</v>
      </c>
      <c r="D607">
        <f t="shared" si="18"/>
        <v>20.867171946182538</v>
      </c>
      <c r="F607">
        <v>15353.5400390625</v>
      </c>
      <c r="G607">
        <f t="shared" si="19"/>
        <v>-1.1190219241382637E-3</v>
      </c>
    </row>
    <row r="608" spans="1:7" x14ac:dyDescent="0.25">
      <c r="A608" s="1">
        <v>45140</v>
      </c>
      <c r="B608">
        <v>21.0100002288818</v>
      </c>
      <c r="C608">
        <f>C609*(1+G608*3)</f>
        <v>23.08789447102518</v>
      </c>
      <c r="D608">
        <f t="shared" si="18"/>
        <v>20.947347921044344</v>
      </c>
      <c r="F608">
        <v>15370.740234375</v>
      </c>
      <c r="G608">
        <f t="shared" si="19"/>
        <v>-2.2093734284951982E-2</v>
      </c>
    </row>
    <row r="609" spans="1:7" x14ac:dyDescent="0.25">
      <c r="A609" s="1">
        <v>45139</v>
      </c>
      <c r="B609">
        <v>22.4799995422363</v>
      </c>
      <c r="C609">
        <f>C610*(1+G609*3)</f>
        <v>24.726817690311776</v>
      </c>
      <c r="D609">
        <f t="shared" si="18"/>
        <v>22.4456305032259</v>
      </c>
      <c r="F609">
        <v>15718.009765625</v>
      </c>
      <c r="G609">
        <f t="shared" si="19"/>
        <v>-2.4744706717649834E-3</v>
      </c>
    </row>
    <row r="610" spans="1:7" x14ac:dyDescent="0.25">
      <c r="A610" s="1">
        <v>45138</v>
      </c>
      <c r="B610">
        <v>22.655000686645501</v>
      </c>
      <c r="C610">
        <f>C611*(1+G610*3)</f>
        <v>24.91174785868796</v>
      </c>
      <c r="D610">
        <f t="shared" si="18"/>
        <v>22.624222638851247</v>
      </c>
      <c r="F610">
        <v>15757</v>
      </c>
      <c r="G610">
        <f t="shared" si="19"/>
        <v>3.8539391772007825E-4</v>
      </c>
    </row>
    <row r="611" spans="1:7" x14ac:dyDescent="0.25">
      <c r="A611" s="1">
        <v>45135</v>
      </c>
      <c r="B611">
        <v>22.610000610351499</v>
      </c>
      <c r="C611">
        <f>C612*(1+G611*3)</f>
        <v>24.882978612851506</v>
      </c>
      <c r="D611">
        <f t="shared" si="18"/>
        <v>22.608718766649652</v>
      </c>
      <c r="F611">
        <v>15750.9296875</v>
      </c>
      <c r="G611">
        <f t="shared" si="19"/>
        <v>1.8493456212165471E-2</v>
      </c>
    </row>
    <row r="612" spans="1:7" x14ac:dyDescent="0.25">
      <c r="A612" s="1">
        <v>45134</v>
      </c>
      <c r="B612">
        <v>21.4500007629394</v>
      </c>
      <c r="C612">
        <f>C613*(1+G612*3)</f>
        <v>23.575027401974459</v>
      </c>
      <c r="D612">
        <f t="shared" si="18"/>
        <v>21.429863387994164</v>
      </c>
      <c r="F612">
        <v>15464.9296875</v>
      </c>
      <c r="G612">
        <f t="shared" si="19"/>
        <v>-2.2149495294697674E-3</v>
      </c>
    </row>
    <row r="613" spans="1:7" x14ac:dyDescent="0.25">
      <c r="A613" s="1">
        <v>45133</v>
      </c>
      <c r="B613">
        <v>21.6350002288818</v>
      </c>
      <c r="C613">
        <f>C614*(1+G613*3)</f>
        <v>23.732727784693683</v>
      </c>
      <c r="D613">
        <f t="shared" si="18"/>
        <v>21.583435637410236</v>
      </c>
      <c r="F613">
        <v>15499.259765625</v>
      </c>
      <c r="G613">
        <f t="shared" si="19"/>
        <v>-3.9945041366450385E-3</v>
      </c>
    </row>
    <row r="614" spans="1:7" x14ac:dyDescent="0.25">
      <c r="A614" s="1">
        <v>45132</v>
      </c>
      <c r="B614">
        <v>21.860000610351499</v>
      </c>
      <c r="C614">
        <f>C615*(1+G614*3)</f>
        <v>24.020578687489031</v>
      </c>
      <c r="D614">
        <f t="shared" si="18"/>
        <v>21.855624418370411</v>
      </c>
      <c r="F614">
        <v>15561.419921875</v>
      </c>
      <c r="G614">
        <f t="shared" si="19"/>
        <v>7.3407720902733953E-3</v>
      </c>
    </row>
    <row r="615" spans="1:7" x14ac:dyDescent="0.25">
      <c r="A615" s="1">
        <v>45131</v>
      </c>
      <c r="B615">
        <v>21.4300003051757</v>
      </c>
      <c r="C615">
        <f>C616*(1+G615*3)</f>
        <v>23.50298844269458</v>
      </c>
      <c r="D615">
        <f t="shared" si="18"/>
        <v>21.394531989276143</v>
      </c>
      <c r="F615">
        <v>15448.01953125</v>
      </c>
      <c r="G615">
        <f t="shared" si="19"/>
        <v>1.448858266006825E-3</v>
      </c>
    </row>
    <row r="616" spans="1:7" x14ac:dyDescent="0.25">
      <c r="A616" s="1">
        <v>45128</v>
      </c>
      <c r="B616">
        <v>21.3449993133544</v>
      </c>
      <c r="C616">
        <f>C617*(1+G616*3)</f>
        <v>23.401273058974844</v>
      </c>
      <c r="D616">
        <f t="shared" si="18"/>
        <v>21.311923976821642</v>
      </c>
      <c r="F616">
        <v>15425.669921875</v>
      </c>
      <c r="G616">
        <f t="shared" si="19"/>
        <v>-2.6134544854810038E-3</v>
      </c>
    </row>
    <row r="617" spans="1:7" x14ac:dyDescent="0.25">
      <c r="A617" s="1">
        <v>45127</v>
      </c>
      <c r="B617">
        <v>21.534999847412099</v>
      </c>
      <c r="C617">
        <f>C618*(1+G617*3)</f>
        <v>23.586197419297555</v>
      </c>
      <c r="D617">
        <f t="shared" si="18"/>
        <v>21.490527402902234</v>
      </c>
      <c r="F617">
        <v>15466.08984375</v>
      </c>
      <c r="G617">
        <f t="shared" si="19"/>
        <v>-2.2763288725253128E-2</v>
      </c>
    </row>
    <row r="618" spans="1:7" x14ac:dyDescent="0.25">
      <c r="A618" s="1">
        <v>45126</v>
      </c>
      <c r="B618">
        <v>23.159999847412099</v>
      </c>
      <c r="C618">
        <f>C619*(1+G618*3)</f>
        <v>25.314952111218417</v>
      </c>
      <c r="D618">
        <f t="shared" si="18"/>
        <v>23.077331661198432</v>
      </c>
      <c r="F618">
        <v>15826.349609375</v>
      </c>
      <c r="G618">
        <f t="shared" si="19"/>
        <v>-9.4688901955186644E-4</v>
      </c>
    </row>
    <row r="619" spans="1:7" x14ac:dyDescent="0.25">
      <c r="A619" s="1">
        <v>45125</v>
      </c>
      <c r="B619">
        <v>23.159999847412099</v>
      </c>
      <c r="C619">
        <f>C620*(1+G619*3)</f>
        <v>25.387068319910625</v>
      </c>
      <c r="D619">
        <f t="shared" si="18"/>
        <v>23.153996890852468</v>
      </c>
      <c r="F619">
        <v>15841.349609375</v>
      </c>
      <c r="G619">
        <f t="shared" si="19"/>
        <v>8.1503883154172563E-3</v>
      </c>
    </row>
    <row r="620" spans="1:7" x14ac:dyDescent="0.25">
      <c r="A620" s="1">
        <v>45124</v>
      </c>
      <c r="B620">
        <v>22.620000839233398</v>
      </c>
      <c r="C620">
        <f>C621*(1+G620*3)</f>
        <v>24.781140564413892</v>
      </c>
      <c r="D620">
        <f t="shared" si="18"/>
        <v>22.611750589633964</v>
      </c>
      <c r="F620">
        <v>15713.2802734375</v>
      </c>
      <c r="G620">
        <f t="shared" si="19"/>
        <v>9.4876309148768101E-3</v>
      </c>
    </row>
    <row r="621" spans="1:7" x14ac:dyDescent="0.25">
      <c r="A621" s="1">
        <v>45121</v>
      </c>
      <c r="B621">
        <v>22.0100002288818</v>
      </c>
      <c r="C621">
        <f>C622*(1+G621*3)</f>
        <v>24.095318109417782</v>
      </c>
      <c r="D621">
        <f t="shared" si="18"/>
        <v>21.996027697500654</v>
      </c>
      <c r="F621">
        <v>15565.599609375</v>
      </c>
      <c r="G621">
        <f t="shared" si="19"/>
        <v>-4.0976543656767728E-4</v>
      </c>
    </row>
    <row r="622" spans="1:7" x14ac:dyDescent="0.25">
      <c r="A622" s="1">
        <v>45120</v>
      </c>
      <c r="B622">
        <v>22.030000686645501</v>
      </c>
      <c r="C622">
        <f>C623*(1+G622*3)</f>
        <v>24.124974851974994</v>
      </c>
      <c r="D622">
        <f t="shared" si="18"/>
        <v>22.033478674776855</v>
      </c>
      <c r="F622">
        <v>15571.98046875</v>
      </c>
      <c r="G622">
        <f t="shared" si="19"/>
        <v>1.7295747949995999E-2</v>
      </c>
    </row>
    <row r="623" spans="1:7" x14ac:dyDescent="0.25">
      <c r="A623" s="1">
        <v>45119</v>
      </c>
      <c r="B623">
        <v>20.985000610351499</v>
      </c>
      <c r="C623">
        <f>C624*(1+G623*3)</f>
        <v>22.934943828842087</v>
      </c>
      <c r="D623">
        <f t="shared" si="18"/>
        <v>20.95598859921602</v>
      </c>
      <c r="F623">
        <v>15307.23046875</v>
      </c>
      <c r="G623">
        <f t="shared" si="19"/>
        <v>1.2445939349758905E-2</v>
      </c>
    </row>
    <row r="624" spans="1:7" x14ac:dyDescent="0.25">
      <c r="A624" s="1">
        <v>45118</v>
      </c>
      <c r="B624">
        <v>20.235000610351499</v>
      </c>
      <c r="C624">
        <f>C625*(1+G624*3)</f>
        <v>22.109426099948287</v>
      </c>
      <c r="D624">
        <f t="shared" si="18"/>
        <v>20.2108668156249</v>
      </c>
      <c r="F624">
        <v>15119.0595703125</v>
      </c>
      <c r="G624">
        <f t="shared" si="19"/>
        <v>4.8798139255332718E-3</v>
      </c>
    </row>
    <row r="625" spans="1:7" x14ac:dyDescent="0.25">
      <c r="A625" s="1">
        <v>45117</v>
      </c>
      <c r="B625">
        <v>19.9500007629394</v>
      </c>
      <c r="C625">
        <f>C626*(1+G625*3)</f>
        <v>21.790426421069753</v>
      </c>
      <c r="D625">
        <f t="shared" si="18"/>
        <v>19.928499752846538</v>
      </c>
      <c r="F625">
        <v>15045.6396484375</v>
      </c>
      <c r="G625">
        <f t="shared" si="19"/>
        <v>5.845665342705253E-4</v>
      </c>
    </row>
    <row r="626" spans="1:7" x14ac:dyDescent="0.25">
      <c r="A626" s="1">
        <v>45114</v>
      </c>
      <c r="B626">
        <v>19.934999465942301</v>
      </c>
      <c r="C626">
        <f>C627*(1+G626*3)</f>
        <v>21.75227945722537</v>
      </c>
      <c r="D626">
        <f t="shared" si="18"/>
        <v>19.90295897538828</v>
      </c>
      <c r="F626">
        <v>15036.849609375</v>
      </c>
      <c r="G626">
        <f t="shared" si="19"/>
        <v>-3.4859179928132811E-3</v>
      </c>
    </row>
    <row r="627" spans="1:7" x14ac:dyDescent="0.25">
      <c r="A627" s="1">
        <v>45113</v>
      </c>
      <c r="B627">
        <v>20.139999389648398</v>
      </c>
      <c r="C627">
        <f>C628*(1+G627*3)</f>
        <v>21.982163515180968</v>
      </c>
      <c r="D627">
        <f t="shared" si="18"/>
        <v>20.122865436792761</v>
      </c>
      <c r="F627">
        <v>15089.4501953125</v>
      </c>
      <c r="G627">
        <f t="shared" si="19"/>
        <v>-7.5198454640090784E-3</v>
      </c>
    </row>
    <row r="628" spans="1:7" x14ac:dyDescent="0.25">
      <c r="A628" s="1">
        <v>45112</v>
      </c>
      <c r="B628">
        <v>20.625</v>
      </c>
      <c r="C628">
        <f>C629*(1+G628*3)</f>
        <v>22.489516582973664</v>
      </c>
      <c r="D628">
        <f t="shared" si="18"/>
        <v>20.597218780843733</v>
      </c>
      <c r="F628">
        <v>15203.7802734375</v>
      </c>
      <c r="G628">
        <f t="shared" si="19"/>
        <v>-3.2285200837645078E-4</v>
      </c>
    </row>
    <row r="629" spans="1:7" x14ac:dyDescent="0.25">
      <c r="A629" s="1">
        <v>45110</v>
      </c>
      <c r="B629">
        <v>20.639999389648398</v>
      </c>
      <c r="C629">
        <f>C630*(1+G629*3)</f>
        <v>22.511320057649115</v>
      </c>
      <c r="D629">
        <f t="shared" si="18"/>
        <v>20.626900690564558</v>
      </c>
      <c r="F629">
        <v>15208.6904296875</v>
      </c>
      <c r="G629">
        <f t="shared" si="19"/>
        <v>1.9421609442036303E-3</v>
      </c>
    </row>
    <row r="630" spans="1:7" x14ac:dyDescent="0.25">
      <c r="A630" s="1">
        <v>45107</v>
      </c>
      <c r="B630">
        <v>20.5</v>
      </c>
      <c r="C630">
        <f>C631*(1+G630*3)</f>
        <v>22.380918023009976</v>
      </c>
      <c r="D630">
        <f t="shared" si="18"/>
        <v>20.517010585319515</v>
      </c>
      <c r="F630">
        <v>15179.2099609375</v>
      </c>
      <c r="G630">
        <f t="shared" si="19"/>
        <v>1.601476326876039E-2</v>
      </c>
    </row>
    <row r="631" spans="1:7" x14ac:dyDescent="0.25">
      <c r="A631" s="1">
        <v>45106</v>
      </c>
      <c r="B631">
        <v>19.6149997711181</v>
      </c>
      <c r="C631">
        <f>C632*(1+G631*3)</f>
        <v>21.354935321623504</v>
      </c>
      <c r="D631">
        <f t="shared" si="18"/>
        <v>19.585264062011632</v>
      </c>
      <c r="F631">
        <v>14939.9501953125</v>
      </c>
      <c r="G631">
        <f t="shared" si="19"/>
        <v>-1.6452271380578143E-3</v>
      </c>
    </row>
    <row r="632" spans="1:7" x14ac:dyDescent="0.25">
      <c r="A632" s="1">
        <v>45105</v>
      </c>
      <c r="B632">
        <v>19.75</v>
      </c>
      <c r="C632">
        <f>C633*(1+G632*3)</f>
        <v>21.460859285933278</v>
      </c>
      <c r="D632">
        <f t="shared" ref="D632:D695" si="20">D633*(1+3*G632-0.000470434260716402)</f>
        <v>19.69171977696341</v>
      </c>
      <c r="F632">
        <v>14964.5703125</v>
      </c>
      <c r="G632">
        <f t="shared" si="19"/>
        <v>1.248512539880231E-3</v>
      </c>
    </row>
    <row r="633" spans="1:7" x14ac:dyDescent="0.25">
      <c r="A633" s="1">
        <v>45104</v>
      </c>
      <c r="B633">
        <v>19.629999160766602</v>
      </c>
      <c r="C633">
        <f>C634*(1+G633*3)</f>
        <v>21.380776782158563</v>
      </c>
      <c r="D633">
        <f t="shared" si="20"/>
        <v>19.627437889205396</v>
      </c>
      <c r="F633">
        <v>14945.91015625</v>
      </c>
      <c r="G633">
        <f t="shared" si="19"/>
        <v>1.7488616204334173E-2</v>
      </c>
    </row>
    <row r="634" spans="1:7" x14ac:dyDescent="0.25">
      <c r="A634" s="1">
        <v>45103</v>
      </c>
      <c r="B634">
        <v>18.704999923706001</v>
      </c>
      <c r="C634">
        <f>C635*(1+G634*3)</f>
        <v>20.314936404193379</v>
      </c>
      <c r="D634">
        <f t="shared" si="20"/>
        <v>18.657341677948299</v>
      </c>
      <c r="F634">
        <v>14689.01953125</v>
      </c>
      <c r="G634">
        <f t="shared" si="19"/>
        <v>-1.3595756172454898E-2</v>
      </c>
    </row>
    <row r="635" spans="1:7" x14ac:dyDescent="0.25">
      <c r="A635" s="1">
        <v>45100</v>
      </c>
      <c r="B635">
        <v>19.475000381469702</v>
      </c>
      <c r="C635">
        <f>C636*(1+G635*3)</f>
        <v>21.178760182627059</v>
      </c>
      <c r="D635">
        <f t="shared" si="20"/>
        <v>19.460225893871986</v>
      </c>
      <c r="F635">
        <v>14891.48046875</v>
      </c>
      <c r="G635">
        <f t="shared" si="19"/>
        <v>-1.0027697896092147E-2</v>
      </c>
    </row>
    <row r="636" spans="1:7" x14ac:dyDescent="0.25">
      <c r="A636" s="1">
        <v>45099</v>
      </c>
      <c r="B636">
        <v>20.069999694824201</v>
      </c>
      <c r="C636">
        <f>C637*(1+G636*3)</f>
        <v>21.835643903932915</v>
      </c>
      <c r="D636">
        <f t="shared" si="20"/>
        <v>20.073543465170392</v>
      </c>
      <c r="F636">
        <v>15042.3203125</v>
      </c>
      <c r="G636">
        <f t="shared" si="19"/>
        <v>1.1761944038166883E-2</v>
      </c>
    </row>
    <row r="637" spans="1:7" x14ac:dyDescent="0.25">
      <c r="A637" s="1">
        <v>45098</v>
      </c>
      <c r="B637">
        <v>19.424999237060501</v>
      </c>
      <c r="C637">
        <f>C638*(1+G637*3)</f>
        <v>21.091415748764863</v>
      </c>
      <c r="D637">
        <f t="shared" si="20"/>
        <v>19.398187837949735</v>
      </c>
      <c r="F637">
        <v>14867.4501953125</v>
      </c>
      <c r="G637">
        <f t="shared" si="19"/>
        <v>-1.3450442766556492E-2</v>
      </c>
    </row>
    <row r="638" spans="1:7" x14ac:dyDescent="0.25">
      <c r="A638" s="1">
        <v>45097</v>
      </c>
      <c r="B638">
        <v>20.299999237060501</v>
      </c>
      <c r="C638">
        <f>C639*(1+G638*3)</f>
        <v>21.978268058657907</v>
      </c>
      <c r="D638">
        <f t="shared" si="20"/>
        <v>20.223757254679125</v>
      </c>
      <c r="F638">
        <v>15070.150390625</v>
      </c>
      <c r="G638">
        <f t="shared" si="19"/>
        <v>-9.12861598398651E-4</v>
      </c>
    </row>
    <row r="639" spans="1:7" x14ac:dyDescent="0.25">
      <c r="A639" s="1">
        <v>45093</v>
      </c>
      <c r="B639">
        <v>20.399999618530199</v>
      </c>
      <c r="C639">
        <f>C640*(1+G639*3)</f>
        <v>22.038622695679354</v>
      </c>
      <c r="D639">
        <f t="shared" si="20"/>
        <v>20.288864607828472</v>
      </c>
      <c r="F639">
        <v>15083.919921875</v>
      </c>
      <c r="G639">
        <f t="shared" si="19"/>
        <v>-6.6880035231021706E-3</v>
      </c>
    </row>
    <row r="640" spans="1:7" x14ac:dyDescent="0.25">
      <c r="A640" s="1">
        <v>45092</v>
      </c>
      <c r="B640">
        <v>20.799999237060501</v>
      </c>
      <c r="C640">
        <f>C641*(1+G640*3)</f>
        <v>22.489859473865202</v>
      </c>
      <c r="D640">
        <f t="shared" si="20"/>
        <v>20.714219607556824</v>
      </c>
      <c r="F640">
        <v>15185.48046875</v>
      </c>
      <c r="G640">
        <f t="shared" si="19"/>
        <v>1.1981457294814035E-2</v>
      </c>
    </row>
    <row r="641" spans="1:7" x14ac:dyDescent="0.25">
      <c r="A641" s="1">
        <v>45091</v>
      </c>
      <c r="B641">
        <v>20.0949993133544</v>
      </c>
      <c r="C641">
        <f>C642*(1+G641*3)</f>
        <v>21.709524260414543</v>
      </c>
      <c r="D641">
        <f t="shared" si="20"/>
        <v>20.004578439794624</v>
      </c>
      <c r="F641">
        <v>15005.6904296875</v>
      </c>
      <c r="G641">
        <f t="shared" si="19"/>
        <v>7.0358954731373213E-3</v>
      </c>
    </row>
    <row r="642" spans="1:7" x14ac:dyDescent="0.25">
      <c r="A642" s="1">
        <v>45090</v>
      </c>
      <c r="B642">
        <v>19.674999237060501</v>
      </c>
      <c r="C642">
        <f>C643*(1+G642*3)</f>
        <v>21.260758829992323</v>
      </c>
      <c r="D642">
        <f t="shared" si="20"/>
        <v>19.600086512111925</v>
      </c>
      <c r="F642">
        <v>14900.849609375</v>
      </c>
      <c r="G642">
        <f t="shared" ref="G642:G705" si="21">F642/F643-1</f>
        <v>7.8833496497783262E-3</v>
      </c>
    </row>
    <row r="643" spans="1:7" x14ac:dyDescent="0.25">
      <c r="A643" s="1">
        <v>45089</v>
      </c>
      <c r="B643">
        <v>19.245000839233398</v>
      </c>
      <c r="C643">
        <f>C644*(1+G643*3)</f>
        <v>20.769557772027824</v>
      </c>
      <c r="D643">
        <f t="shared" si="20"/>
        <v>19.156056503409488</v>
      </c>
      <c r="F643">
        <v>14784.2998046875</v>
      </c>
      <c r="G643">
        <f t="shared" si="21"/>
        <v>1.7616540816147497E-2</v>
      </c>
    </row>
    <row r="644" spans="1:7" x14ac:dyDescent="0.25">
      <c r="A644" s="1">
        <v>45086</v>
      </c>
      <c r="B644">
        <v>18.309999465942301</v>
      </c>
      <c r="C644">
        <f>C645*(1+G644*3)</f>
        <v>19.726993607812116</v>
      </c>
      <c r="D644">
        <f t="shared" si="20"/>
        <v>18.202618142228392</v>
      </c>
      <c r="F644">
        <v>14528.3603515625</v>
      </c>
      <c r="G644">
        <f t="shared" si="21"/>
        <v>3.0253161220048508E-3</v>
      </c>
    </row>
    <row r="645" spans="1:7" x14ac:dyDescent="0.25">
      <c r="A645" s="1">
        <v>45085</v>
      </c>
      <c r="B645">
        <v>18.090000152587798</v>
      </c>
      <c r="C645">
        <f>C646*(1+G645*3)</f>
        <v>19.549562785393721</v>
      </c>
      <c r="D645">
        <f t="shared" si="20"/>
        <v>18.047311746431763</v>
      </c>
      <c r="F645">
        <v>14484.5400390625</v>
      </c>
      <c r="G645">
        <f t="shared" si="21"/>
        <v>1.2671909714828011E-2</v>
      </c>
    </row>
    <row r="646" spans="1:7" x14ac:dyDescent="0.25">
      <c r="A646" s="1">
        <v>45084</v>
      </c>
      <c r="B646">
        <v>17.4899997711181</v>
      </c>
      <c r="C646">
        <f>C647*(1+G646*3)</f>
        <v>18.833590124406072</v>
      </c>
      <c r="D646">
        <f t="shared" si="20"/>
        <v>17.394239880827119</v>
      </c>
      <c r="F646">
        <v>14303.2900390625</v>
      </c>
      <c r="G646">
        <f t="shared" si="21"/>
        <v>-1.7502282746035491E-2</v>
      </c>
    </row>
    <row r="647" spans="1:7" x14ac:dyDescent="0.25">
      <c r="A647" s="1">
        <v>45083</v>
      </c>
      <c r="B647">
        <v>18.4300003051757</v>
      </c>
      <c r="C647">
        <f>C648*(1+G647*3)</f>
        <v>19.877283639870551</v>
      </c>
      <c r="D647">
        <f t="shared" si="20"/>
        <v>18.367288935500639</v>
      </c>
      <c r="F647">
        <v>14558.08984375</v>
      </c>
      <c r="G647">
        <f t="shared" si="21"/>
        <v>1.0921881977132841E-4</v>
      </c>
    </row>
    <row r="648" spans="1:7" x14ac:dyDescent="0.25">
      <c r="A648" s="1">
        <v>45082</v>
      </c>
      <c r="B648">
        <v>18.4500007629394</v>
      </c>
      <c r="C648">
        <f>C649*(1+G648*3)</f>
        <v>19.870772852793774</v>
      </c>
      <c r="D648">
        <f t="shared" si="20"/>
        <v>18.369911751112419</v>
      </c>
      <c r="F648">
        <v>14556.5</v>
      </c>
      <c r="G648">
        <f t="shared" si="21"/>
        <v>6.7784394202408116E-4</v>
      </c>
    </row>
    <row r="649" spans="1:7" x14ac:dyDescent="0.25">
      <c r="A649" s="1">
        <v>45079</v>
      </c>
      <c r="B649">
        <v>18.409999847412099</v>
      </c>
      <c r="C649">
        <f>C650*(1+G649*3)</f>
        <v>19.830447007678419</v>
      </c>
      <c r="D649">
        <f t="shared" si="20"/>
        <v>18.341242599459605</v>
      </c>
      <c r="F649">
        <v>14546.6396484375</v>
      </c>
      <c r="G649">
        <f t="shared" si="21"/>
        <v>7.2797016737640163E-3</v>
      </c>
    </row>
    <row r="650" spans="1:7" x14ac:dyDescent="0.25">
      <c r="A650" s="1">
        <v>45078</v>
      </c>
      <c r="B650">
        <v>18.004999160766602</v>
      </c>
      <c r="C650">
        <f>C651*(1+G650*3)</f>
        <v>19.406623714273699</v>
      </c>
      <c r="D650">
        <f t="shared" si="20"/>
        <v>17.957514386848736</v>
      </c>
      <c r="F650">
        <v>14441.509765625</v>
      </c>
      <c r="G650">
        <f t="shared" si="21"/>
        <v>1.3148501512860733E-2</v>
      </c>
    </row>
    <row r="651" spans="1:7" x14ac:dyDescent="0.25">
      <c r="A651" s="1">
        <v>45077</v>
      </c>
      <c r="B651">
        <v>17.375</v>
      </c>
      <c r="C651">
        <f>C652*(1+G651*3)</f>
        <v>18.670169460099256</v>
      </c>
      <c r="D651">
        <f t="shared" si="20"/>
        <v>17.283874176159145</v>
      </c>
      <c r="F651">
        <v>14254.08984375</v>
      </c>
      <c r="G651">
        <f t="shared" si="21"/>
        <v>-7.0289417810525112E-3</v>
      </c>
    </row>
    <row r="652" spans="1:7" x14ac:dyDescent="0.25">
      <c r="A652" s="1">
        <v>45076</v>
      </c>
      <c r="B652">
        <v>17.735000610351499</v>
      </c>
      <c r="C652">
        <f>C653*(1+G652*3)</f>
        <v>19.07234466084704</v>
      </c>
      <c r="D652">
        <f t="shared" si="20"/>
        <v>17.664676186530553</v>
      </c>
      <c r="F652">
        <v>14354.990234375</v>
      </c>
      <c r="G652">
        <f t="shared" si="21"/>
        <v>3.957088760687677E-3</v>
      </c>
    </row>
    <row r="653" spans="1:7" x14ac:dyDescent="0.25">
      <c r="A653" s="1">
        <v>45072</v>
      </c>
      <c r="B653">
        <v>17.4899997711181</v>
      </c>
      <c r="C653">
        <f>C654*(1+G653*3)</f>
        <v>18.848588053028625</v>
      </c>
      <c r="D653">
        <f t="shared" si="20"/>
        <v>17.465554335393037</v>
      </c>
      <c r="F653">
        <v>14298.41015625</v>
      </c>
      <c r="G653">
        <f t="shared" si="21"/>
        <v>2.581906956849811E-2</v>
      </c>
    </row>
    <row r="654" spans="1:7" x14ac:dyDescent="0.25">
      <c r="A654" s="1">
        <v>45071</v>
      </c>
      <c r="B654">
        <v>16.2600002288818</v>
      </c>
      <c r="C654">
        <f>C655*(1+G654*3)</f>
        <v>17.493583875757039</v>
      </c>
      <c r="D654">
        <f t="shared" si="20"/>
        <v>16.217055538492666</v>
      </c>
      <c r="F654">
        <v>13938.5302734375</v>
      </c>
      <c r="G654">
        <f t="shared" si="21"/>
        <v>2.4554396285460856E-2</v>
      </c>
    </row>
    <row r="655" spans="1:7" x14ac:dyDescent="0.25">
      <c r="A655" s="1">
        <v>45070</v>
      </c>
      <c r="B655">
        <v>15.164999961853001</v>
      </c>
      <c r="C655">
        <f>C656*(1+G655*3)</f>
        <v>16.293362813705492</v>
      </c>
      <c r="D655">
        <f t="shared" si="20"/>
        <v>15.111037107777129</v>
      </c>
      <c r="F655">
        <v>13604.48046875</v>
      </c>
      <c r="G655">
        <f t="shared" si="21"/>
        <v>-4.977829292732272E-3</v>
      </c>
    </row>
    <row r="656" spans="1:7" x14ac:dyDescent="0.25">
      <c r="A656" s="1">
        <v>45069</v>
      </c>
      <c r="B656">
        <v>15.414999961853001</v>
      </c>
      <c r="C656">
        <f>C657*(1+G656*3)</f>
        <v>16.540368201747196</v>
      </c>
      <c r="D656">
        <f t="shared" si="20"/>
        <v>15.347448001828312</v>
      </c>
      <c r="F656">
        <v>13672.5400390625</v>
      </c>
      <c r="G656">
        <f t="shared" si="21"/>
        <v>-1.2794477897331902E-2</v>
      </c>
    </row>
    <row r="657" spans="1:7" x14ac:dyDescent="0.25">
      <c r="A657" s="1">
        <v>45068</v>
      </c>
      <c r="B657">
        <v>16.034999847412099</v>
      </c>
      <c r="C657">
        <f>C658*(1+G657*3)</f>
        <v>17.200585744120119</v>
      </c>
      <c r="D657">
        <f t="shared" si="20"/>
        <v>15.967861171263834</v>
      </c>
      <c r="F657">
        <v>13849.740234375</v>
      </c>
      <c r="G657">
        <f t="shared" si="21"/>
        <v>3.3506018561033635E-3</v>
      </c>
    </row>
    <row r="658" spans="1:7" x14ac:dyDescent="0.25">
      <c r="A658" s="1">
        <v>45065</v>
      </c>
      <c r="B658">
        <v>15.869999885559</v>
      </c>
      <c r="C658">
        <f>C659*(1+G658*3)</f>
        <v>17.029409431570823</v>
      </c>
      <c r="D658">
        <f t="shared" si="20"/>
        <v>15.816319144817932</v>
      </c>
      <c r="F658">
        <v>13803.490234375</v>
      </c>
      <c r="G658">
        <f t="shared" si="21"/>
        <v>-2.2501436648647566E-3</v>
      </c>
    </row>
    <row r="659" spans="1:7" x14ac:dyDescent="0.25">
      <c r="A659" s="1">
        <v>45064</v>
      </c>
      <c r="B659">
        <v>15.9799995422363</v>
      </c>
      <c r="C659">
        <f>C660*(1+G659*3)</f>
        <v>17.145146560318459</v>
      </c>
      <c r="D659">
        <f t="shared" si="20"/>
        <v>15.931357329427936</v>
      </c>
      <c r="F659">
        <v>13834.6201171875</v>
      </c>
      <c r="G659">
        <f t="shared" si="21"/>
        <v>1.8055461135797479E-2</v>
      </c>
    </row>
    <row r="660" spans="1:7" x14ac:dyDescent="0.25">
      <c r="A660" s="1">
        <v>45063</v>
      </c>
      <c r="B660">
        <v>15.164999961853001</v>
      </c>
      <c r="C660">
        <f>C661*(1+G660*3)</f>
        <v>16.264175020360668</v>
      </c>
      <c r="D660">
        <f t="shared" si="20"/>
        <v>15.119501353620814</v>
      </c>
      <c r="F660">
        <v>13589.259765625</v>
      </c>
      <c r="G660">
        <f t="shared" si="21"/>
        <v>1.2159234415125564E-2</v>
      </c>
    </row>
    <row r="661" spans="1:7" x14ac:dyDescent="0.25">
      <c r="A661" s="1">
        <v>45062</v>
      </c>
      <c r="B661">
        <v>14.640000343322701</v>
      </c>
      <c r="C661">
        <f>C662*(1+G661*3)</f>
        <v>15.691775104698293</v>
      </c>
      <c r="D661">
        <f t="shared" si="20"/>
        <v>14.594010878358695</v>
      </c>
      <c r="F661">
        <v>13426.009765625</v>
      </c>
      <c r="G661">
        <f t="shared" si="21"/>
        <v>9.318962910089823E-4</v>
      </c>
    </row>
    <row r="662" spans="1:7" x14ac:dyDescent="0.25">
      <c r="A662" s="1">
        <v>45061</v>
      </c>
      <c r="B662">
        <v>14.5850000381469</v>
      </c>
      <c r="C662">
        <f>C663*(1+G662*3)</f>
        <v>15.648028086691516</v>
      </c>
      <c r="D662">
        <f t="shared" si="20"/>
        <v>14.560154811227934</v>
      </c>
      <c r="F662">
        <v>13413.509765625</v>
      </c>
      <c r="G662">
        <f t="shared" si="21"/>
        <v>5.4969333129530895E-3</v>
      </c>
    </row>
    <row r="663" spans="1:7" x14ac:dyDescent="0.25">
      <c r="A663" s="1">
        <v>45058</v>
      </c>
      <c r="B663">
        <v>14.3649997711181</v>
      </c>
      <c r="C663">
        <f>C664*(1+G663*3)</f>
        <v>15.394165975366159</v>
      </c>
      <c r="D663">
        <f t="shared" si="20"/>
        <v>14.330573778912155</v>
      </c>
      <c r="F663">
        <v>13340.1796875</v>
      </c>
      <c r="G663">
        <f t="shared" si="21"/>
        <v>-3.7043614551238724E-3</v>
      </c>
    </row>
    <row r="664" spans="1:7" x14ac:dyDescent="0.25">
      <c r="A664" s="1">
        <v>45057</v>
      </c>
      <c r="B664">
        <v>14.515000343322701</v>
      </c>
      <c r="C664">
        <f>C665*(1+G664*3)</f>
        <v>15.567165195513578</v>
      </c>
      <c r="D664">
        <f t="shared" si="20"/>
        <v>14.498517627905665</v>
      </c>
      <c r="F664">
        <v>13389.7802734375</v>
      </c>
      <c r="G664">
        <f t="shared" si="21"/>
        <v>3.14284756900296E-3</v>
      </c>
    </row>
    <row r="665" spans="1:7" x14ac:dyDescent="0.25">
      <c r="A665" s="1">
        <v>45056</v>
      </c>
      <c r="B665">
        <v>14.395000457763601</v>
      </c>
      <c r="C665">
        <f>C666*(1+G665*3)</f>
        <v>15.421760468320754</v>
      </c>
      <c r="D665">
        <f t="shared" si="20"/>
        <v>14.369791477499614</v>
      </c>
      <c r="F665">
        <v>13347.830078125</v>
      </c>
      <c r="G665">
        <f t="shared" si="21"/>
        <v>1.1114195901342105E-2</v>
      </c>
    </row>
    <row r="666" spans="1:7" x14ac:dyDescent="0.25">
      <c r="A666" s="1">
        <v>45055</v>
      </c>
      <c r="B666">
        <v>13.944999694824199</v>
      </c>
      <c r="C666">
        <f>C667*(1+G666*3)</f>
        <v>14.924150665836981</v>
      </c>
      <c r="D666">
        <f t="shared" si="20"/>
        <v>13.912458990780909</v>
      </c>
      <c r="F666">
        <v>13201.1103515625</v>
      </c>
      <c r="G666">
        <f t="shared" si="21"/>
        <v>-6.8109954279148566E-3</v>
      </c>
    </row>
    <row r="667" spans="1:7" x14ac:dyDescent="0.25">
      <c r="A667" s="1">
        <v>45054</v>
      </c>
      <c r="B667">
        <v>14.2200002670288</v>
      </c>
      <c r="C667">
        <f>C668*(1+G667*3)</f>
        <v>15.235456540352592</v>
      </c>
      <c r="D667">
        <f t="shared" si="20"/>
        <v>14.209485849207459</v>
      </c>
      <c r="F667">
        <v>13291.6396484375</v>
      </c>
      <c r="G667">
        <f t="shared" si="21"/>
        <v>2.4518777561068905E-3</v>
      </c>
    </row>
    <row r="668" spans="1:7" x14ac:dyDescent="0.25">
      <c r="A668" s="1">
        <v>45051</v>
      </c>
      <c r="B668">
        <v>14.1049995422363</v>
      </c>
      <c r="C668">
        <f>C669*(1+G668*3)</f>
        <v>15.124208409816331</v>
      </c>
      <c r="D668">
        <f t="shared" si="20"/>
        <v>14.112319719479903</v>
      </c>
      <c r="F668">
        <v>13259.1298828125</v>
      </c>
      <c r="G668">
        <f t="shared" si="21"/>
        <v>2.1309441961296915E-2</v>
      </c>
    </row>
    <row r="669" spans="1:7" x14ac:dyDescent="0.25">
      <c r="A669" s="1">
        <v>45050</v>
      </c>
      <c r="B669">
        <v>13.289999961853001</v>
      </c>
      <c r="C669">
        <f>C670*(1+G669*3)</f>
        <v>14.215439181254467</v>
      </c>
      <c r="D669">
        <f t="shared" si="20"/>
        <v>13.27021956453774</v>
      </c>
      <c r="F669">
        <v>12982.48046875</v>
      </c>
      <c r="G669">
        <f t="shared" si="21"/>
        <v>-3.6629871913488321E-3</v>
      </c>
    </row>
    <row r="670" spans="1:7" x14ac:dyDescent="0.25">
      <c r="A670" s="1">
        <v>45049</v>
      </c>
      <c r="B670">
        <v>13.439999580383301</v>
      </c>
      <c r="C670">
        <f>C671*(1+G670*3)</f>
        <v>14.373387787338398</v>
      </c>
      <c r="D670">
        <f t="shared" si="20"/>
        <v>13.424051079564546</v>
      </c>
      <c r="F670">
        <v>13030.2099609375</v>
      </c>
      <c r="G670">
        <f t="shared" si="21"/>
        <v>-6.363608200775861E-3</v>
      </c>
    </row>
    <row r="671" spans="1:7" x14ac:dyDescent="0.25">
      <c r="A671" s="1">
        <v>45048</v>
      </c>
      <c r="B671">
        <v>13.7100000381469</v>
      </c>
      <c r="C671">
        <f>C672*(1+G671*3)</f>
        <v>14.653128085494004</v>
      </c>
      <c r="D671">
        <f t="shared" si="20"/>
        <v>13.691881518265463</v>
      </c>
      <c r="F671">
        <v>13113.66015625</v>
      </c>
      <c r="G671">
        <f t="shared" si="21"/>
        <v>-8.9037403060368003E-3</v>
      </c>
    </row>
    <row r="672" spans="1:7" x14ac:dyDescent="0.25">
      <c r="A672" s="1">
        <v>45047</v>
      </c>
      <c r="B672">
        <v>14.0850000381469</v>
      </c>
      <c r="C672">
        <f>C673*(1+G672*3)</f>
        <v>15.055272803326066</v>
      </c>
      <c r="D672">
        <f t="shared" si="20"/>
        <v>14.074448319313253</v>
      </c>
      <c r="F672">
        <v>13231.4697265625</v>
      </c>
      <c r="G672">
        <f t="shared" si="21"/>
        <v>-1.096219124095188E-3</v>
      </c>
    </row>
    <row r="673" spans="1:7" x14ac:dyDescent="0.25">
      <c r="A673" s="1">
        <v>45044</v>
      </c>
      <c r="B673">
        <v>14.125</v>
      </c>
      <c r="C673">
        <f>C674*(1+G673*3)</f>
        <v>15.104947801270702</v>
      </c>
      <c r="D673">
        <f t="shared" si="20"/>
        <v>14.127555093459852</v>
      </c>
      <c r="F673">
        <v>13245.990234375</v>
      </c>
      <c r="G673">
        <f t="shared" si="21"/>
        <v>6.5318968992802429E-3</v>
      </c>
    </row>
    <row r="674" spans="1:7" x14ac:dyDescent="0.25">
      <c r="A674" s="1">
        <v>45043</v>
      </c>
      <c r="B674">
        <v>13.8450002670288</v>
      </c>
      <c r="C674">
        <f>C675*(1+G674*3)</f>
        <v>14.814644607739014</v>
      </c>
      <c r="D674">
        <f t="shared" si="20"/>
        <v>13.862432516734966</v>
      </c>
      <c r="F674">
        <v>13160.0302734375</v>
      </c>
      <c r="G674">
        <f t="shared" si="21"/>
        <v>2.7607101385132449E-2</v>
      </c>
    </row>
    <row r="675" spans="1:7" x14ac:dyDescent="0.25">
      <c r="A675" s="1">
        <v>45042</v>
      </c>
      <c r="B675">
        <v>12.810000419616699</v>
      </c>
      <c r="C675">
        <f>C676*(1+G675*3)</f>
        <v>13.681523027748762</v>
      </c>
      <c r="D675">
        <f t="shared" si="20"/>
        <v>12.807706726455407</v>
      </c>
      <c r="F675">
        <v>12806.48046875</v>
      </c>
      <c r="G675">
        <f t="shared" si="21"/>
        <v>6.394452774038939E-3</v>
      </c>
    </row>
    <row r="676" spans="1:7" x14ac:dyDescent="0.25">
      <c r="A676" s="1">
        <v>45041</v>
      </c>
      <c r="B676">
        <v>12.6000003814697</v>
      </c>
      <c r="C676">
        <f>C677*(1+G676*3)</f>
        <v>13.424005519745412</v>
      </c>
      <c r="D676">
        <f t="shared" si="20"/>
        <v>12.572439618605895</v>
      </c>
      <c r="F676">
        <v>12725.1103515625</v>
      </c>
      <c r="G676">
        <f t="shared" si="21"/>
        <v>-1.8863064427061982E-2</v>
      </c>
    </row>
    <row r="677" spans="1:7" x14ac:dyDescent="0.25">
      <c r="A677" s="1">
        <v>45040</v>
      </c>
      <c r="B677">
        <v>13.3549995422363</v>
      </c>
      <c r="C677">
        <f>C678*(1+G677*3)</f>
        <v>14.229225936508135</v>
      </c>
      <c r="D677">
        <f t="shared" si="20"/>
        <v>13.333228681079287</v>
      </c>
      <c r="F677">
        <v>12969.759765625</v>
      </c>
      <c r="G677">
        <f t="shared" si="21"/>
        <v>-2.3852253938093648E-3</v>
      </c>
    </row>
    <row r="678" spans="1:7" x14ac:dyDescent="0.25">
      <c r="A678" s="1">
        <v>45037</v>
      </c>
      <c r="B678">
        <v>13.435000419616699</v>
      </c>
      <c r="C678">
        <f>C679*(1+G678*3)</f>
        <v>14.331779509783773</v>
      </c>
      <c r="D678">
        <f t="shared" si="20"/>
        <v>13.435690742548459</v>
      </c>
      <c r="F678">
        <v>13000.76953125</v>
      </c>
      <c r="G678">
        <f t="shared" si="21"/>
        <v>1.1388483553929074E-3</v>
      </c>
    </row>
    <row r="679" spans="1:7" x14ac:dyDescent="0.25">
      <c r="A679" s="1">
        <v>45036</v>
      </c>
      <c r="B679">
        <v>13.4099998474121</v>
      </c>
      <c r="C679">
        <f>C680*(1+G679*3)</f>
        <v>14.282981061308435</v>
      </c>
      <c r="D679">
        <f t="shared" si="20"/>
        <v>13.396223982321748</v>
      </c>
      <c r="F679">
        <v>12985.98046875</v>
      </c>
      <c r="G679">
        <f t="shared" si="21"/>
        <v>-7.8487102620571347E-3</v>
      </c>
    </row>
    <row r="680" spans="1:7" x14ac:dyDescent="0.25">
      <c r="A680" s="1">
        <v>45035</v>
      </c>
      <c r="B680">
        <v>13.7299995422363</v>
      </c>
      <c r="C680">
        <f>C681*(1+G680*3)</f>
        <v>14.627399728374346</v>
      </c>
      <c r="D680">
        <f t="shared" si="20"/>
        <v>13.725872286925981</v>
      </c>
      <c r="F680">
        <v>13088.7099609375</v>
      </c>
      <c r="G680">
        <f t="shared" si="21"/>
        <v>-2.3526791338768227E-4</v>
      </c>
    </row>
    <row r="681" spans="1:7" x14ac:dyDescent="0.25">
      <c r="A681" s="1">
        <v>45034</v>
      </c>
      <c r="B681">
        <v>13.7600002288818</v>
      </c>
      <c r="C681">
        <f>C682*(1+G681*3)</f>
        <v>14.637731093727799</v>
      </c>
      <c r="D681">
        <f t="shared" si="20"/>
        <v>13.742036192104594</v>
      </c>
      <c r="F681">
        <v>13091.7900390625</v>
      </c>
      <c r="G681">
        <f t="shared" si="21"/>
        <v>3.1174881909645791E-4</v>
      </c>
    </row>
    <row r="682" spans="1:7" x14ac:dyDescent="0.25">
      <c r="A682" s="1">
        <v>45033</v>
      </c>
      <c r="B682">
        <v>13.75</v>
      </c>
      <c r="C682">
        <f>C683*(1+G682*3)</f>
        <v>14.624053999033995</v>
      </c>
      <c r="D682">
        <f t="shared" si="20"/>
        <v>13.735651693669499</v>
      </c>
      <c r="F682">
        <v>13087.7099609375</v>
      </c>
      <c r="G682">
        <f t="shared" si="21"/>
        <v>6.262026420720268E-4</v>
      </c>
    </row>
    <row r="683" spans="1:7" x14ac:dyDescent="0.25">
      <c r="A683" s="1">
        <v>45030</v>
      </c>
      <c r="B683">
        <v>13.7349996566772</v>
      </c>
      <c r="C683">
        <f>C684*(1+G683*3)</f>
        <v>14.596632649243062</v>
      </c>
      <c r="D683">
        <f t="shared" si="20"/>
        <v>13.716336709528017</v>
      </c>
      <c r="F683">
        <v>13079.51953125</v>
      </c>
      <c r="G683">
        <f t="shared" si="21"/>
        <v>-2.2785284432415009E-3</v>
      </c>
    </row>
    <row r="684" spans="1:7" x14ac:dyDescent="0.25">
      <c r="A684" s="1">
        <v>45029</v>
      </c>
      <c r="B684">
        <v>13.814999580383301</v>
      </c>
      <c r="C684">
        <f>C685*(1+G684*3)</f>
        <v>14.697095902382946</v>
      </c>
      <c r="D684">
        <f t="shared" si="20"/>
        <v>13.817286072258664</v>
      </c>
      <c r="F684">
        <v>13109.3896484375</v>
      </c>
      <c r="G684">
        <f t="shared" si="21"/>
        <v>2.0317009343521208E-2</v>
      </c>
    </row>
    <row r="685" spans="1:7" x14ac:dyDescent="0.25">
      <c r="A685" s="1">
        <v>45028</v>
      </c>
      <c r="B685">
        <v>13.064999580383301</v>
      </c>
      <c r="C685">
        <f>C686*(1+G685*3)</f>
        <v>13.852756172605881</v>
      </c>
      <c r="D685">
        <f t="shared" si="20"/>
        <v>13.029268195413472</v>
      </c>
      <c r="F685">
        <v>12848.349609375</v>
      </c>
      <c r="G685">
        <f t="shared" si="21"/>
        <v>-8.9323849045859216E-3</v>
      </c>
    </row>
    <row r="686" spans="1:7" x14ac:dyDescent="0.25">
      <c r="A686" s="1">
        <v>45027</v>
      </c>
      <c r="B686">
        <v>13.420000076293899</v>
      </c>
      <c r="C686">
        <f>C687*(1+G686*3)</f>
        <v>14.234192018346858</v>
      </c>
      <c r="D686">
        <f t="shared" si="20"/>
        <v>13.394504025703288</v>
      </c>
      <c r="F686">
        <v>12964.150390625</v>
      </c>
      <c r="G686">
        <f t="shared" si="21"/>
        <v>-6.6721738102399897E-3</v>
      </c>
    </row>
    <row r="687" spans="1:7" x14ac:dyDescent="0.25">
      <c r="A687" s="1">
        <v>45026</v>
      </c>
      <c r="B687">
        <v>13.685000419616699</v>
      </c>
      <c r="C687">
        <f>C688*(1+G687*3)</f>
        <v>14.524930603042376</v>
      </c>
      <c r="D687">
        <f t="shared" si="20"/>
        <v>13.674656099305388</v>
      </c>
      <c r="F687">
        <v>13051.23046875</v>
      </c>
      <c r="G687">
        <f t="shared" si="21"/>
        <v>-8.7035819553404892E-4</v>
      </c>
    </row>
    <row r="688" spans="1:7" x14ac:dyDescent="0.25">
      <c r="A688" s="1">
        <v>45022</v>
      </c>
      <c r="B688">
        <v>13.7150001525878</v>
      </c>
      <c r="C688">
        <f>C689*(1+G688*3)</f>
        <v>14.562955566227169</v>
      </c>
      <c r="D688">
        <f t="shared" si="20"/>
        <v>13.716924924819221</v>
      </c>
      <c r="F688">
        <v>13062.599609375</v>
      </c>
      <c r="G688">
        <f t="shared" si="21"/>
        <v>7.3569785786899988E-3</v>
      </c>
    </row>
    <row r="689" spans="1:7" x14ac:dyDescent="0.25">
      <c r="A689" s="1">
        <v>45021</v>
      </c>
      <c r="B689">
        <v>13.444999694824199</v>
      </c>
      <c r="C689">
        <f>C690*(1+G689*3)</f>
        <v>14.248478316956827</v>
      </c>
      <c r="D689">
        <f t="shared" si="20"/>
        <v>13.426897211786605</v>
      </c>
      <c r="F689">
        <v>12967.2001953125</v>
      </c>
      <c r="G689">
        <f t="shared" si="21"/>
        <v>-1.0143440499603362E-2</v>
      </c>
    </row>
    <row r="690" spans="1:7" x14ac:dyDescent="0.25">
      <c r="A690" s="1">
        <v>45020</v>
      </c>
      <c r="B690">
        <v>13.890000343322701</v>
      </c>
      <c r="C690">
        <f>C691*(1+G690*3)</f>
        <v>14.695672351246431</v>
      </c>
      <c r="D690">
        <f t="shared" si="20"/>
        <v>13.855028049588322</v>
      </c>
      <c r="F690">
        <v>13100.080078125</v>
      </c>
      <c r="G690">
        <f t="shared" si="21"/>
        <v>-3.6711475344086697E-3</v>
      </c>
    </row>
    <row r="691" spans="1:7" x14ac:dyDescent="0.25">
      <c r="A691" s="1">
        <v>45019</v>
      </c>
      <c r="B691">
        <v>14.029999732971101</v>
      </c>
      <c r="C691">
        <f>C692*(1+G691*3)</f>
        <v>14.859324670629105</v>
      </c>
      <c r="D691">
        <f t="shared" si="20"/>
        <v>14.015985905857946</v>
      </c>
      <c r="F691">
        <v>13148.349609375</v>
      </c>
      <c r="G691">
        <f t="shared" si="21"/>
        <v>-2.5035372687883806E-3</v>
      </c>
    </row>
    <row r="692" spans="1:7" x14ac:dyDescent="0.25">
      <c r="A692" s="1">
        <v>45016</v>
      </c>
      <c r="B692">
        <v>14.1300001144409</v>
      </c>
      <c r="C692">
        <f>C693*(1+G692*3)</f>
        <v>14.971771836949905</v>
      </c>
      <c r="D692">
        <f t="shared" si="20"/>
        <v>14.128748095276539</v>
      </c>
      <c r="F692">
        <v>13181.349609375</v>
      </c>
      <c r="G692">
        <f t="shared" si="21"/>
        <v>1.6833110408079444E-2</v>
      </c>
    </row>
    <row r="693" spans="1:7" x14ac:dyDescent="0.25">
      <c r="A693" s="1">
        <v>45015</v>
      </c>
      <c r="B693">
        <v>13.4700002670288</v>
      </c>
      <c r="C693">
        <f>C694*(1+G693*3)</f>
        <v>14.25205270668949</v>
      </c>
      <c r="D693">
        <f t="shared" si="20"/>
        <v>13.455580257013986</v>
      </c>
      <c r="F693">
        <v>12963.1396484375</v>
      </c>
      <c r="G693">
        <f t="shared" si="21"/>
        <v>9.1163863471623863E-3</v>
      </c>
    </row>
    <row r="694" spans="1:7" x14ac:dyDescent="0.25">
      <c r="A694" s="1">
        <v>45014</v>
      </c>
      <c r="B694">
        <v>13.1149997711181</v>
      </c>
      <c r="C694">
        <f>C695*(1+G694*3)</f>
        <v>13.872647464846908</v>
      </c>
      <c r="D694">
        <f t="shared" si="20"/>
        <v>13.1033781617071</v>
      </c>
      <c r="F694">
        <v>12846.0302734375</v>
      </c>
      <c r="G694">
        <f t="shared" si="21"/>
        <v>1.8671634597215991E-2</v>
      </c>
    </row>
    <row r="695" spans="1:7" x14ac:dyDescent="0.25">
      <c r="A695" s="1">
        <v>45013</v>
      </c>
      <c r="B695">
        <v>12.435000419616699</v>
      </c>
      <c r="C695">
        <f>C696*(1+G695*3)</f>
        <v>13.136791360649191</v>
      </c>
      <c r="D695">
        <f t="shared" si="20"/>
        <v>12.413857056662</v>
      </c>
      <c r="F695">
        <v>12610.5703125</v>
      </c>
      <c r="G695">
        <f t="shared" si="21"/>
        <v>-4.9317172917721086E-3</v>
      </c>
    </row>
    <row r="696" spans="1:7" x14ac:dyDescent="0.25">
      <c r="A696" s="1">
        <v>45012</v>
      </c>
      <c r="B696">
        <v>12.645000457763601</v>
      </c>
      <c r="C696">
        <f>C697*(1+G696*3)</f>
        <v>13.334070965703013</v>
      </c>
      <c r="D696">
        <f t="shared" ref="D696:D751" si="22">D697*(1+3*G696-0.000470434260716402)</f>
        <v>12.606299609202923</v>
      </c>
      <c r="F696">
        <v>12673.0703125</v>
      </c>
      <c r="G696">
        <f t="shared" si="21"/>
        <v>-7.3610970134223574E-3</v>
      </c>
    </row>
    <row r="697" spans="1:7" x14ac:dyDescent="0.25">
      <c r="A697" s="1">
        <v>45009</v>
      </c>
      <c r="B697">
        <v>12.9099998474121</v>
      </c>
      <c r="C697">
        <f>C698*(1+G697*3)</f>
        <v>13.635180627895439</v>
      </c>
      <c r="D697">
        <f t="shared" si="22"/>
        <v>12.897179042484723</v>
      </c>
      <c r="F697">
        <v>12767.0498046875</v>
      </c>
      <c r="G697">
        <f t="shared" si="21"/>
        <v>2.9710622358787298E-3</v>
      </c>
    </row>
    <row r="698" spans="1:7" x14ac:dyDescent="0.25">
      <c r="A698" s="1">
        <v>45008</v>
      </c>
      <c r="B698">
        <v>12.779999732971101</v>
      </c>
      <c r="C698">
        <f>C699*(1+G698*3)</f>
        <v>13.514721392819553</v>
      </c>
      <c r="D698">
        <f t="shared" si="22"/>
        <v>12.789202967833891</v>
      </c>
      <c r="F698">
        <v>12729.23046875</v>
      </c>
      <c r="G698">
        <f t="shared" si="21"/>
        <v>1.2897122504868852E-2</v>
      </c>
    </row>
    <row r="699" spans="1:7" x14ac:dyDescent="0.25">
      <c r="A699" s="1">
        <v>45007</v>
      </c>
      <c r="B699">
        <v>12.3400001525878</v>
      </c>
      <c r="C699">
        <f>C700*(1+G699*3)</f>
        <v>13.011296536677438</v>
      </c>
      <c r="D699">
        <f t="shared" si="22"/>
        <v>12.318382878055855</v>
      </c>
      <c r="F699">
        <v>12567.150390625</v>
      </c>
      <c r="G699">
        <f t="shared" si="21"/>
        <v>-1.3678990222832699E-2</v>
      </c>
    </row>
    <row r="700" spans="1:7" x14ac:dyDescent="0.25">
      <c r="A700" s="1">
        <v>45006</v>
      </c>
      <c r="B700">
        <v>12.939999580383301</v>
      </c>
      <c r="C700">
        <f>C701*(1+G700*3)</f>
        <v>13.568089841531931</v>
      </c>
      <c r="D700">
        <f t="shared" si="22"/>
        <v>12.851828946207071</v>
      </c>
      <c r="F700">
        <v>12741.4404296875</v>
      </c>
      <c r="G700">
        <f t="shared" si="21"/>
        <v>1.4235105055435904E-2</v>
      </c>
    </row>
    <row r="701" spans="1:7" x14ac:dyDescent="0.25">
      <c r="A701" s="1">
        <v>45005</v>
      </c>
      <c r="B701">
        <v>12.414999961853001</v>
      </c>
      <c r="C701">
        <f>C702*(1+G701*3)</f>
        <v>13.012391558939996</v>
      </c>
      <c r="D701">
        <f t="shared" si="22"/>
        <v>12.33102938853879</v>
      </c>
      <c r="F701">
        <v>12562.6103515625</v>
      </c>
      <c r="G701">
        <f t="shared" si="21"/>
        <v>3.4130094817172996E-3</v>
      </c>
    </row>
    <row r="702" spans="1:7" x14ac:dyDescent="0.25">
      <c r="A702" s="1">
        <v>45002</v>
      </c>
      <c r="B702">
        <v>12.2849998474121</v>
      </c>
      <c r="C702">
        <f>C703*(1+G702*3)</f>
        <v>12.880507674473069</v>
      </c>
      <c r="D702">
        <f t="shared" si="22"/>
        <v>12.211737876932338</v>
      </c>
      <c r="F702">
        <v>12519.8798828125</v>
      </c>
      <c r="G702">
        <f t="shared" si="21"/>
        <v>-4.8889484662482108E-3</v>
      </c>
    </row>
    <row r="703" spans="1:7" x14ac:dyDescent="0.25">
      <c r="A703" s="1">
        <v>45001</v>
      </c>
      <c r="B703">
        <v>12.4700002670288</v>
      </c>
      <c r="C703">
        <f>C704*(1+G703*3)</f>
        <v>13.072236140968537</v>
      </c>
      <c r="D703">
        <f t="shared" si="22"/>
        <v>12.39943153976815</v>
      </c>
      <c r="F703">
        <v>12581.3896484375</v>
      </c>
      <c r="G703">
        <f t="shared" si="21"/>
        <v>2.6941531811941255E-2</v>
      </c>
    </row>
    <row r="704" spans="1:7" x14ac:dyDescent="0.25">
      <c r="A704" s="1">
        <v>45000</v>
      </c>
      <c r="B704">
        <v>11.5550003051757</v>
      </c>
      <c r="C704">
        <f>C705*(1+G704*3)</f>
        <v>12.094687885685451</v>
      </c>
      <c r="D704">
        <f t="shared" si="22"/>
        <v>11.477191448294343</v>
      </c>
      <c r="F704">
        <v>12251.3203125</v>
      </c>
      <c r="G704">
        <f t="shared" si="21"/>
        <v>4.2238655970721073E-3</v>
      </c>
    </row>
    <row r="705" spans="1:7" x14ac:dyDescent="0.25">
      <c r="A705" s="1">
        <v>44999</v>
      </c>
      <c r="B705">
        <v>11.390000343322701</v>
      </c>
      <c r="C705">
        <f>C706*(1+G705*3)</f>
        <v>11.943346613066927</v>
      </c>
      <c r="D705">
        <f t="shared" si="22"/>
        <v>11.338844365285453</v>
      </c>
      <c r="F705">
        <v>12199.7900390625</v>
      </c>
      <c r="G705">
        <f t="shared" si="21"/>
        <v>2.3200215966057369E-2</v>
      </c>
    </row>
    <row r="706" spans="1:7" x14ac:dyDescent="0.25">
      <c r="A706" s="1">
        <v>44998</v>
      </c>
      <c r="B706">
        <v>10.664999961853001</v>
      </c>
      <c r="C706">
        <f>C707*(1+G706*3)</f>
        <v>11.166173689718963</v>
      </c>
      <c r="D706">
        <f t="shared" si="22"/>
        <v>10.605671994534504</v>
      </c>
      <c r="F706">
        <v>11923.169921875</v>
      </c>
      <c r="G706">
        <f t="shared" ref="G706:G769" si="23">F706/F707-1</f>
        <v>7.8518552638238148E-3</v>
      </c>
    </row>
    <row r="707" spans="1:7" x14ac:dyDescent="0.25">
      <c r="A707" s="1">
        <v>44995</v>
      </c>
      <c r="B707">
        <v>10.439999580383301</v>
      </c>
      <c r="C707">
        <f>C708*(1+G707*3)</f>
        <v>10.909201281207086</v>
      </c>
      <c r="D707">
        <f t="shared" si="22"/>
        <v>10.366363137998244</v>
      </c>
      <c r="F707">
        <v>11830.2802734375</v>
      </c>
      <c r="G707">
        <f t="shared" si="23"/>
        <v>-1.3804707198866506E-2</v>
      </c>
    </row>
    <row r="708" spans="1:7" x14ac:dyDescent="0.25">
      <c r="A708" s="1">
        <v>44994</v>
      </c>
      <c r="B708">
        <v>10.890000343322701</v>
      </c>
      <c r="C708">
        <f>C709*(1+G708*3)</f>
        <v>11.380515326782417</v>
      </c>
      <c r="D708">
        <f t="shared" si="22"/>
        <v>10.819534536648662</v>
      </c>
      <c r="F708">
        <v>11995.8798828125</v>
      </c>
      <c r="G708">
        <f t="shared" si="23"/>
        <v>-1.7965146574752566E-2</v>
      </c>
    </row>
    <row r="709" spans="1:7" x14ac:dyDescent="0.25">
      <c r="A709" s="1">
        <v>44993</v>
      </c>
      <c r="B709">
        <v>11.494999885559</v>
      </c>
      <c r="C709">
        <f>C710*(1+G709*3)</f>
        <v>12.028813520849708</v>
      </c>
      <c r="D709">
        <f t="shared" si="22"/>
        <v>11.441565230141389</v>
      </c>
      <c r="F709">
        <v>12215.330078125</v>
      </c>
      <c r="G709">
        <f t="shared" si="23"/>
        <v>5.1974385361668318E-3</v>
      </c>
    </row>
    <row r="710" spans="1:7" x14ac:dyDescent="0.25">
      <c r="A710" s="1">
        <v>44992</v>
      </c>
      <c r="B710">
        <v>11.3400001525878</v>
      </c>
      <c r="C710">
        <f>C711*(1+G710*3)</f>
        <v>11.844136014009269</v>
      </c>
      <c r="D710">
        <f t="shared" si="22"/>
        <v>11.271124620967038</v>
      </c>
      <c r="F710">
        <v>12152.169921875</v>
      </c>
      <c r="G710">
        <f t="shared" si="23"/>
        <v>-1.2217905751349067E-2</v>
      </c>
    </row>
    <row r="711" spans="1:7" x14ac:dyDescent="0.25">
      <c r="A711" s="1">
        <v>44991</v>
      </c>
      <c r="B711">
        <v>11.779999732971101</v>
      </c>
      <c r="C711">
        <f>C712*(1+G711*3)</f>
        <v>12.294785609436691</v>
      </c>
      <c r="D711">
        <f t="shared" si="22"/>
        <v>11.705688369584083</v>
      </c>
      <c r="F711">
        <v>12302.48046875</v>
      </c>
      <c r="G711">
        <f t="shared" si="23"/>
        <v>9.4956303494364569E-4</v>
      </c>
    </row>
    <row r="712" spans="1:7" x14ac:dyDescent="0.25">
      <c r="A712" s="1">
        <v>44988</v>
      </c>
      <c r="B712">
        <v>11.7299995422363</v>
      </c>
      <c r="C712">
        <f>C713*(1+G712*3)</f>
        <v>12.259861076760581</v>
      </c>
      <c r="D712">
        <f t="shared" si="22"/>
        <v>11.677915310926712</v>
      </c>
      <c r="F712">
        <v>12290.8095703125</v>
      </c>
      <c r="G712">
        <f t="shared" si="23"/>
        <v>2.0418605658026667E-2</v>
      </c>
    </row>
    <row r="713" spans="1:7" x14ac:dyDescent="0.25">
      <c r="A713" s="1">
        <v>44987</v>
      </c>
      <c r="B713">
        <v>11.0550003051757</v>
      </c>
      <c r="C713">
        <f>C714*(1+G713*3)</f>
        <v>11.552220379546824</v>
      </c>
      <c r="D713">
        <f t="shared" si="22"/>
        <v>11.008744559673312</v>
      </c>
      <c r="F713">
        <v>12044.8701171875</v>
      </c>
      <c r="G713">
        <f t="shared" si="23"/>
        <v>8.9038973599879778E-3</v>
      </c>
    </row>
    <row r="714" spans="1:7" x14ac:dyDescent="0.25">
      <c r="A714" s="1">
        <v>44986</v>
      </c>
      <c r="B714">
        <v>10.795000076293899</v>
      </c>
      <c r="C714">
        <f>C715*(1+G714*3)</f>
        <v>11.251669255021103</v>
      </c>
      <c r="D714">
        <f t="shared" si="22"/>
        <v>10.727248077188776</v>
      </c>
      <c r="F714">
        <v>11938.5703125</v>
      </c>
      <c r="G714">
        <f t="shared" si="23"/>
        <v>-8.5989679292191035E-3</v>
      </c>
    </row>
    <row r="715" spans="1:7" x14ac:dyDescent="0.25">
      <c r="A715" s="1">
        <v>44985</v>
      </c>
      <c r="B715">
        <v>11.064999580383301</v>
      </c>
      <c r="C715">
        <f>C716*(1+G715*3)</f>
        <v>11.549613523881295</v>
      </c>
      <c r="D715">
        <f t="shared" si="22"/>
        <v>11.016625503439968</v>
      </c>
      <c r="F715">
        <v>12042.1201171875</v>
      </c>
      <c r="G715">
        <f t="shared" si="23"/>
        <v>-1.2995683142794645E-3</v>
      </c>
    </row>
    <row r="716" spans="1:7" x14ac:dyDescent="0.25">
      <c r="A716" s="1">
        <v>44984</v>
      </c>
      <c r="B716">
        <v>11.119999885559</v>
      </c>
      <c r="C716">
        <f>C717*(1+G716*3)</f>
        <v>11.594818299296074</v>
      </c>
      <c r="D716">
        <f t="shared" si="22"/>
        <v>11.064969897203996</v>
      </c>
      <c r="F716">
        <v>12057.7900390625</v>
      </c>
      <c r="G716">
        <f t="shared" si="23"/>
        <v>7.3635942204739457E-3</v>
      </c>
    </row>
    <row r="717" spans="1:7" x14ac:dyDescent="0.25">
      <c r="A717" s="1">
        <v>44981</v>
      </c>
      <c r="B717">
        <v>10.8850002288818</v>
      </c>
      <c r="C717">
        <f>C718*(1+G717*3)</f>
        <v>11.344215695893794</v>
      </c>
      <c r="D717">
        <f t="shared" si="22"/>
        <v>10.830804138274695</v>
      </c>
      <c r="F717">
        <v>11969.650390625</v>
      </c>
      <c r="G717">
        <f t="shared" si="23"/>
        <v>-1.7281350123067085E-2</v>
      </c>
    </row>
    <row r="718" spans="1:7" x14ac:dyDescent="0.25">
      <c r="A718" s="1">
        <v>44980</v>
      </c>
      <c r="B718">
        <v>11.4650001525878</v>
      </c>
      <c r="C718">
        <f>C719*(1+G718*3)</f>
        <v>11.964504046313378</v>
      </c>
      <c r="D718">
        <f t="shared" si="22"/>
        <v>11.428690174762393</v>
      </c>
      <c r="F718">
        <v>12180.1396484375</v>
      </c>
      <c r="G718">
        <f t="shared" si="23"/>
        <v>9.437060633577854E-3</v>
      </c>
    </row>
    <row r="719" spans="1:7" x14ac:dyDescent="0.25">
      <c r="A719" s="1">
        <v>44979</v>
      </c>
      <c r="B719">
        <v>11.185000419616699</v>
      </c>
      <c r="C719">
        <f>C720*(1+G719*3)</f>
        <v>11.635100596881726</v>
      </c>
      <c r="D719">
        <f t="shared" si="22"/>
        <v>11.119125410238247</v>
      </c>
      <c r="F719">
        <v>12066.26953125</v>
      </c>
      <c r="G719">
        <f t="shared" si="23"/>
        <v>4.9498989736385113E-4</v>
      </c>
    </row>
    <row r="720" spans="1:7" x14ac:dyDescent="0.25">
      <c r="A720" s="1">
        <v>44978</v>
      </c>
      <c r="B720">
        <v>11.175000190734799</v>
      </c>
      <c r="C720">
        <f>C721*(1+G720*3)</f>
        <v>11.617848444054991</v>
      </c>
      <c r="D720">
        <f t="shared" si="22"/>
        <v>11.107856096661568</v>
      </c>
      <c r="F720">
        <v>12060.2998046875</v>
      </c>
      <c r="G720">
        <f t="shared" si="23"/>
        <v>-2.41038640273048E-2</v>
      </c>
    </row>
    <row r="721" spans="1:7" x14ac:dyDescent="0.25">
      <c r="A721" s="1">
        <v>44974</v>
      </c>
      <c r="B721">
        <v>12.020000457763601</v>
      </c>
      <c r="C721">
        <f>C722*(1+G721*3)</f>
        <v>12.523438198530169</v>
      </c>
      <c r="D721">
        <f t="shared" si="22"/>
        <v>11.979767877931803</v>
      </c>
      <c r="F721">
        <v>12358.1796875</v>
      </c>
      <c r="G721">
        <f t="shared" si="23"/>
        <v>-6.775239186569415E-3</v>
      </c>
    </row>
    <row r="722" spans="1:7" x14ac:dyDescent="0.25">
      <c r="A722" s="1">
        <v>44973</v>
      </c>
      <c r="B722">
        <v>12.2849998474121</v>
      </c>
      <c r="C722">
        <f>C723*(1+G722*3)</f>
        <v>12.783267278727852</v>
      </c>
      <c r="D722">
        <f t="shared" si="22"/>
        <v>12.234191991997609</v>
      </c>
      <c r="F722">
        <v>12442.48046875</v>
      </c>
      <c r="G722">
        <f t="shared" si="23"/>
        <v>-1.9342001427142153E-2</v>
      </c>
    </row>
    <row r="723" spans="1:7" x14ac:dyDescent="0.25">
      <c r="A723" s="1">
        <v>44972</v>
      </c>
      <c r="B723">
        <v>13.029999732971101</v>
      </c>
      <c r="C723">
        <f>C724*(1+G723*3)</f>
        <v>13.5707220547806</v>
      </c>
      <c r="D723">
        <f t="shared" si="22"/>
        <v>12.994313025278158</v>
      </c>
      <c r="F723">
        <v>12687.8896484375</v>
      </c>
      <c r="G723">
        <f t="shared" si="23"/>
        <v>7.703983015373117E-3</v>
      </c>
    </row>
    <row r="724" spans="1:7" x14ac:dyDescent="0.25">
      <c r="A724" s="1">
        <v>44971</v>
      </c>
      <c r="B724">
        <v>12.744999885559</v>
      </c>
      <c r="C724">
        <f>C725*(1+G724*3)</f>
        <v>13.264161431633191</v>
      </c>
      <c r="D724">
        <f t="shared" si="22"/>
        <v>12.706615991435632</v>
      </c>
      <c r="F724">
        <v>12590.8896484375</v>
      </c>
      <c r="G724">
        <f t="shared" si="23"/>
        <v>7.0850971675935348E-3</v>
      </c>
    </row>
    <row r="725" spans="1:7" x14ac:dyDescent="0.25">
      <c r="A725" s="1">
        <v>44970</v>
      </c>
      <c r="B725">
        <v>12.4750003814697</v>
      </c>
      <c r="C725">
        <f>C726*(1+G725*3)</f>
        <v>12.988095672057604</v>
      </c>
      <c r="D725">
        <f t="shared" si="22"/>
        <v>12.447888407912036</v>
      </c>
      <c r="F725">
        <v>12502.3095703125</v>
      </c>
      <c r="G725">
        <f t="shared" si="23"/>
        <v>1.6041522390291441E-2</v>
      </c>
    </row>
    <row r="726" spans="1:7" x14ac:dyDescent="0.25">
      <c r="A726" s="1">
        <v>44967</v>
      </c>
      <c r="B726">
        <v>11.9099998474121</v>
      </c>
      <c r="C726">
        <f>C727*(1+G726*3)</f>
        <v>12.391748155579844</v>
      </c>
      <c r="D726">
        <f t="shared" si="22"/>
        <v>11.881677375084159</v>
      </c>
      <c r="F726">
        <v>12304.919921875</v>
      </c>
      <c r="G726">
        <f t="shared" si="23"/>
        <v>-6.1585456367319047E-3</v>
      </c>
    </row>
    <row r="727" spans="1:7" x14ac:dyDescent="0.25">
      <c r="A727" s="1">
        <v>44966</v>
      </c>
      <c r="B727">
        <v>12.1599998474121</v>
      </c>
      <c r="C727">
        <f>C728*(1+G727*3)</f>
        <v>12.62500312938851</v>
      </c>
      <c r="D727">
        <f t="shared" si="22"/>
        <v>12.111135816218823</v>
      </c>
      <c r="F727">
        <v>12381.169921875</v>
      </c>
      <c r="G727">
        <f t="shared" si="23"/>
        <v>-9.1401751694317745E-3</v>
      </c>
    </row>
    <row r="728" spans="1:7" x14ac:dyDescent="0.25">
      <c r="A728" s="1">
        <v>44965</v>
      </c>
      <c r="B728">
        <v>12.494999885559</v>
      </c>
      <c r="C728">
        <f>C729*(1+G728*3)</f>
        <v>12.980947532320343</v>
      </c>
      <c r="D728">
        <f t="shared" si="22"/>
        <v>12.458618647699263</v>
      </c>
      <c r="F728">
        <v>12495.3798828125</v>
      </c>
      <c r="G728">
        <f t="shared" si="23"/>
        <v>-1.8297039347392685E-2</v>
      </c>
    </row>
    <row r="729" spans="1:7" x14ac:dyDescent="0.25">
      <c r="A729" s="1">
        <v>44964</v>
      </c>
      <c r="B729">
        <v>13.204999923706</v>
      </c>
      <c r="C729">
        <f>C730*(1+G729*3)</f>
        <v>13.734869897138109</v>
      </c>
      <c r="D729">
        <f t="shared" si="22"/>
        <v>13.188769394334527</v>
      </c>
      <c r="F729">
        <v>12728.26953125</v>
      </c>
      <c r="G729">
        <f t="shared" si="23"/>
        <v>2.1160861564921252E-2</v>
      </c>
    </row>
    <row r="730" spans="1:7" x14ac:dyDescent="0.25">
      <c r="A730" s="1">
        <v>44963</v>
      </c>
      <c r="B730">
        <v>12.435000419616699</v>
      </c>
      <c r="C730">
        <f>C731*(1+G730*3)</f>
        <v>12.914992774498732</v>
      </c>
      <c r="D730">
        <f t="shared" si="22"/>
        <v>12.406978969101445</v>
      </c>
      <c r="F730">
        <v>12464.509765625</v>
      </c>
      <c r="G730">
        <f t="shared" si="23"/>
        <v>-8.6572390271127952E-3</v>
      </c>
    </row>
    <row r="731" spans="1:7" x14ac:dyDescent="0.25">
      <c r="A731" s="1">
        <v>44960</v>
      </c>
      <c r="B731">
        <v>12.7600002288818</v>
      </c>
      <c r="C731">
        <f>C732*(1+G731*3)</f>
        <v>13.259361150991575</v>
      </c>
      <c r="D731">
        <f t="shared" si="22"/>
        <v>12.743956598166747</v>
      </c>
      <c r="F731">
        <v>12573.3603515625</v>
      </c>
      <c r="G731">
        <f t="shared" si="23"/>
        <v>-1.7947105411994957E-2</v>
      </c>
    </row>
    <row r="732" spans="1:7" x14ac:dyDescent="0.25">
      <c r="A732" s="1">
        <v>44959</v>
      </c>
      <c r="B732">
        <v>13.454999923706</v>
      </c>
      <c r="C732">
        <f>C733*(1+G732*3)</f>
        <v>14.01388728816935</v>
      </c>
      <c r="D732">
        <f t="shared" si="22"/>
        <v>13.47585380791209</v>
      </c>
      <c r="F732">
        <v>12803.1396484375</v>
      </c>
      <c r="G732">
        <f t="shared" si="23"/>
        <v>3.5593018981163516E-2</v>
      </c>
    </row>
    <row r="733" spans="1:7" x14ac:dyDescent="0.25">
      <c r="A733" s="1">
        <v>44958</v>
      </c>
      <c r="B733">
        <v>12.194999694824199</v>
      </c>
      <c r="C733">
        <f>C734*(1+G733*3)</f>
        <v>12.66186525689279</v>
      </c>
      <c r="D733">
        <f t="shared" si="22"/>
        <v>12.180917269932726</v>
      </c>
      <c r="F733">
        <v>12363.099609375</v>
      </c>
      <c r="G733">
        <f t="shared" si="23"/>
        <v>2.1580849386751977E-2</v>
      </c>
    </row>
    <row r="734" spans="1:7" x14ac:dyDescent="0.25">
      <c r="A734" s="1">
        <v>44957</v>
      </c>
      <c r="B734">
        <v>11.454999923706</v>
      </c>
      <c r="C734">
        <f>C735*(1+G734*3)</f>
        <v>11.891950104530842</v>
      </c>
      <c r="D734">
        <f t="shared" si="22"/>
        <v>11.445303424611318</v>
      </c>
      <c r="F734">
        <v>12101.9296875</v>
      </c>
      <c r="G734">
        <f t="shared" si="23"/>
        <v>1.5911168510791773E-2</v>
      </c>
    </row>
    <row r="735" spans="1:7" x14ac:dyDescent="0.25">
      <c r="A735" s="1">
        <v>44956</v>
      </c>
      <c r="B735">
        <v>10.9650001525878</v>
      </c>
      <c r="C735">
        <f>C736*(1+G735*3)</f>
        <v>11.350166852293507</v>
      </c>
      <c r="D735">
        <f t="shared" si="22"/>
        <v>10.928775909871092</v>
      </c>
      <c r="F735">
        <v>11912.3896484375</v>
      </c>
      <c r="G735">
        <f t="shared" si="23"/>
        <v>-2.0894084551086767E-2</v>
      </c>
    </row>
    <row r="736" spans="1:7" x14ac:dyDescent="0.25">
      <c r="A736" s="1">
        <v>44953</v>
      </c>
      <c r="B736">
        <v>11.664999961853001</v>
      </c>
      <c r="C736">
        <f>C737*(1+G736*3)</f>
        <v>12.109198717864418</v>
      </c>
      <c r="D736">
        <f t="shared" si="22"/>
        <v>11.665482484586121</v>
      </c>
      <c r="F736">
        <v>12166.599609375</v>
      </c>
      <c r="G736">
        <f t="shared" si="23"/>
        <v>9.5522820555955512E-3</v>
      </c>
    </row>
    <row r="737" spans="1:7" x14ac:dyDescent="0.25">
      <c r="A737" s="1">
        <v>44952</v>
      </c>
      <c r="B737">
        <v>11.3400001525878</v>
      </c>
      <c r="C737">
        <f>C738*(1+G737*3)</f>
        <v>11.771854494517241</v>
      </c>
      <c r="D737">
        <f t="shared" si="22"/>
        <v>11.34568824242721</v>
      </c>
      <c r="F737">
        <v>12051.48046875</v>
      </c>
      <c r="G737">
        <f t="shared" si="23"/>
        <v>2.0042001140165633E-2</v>
      </c>
    </row>
    <row r="738" spans="1:7" x14ac:dyDescent="0.25">
      <c r="A738" s="1">
        <v>44951</v>
      </c>
      <c r="B738">
        <v>10.7200002670288</v>
      </c>
      <c r="C738">
        <f>C739*(1+G738*3)</f>
        <v>11.10420313862253</v>
      </c>
      <c r="D738">
        <f t="shared" si="22"/>
        <v>10.706958536936115</v>
      </c>
      <c r="F738">
        <v>11814.6904296875</v>
      </c>
      <c r="G738">
        <f t="shared" si="23"/>
        <v>-2.6969013744090331E-3</v>
      </c>
    </row>
    <row r="739" spans="1:7" x14ac:dyDescent="0.25">
      <c r="A739" s="1">
        <v>44950</v>
      </c>
      <c r="B739">
        <v>10.800000190734799</v>
      </c>
      <c r="C739">
        <f>C740*(1+G739*3)</f>
        <v>11.194776765154977</v>
      </c>
      <c r="D739">
        <f t="shared" si="22"/>
        <v>10.799413813055152</v>
      </c>
      <c r="F739">
        <v>11846.6396484375</v>
      </c>
      <c r="G739">
        <f t="shared" si="23"/>
        <v>-2.1815374418434619E-3</v>
      </c>
    </row>
    <row r="740" spans="1:7" x14ac:dyDescent="0.25">
      <c r="A740" s="1">
        <v>44949</v>
      </c>
      <c r="B740">
        <v>10.8649997711181</v>
      </c>
      <c r="C740">
        <f>C741*(1+G740*3)</f>
        <v>11.26852489205406</v>
      </c>
      <c r="D740">
        <f t="shared" si="22"/>
        <v>10.875707407174872</v>
      </c>
      <c r="F740">
        <v>11872.5400390625</v>
      </c>
      <c r="G740">
        <f t="shared" si="23"/>
        <v>2.1818496006896115E-2</v>
      </c>
    </row>
    <row r="741" spans="1:7" x14ac:dyDescent="0.25">
      <c r="A741" s="1">
        <v>44946</v>
      </c>
      <c r="B741">
        <v>10.194999694824199</v>
      </c>
      <c r="C741">
        <f>C742*(1+G741*3)</f>
        <v>10.576251207817004</v>
      </c>
      <c r="D741">
        <f t="shared" si="22"/>
        <v>10.212075154273533</v>
      </c>
      <c r="F741">
        <v>11619.0302734375</v>
      </c>
      <c r="G741">
        <f t="shared" si="23"/>
        <v>2.8626929947402679E-2</v>
      </c>
    </row>
    <row r="742" spans="1:7" x14ac:dyDescent="0.25">
      <c r="A742" s="1">
        <v>44945</v>
      </c>
      <c r="B742">
        <v>9.4250001907348597</v>
      </c>
      <c r="C742">
        <f>C743*(1+G742*3)</f>
        <v>9.7397903220609177</v>
      </c>
      <c r="D742">
        <f t="shared" si="22"/>
        <v>9.4084924671670134</v>
      </c>
      <c r="F742">
        <v>11295.669921875</v>
      </c>
      <c r="G742">
        <f t="shared" si="23"/>
        <v>-1.0045328978939616E-2</v>
      </c>
    </row>
    <row r="743" spans="1:7" x14ac:dyDescent="0.25">
      <c r="A743" s="1">
        <v>44944</v>
      </c>
      <c r="B743">
        <v>9.7299995422363192</v>
      </c>
      <c r="C743">
        <f>C744*(1+G743*3)</f>
        <v>10.042428825974415</v>
      </c>
      <c r="D743">
        <f t="shared" si="22"/>
        <v>9.7055444485094942</v>
      </c>
      <c r="F743">
        <v>11410.2900390625</v>
      </c>
      <c r="G743">
        <f t="shared" si="23"/>
        <v>-1.2710735495683245E-2</v>
      </c>
    </row>
    <row r="744" spans="1:7" x14ac:dyDescent="0.25">
      <c r="A744" s="1">
        <v>44943</v>
      </c>
      <c r="B744">
        <v>10.1049995422363</v>
      </c>
      <c r="C744">
        <f>C745*(1+G744*3)</f>
        <v>10.44055003577704</v>
      </c>
      <c r="D744">
        <f t="shared" si="22"/>
        <v>10.095247667476826</v>
      </c>
      <c r="F744">
        <v>11557.1904296875</v>
      </c>
      <c r="G744">
        <f t="shared" si="23"/>
        <v>1.3611738095504755E-3</v>
      </c>
    </row>
    <row r="745" spans="1:7" x14ac:dyDescent="0.25">
      <c r="A745" s="1">
        <v>44939</v>
      </c>
      <c r="B745">
        <v>10.050000190734799</v>
      </c>
      <c r="C745">
        <f>C746*(1+G745*3)</f>
        <v>10.398089215647913</v>
      </c>
      <c r="D745">
        <f t="shared" si="22"/>
        <v>10.0589039706171</v>
      </c>
      <c r="F745">
        <v>11541.48046875</v>
      </c>
      <c r="G745">
        <f t="shared" si="23"/>
        <v>7.1442321925314634E-3</v>
      </c>
    </row>
    <row r="746" spans="1:7" x14ac:dyDescent="0.25">
      <c r="A746" s="1">
        <v>44938</v>
      </c>
      <c r="B746">
        <v>9.8549995422363192</v>
      </c>
      <c r="C746">
        <f>C747*(1+G746*3)</f>
        <v>10.179906371205544</v>
      </c>
      <c r="D746">
        <f t="shared" si="22"/>
        <v>9.8523758829149557</v>
      </c>
      <c r="F746">
        <v>11459.6103515625</v>
      </c>
      <c r="G746">
        <f t="shared" si="23"/>
        <v>5.0068601203476781E-3</v>
      </c>
    </row>
    <row r="747" spans="1:7" x14ac:dyDescent="0.25">
      <c r="A747" s="1">
        <v>44937</v>
      </c>
      <c r="B747">
        <v>9.7049999237060494</v>
      </c>
      <c r="C747">
        <f>C748*(1+G747*3)</f>
        <v>10.029261049647435</v>
      </c>
      <c r="D747">
        <f t="shared" si="22"/>
        <v>9.7110782752188154</v>
      </c>
      <c r="F747">
        <v>11402.51953125</v>
      </c>
      <c r="G747">
        <f t="shared" si="23"/>
        <v>1.7556944095973082E-2</v>
      </c>
    </row>
    <row r="748" spans="1:7" x14ac:dyDescent="0.25">
      <c r="A748" s="1">
        <v>44936</v>
      </c>
      <c r="B748">
        <v>9.2449998855590803</v>
      </c>
      <c r="C748">
        <f>C749*(1+G748*3)</f>
        <v>9.5274427124093624</v>
      </c>
      <c r="D748">
        <f t="shared" si="22"/>
        <v>9.2293048866227032</v>
      </c>
      <c r="F748">
        <v>11205.7802734375</v>
      </c>
      <c r="G748">
        <f t="shared" si="23"/>
        <v>8.7618053296103504E-3</v>
      </c>
    </row>
    <row r="749" spans="1:7" x14ac:dyDescent="0.25">
      <c r="A749" s="1">
        <v>44935</v>
      </c>
      <c r="B749">
        <v>9.0050001144409109</v>
      </c>
      <c r="C749">
        <f>C750*(1+G749*3)</f>
        <v>9.2834240494683673</v>
      </c>
      <c r="D749">
        <f t="shared" si="22"/>
        <v>8.9970463007615429</v>
      </c>
      <c r="F749">
        <v>11108.4501953125</v>
      </c>
      <c r="G749">
        <f t="shared" si="23"/>
        <v>6.1683359990405418E-3</v>
      </c>
    </row>
    <row r="750" spans="1:7" x14ac:dyDescent="0.25">
      <c r="A750" s="1">
        <v>44932</v>
      </c>
      <c r="B750">
        <v>8.8199996948242099</v>
      </c>
      <c r="C750">
        <f>C751*(1+G750*3)</f>
        <v>9.1147554273926588</v>
      </c>
      <c r="D750">
        <f t="shared" si="22"/>
        <v>8.8376628189948931</v>
      </c>
      <c r="F750">
        <v>11040.349609375</v>
      </c>
      <c r="G750">
        <f t="shared" si="23"/>
        <v>2.7848781649328691E-2</v>
      </c>
    </row>
    <row r="751" spans="1:7" x14ac:dyDescent="0.25">
      <c r="A751" s="1">
        <v>44931</v>
      </c>
      <c r="B751">
        <v>8.1800003051757795</v>
      </c>
      <c r="C751">
        <f>C752*(1+G751*3)</f>
        <v>8.4119663823241435</v>
      </c>
      <c r="D751">
        <f t="shared" si="22"/>
        <v>8.1597815368148332</v>
      </c>
      <c r="F751">
        <v>10741.2197265625</v>
      </c>
      <c r="G751">
        <f t="shared" si="23"/>
        <v>-1.5903184779482049E-2</v>
      </c>
    </row>
    <row r="752" spans="1:7" x14ac:dyDescent="0.25">
      <c r="A752" s="1">
        <v>44930</v>
      </c>
      <c r="B752">
        <v>8.5850000381469709</v>
      </c>
      <c r="C752">
        <f>C753*(1+G752*3)</f>
        <v>8.8334041579933853</v>
      </c>
      <c r="D752">
        <f>D753*(1+3*G752-0.000470434260716402)</f>
        <v>8.5728199019536326</v>
      </c>
      <c r="F752">
        <v>10914.7998046875</v>
      </c>
      <c r="G752">
        <f t="shared" si="23"/>
        <v>4.8017938492053158E-3</v>
      </c>
    </row>
    <row r="753" spans="1:7" x14ac:dyDescent="0.25">
      <c r="A753" s="1">
        <v>44929</v>
      </c>
      <c r="B753">
        <v>8.4549999237060494</v>
      </c>
      <c r="C753">
        <f>C754*(1+G753*3)</f>
        <v>8.7079626337518086</v>
      </c>
      <c r="D753">
        <v>8.4549999237060494</v>
      </c>
      <c r="E753">
        <v>4.7043426071640202E-4</v>
      </c>
      <c r="F753">
        <v>10862.6396484375</v>
      </c>
      <c r="G753">
        <f t="shared" si="23"/>
        <v>-7.0495256605018763E-3</v>
      </c>
    </row>
    <row r="754" spans="1:7" x14ac:dyDescent="0.25">
      <c r="A754" s="1">
        <v>44925</v>
      </c>
      <c r="B754">
        <v>8.6499996185302699</v>
      </c>
      <c r="C754">
        <f>C755*(1+G754*3)</f>
        <v>8.8961025432225185</v>
      </c>
      <c r="D754">
        <f t="shared" ref="D754:D817" si="24">D755*(1+3*G754-0.000181059707075509)</f>
        <v>8.6499996185222123</v>
      </c>
      <c r="F754">
        <v>10939.759765625</v>
      </c>
      <c r="G754">
        <f t="shared" si="23"/>
        <v>-1.0309549553566555E-3</v>
      </c>
    </row>
    <row r="755" spans="1:7" x14ac:dyDescent="0.25">
      <c r="A755" s="1">
        <v>44924</v>
      </c>
      <c r="B755">
        <v>8.6499996185302699</v>
      </c>
      <c r="C755">
        <f>C756*(1+G755*3)</f>
        <v>8.9237023486920535</v>
      </c>
      <c r="D755">
        <f t="shared" si="24"/>
        <v>8.6784120851035151</v>
      </c>
      <c r="F755">
        <v>10951.0498046875</v>
      </c>
      <c r="G755">
        <f t="shared" si="23"/>
        <v>2.5442580244931179E-2</v>
      </c>
    </row>
    <row r="756" spans="1:7" x14ac:dyDescent="0.25">
      <c r="A756" s="1">
        <v>44923</v>
      </c>
      <c r="B756">
        <v>8.0799999237060494</v>
      </c>
      <c r="C756">
        <f>C757*(1+G756*3)</f>
        <v>8.2908783365557124</v>
      </c>
      <c r="D756">
        <f t="shared" si="24"/>
        <v>8.0643394047507062</v>
      </c>
      <c r="F756">
        <v>10679.33984375</v>
      </c>
      <c r="G756">
        <f t="shared" si="23"/>
        <v>-1.3228902073134985E-2</v>
      </c>
    </row>
    <row r="757" spans="1:7" x14ac:dyDescent="0.25">
      <c r="A757" s="1">
        <v>44922</v>
      </c>
      <c r="B757">
        <v>8.42000007629394</v>
      </c>
      <c r="C757">
        <f>C758*(1+G757*3)</f>
        <v>8.6335140732207218</v>
      </c>
      <c r="D757">
        <f t="shared" si="24"/>
        <v>8.3991966091341546</v>
      </c>
      <c r="F757">
        <v>10822.509765625</v>
      </c>
      <c r="G757">
        <f t="shared" si="23"/>
        <v>-1.4832385272387505E-2</v>
      </c>
    </row>
    <row r="758" spans="1:7" x14ac:dyDescent="0.25">
      <c r="A758" s="1">
        <v>44918</v>
      </c>
      <c r="B758">
        <v>8.79500007629394</v>
      </c>
      <c r="C758">
        <f>C759*(1+G758*3)</f>
        <v>9.0355712971260189</v>
      </c>
      <c r="D758">
        <f t="shared" si="24"/>
        <v>8.79200782984684</v>
      </c>
      <c r="F758">
        <v>10985.4501953125</v>
      </c>
      <c r="G758">
        <f t="shared" si="23"/>
        <v>2.6752622561889705E-3</v>
      </c>
    </row>
    <row r="759" spans="1:7" x14ac:dyDescent="0.25">
      <c r="A759" s="1">
        <v>44917</v>
      </c>
      <c r="B759">
        <v>8.7700004577636701</v>
      </c>
      <c r="C759">
        <f>C760*(1+G759*3)</f>
        <v>8.9636311052035609</v>
      </c>
      <c r="D759">
        <f t="shared" si="24"/>
        <v>8.7235737745844411</v>
      </c>
      <c r="F759">
        <v>10956.1396484375</v>
      </c>
      <c r="G759">
        <f t="shared" si="23"/>
        <v>-2.4897047431320263E-2</v>
      </c>
    </row>
    <row r="760" spans="1:7" x14ac:dyDescent="0.25">
      <c r="A760" s="1">
        <v>44916</v>
      </c>
      <c r="B760">
        <v>9.4899997711181605</v>
      </c>
      <c r="C760">
        <f>C761*(1+G760*3)</f>
        <v>9.6871774549155028</v>
      </c>
      <c r="D760">
        <f t="shared" si="24"/>
        <v>9.4295877752818456</v>
      </c>
      <c r="F760">
        <v>11235.8798828125</v>
      </c>
      <c r="G760">
        <f t="shared" si="23"/>
        <v>1.4762803622951903E-2</v>
      </c>
    </row>
    <row r="761" spans="1:7" x14ac:dyDescent="0.25">
      <c r="A761" s="1">
        <v>44915</v>
      </c>
      <c r="B761">
        <v>9.0950002670287997</v>
      </c>
      <c r="C761">
        <f>C762*(1+G761*3)</f>
        <v>9.2763429662651333</v>
      </c>
      <c r="D761">
        <f t="shared" si="24"/>
        <v>9.0312435448227859</v>
      </c>
      <c r="F761">
        <v>11072.419921875</v>
      </c>
      <c r="G761">
        <f t="shared" si="23"/>
        <v>-1.0979135941472373E-3</v>
      </c>
    </row>
    <row r="762" spans="1:7" x14ac:dyDescent="0.25">
      <c r="A762" s="1">
        <v>44914</v>
      </c>
      <c r="B762">
        <v>9.1350002288818306</v>
      </c>
      <c r="C762">
        <f>C763*(1+G762*3)</f>
        <v>9.3069978044958965</v>
      </c>
      <c r="D762">
        <f t="shared" si="24"/>
        <v>9.0627347399334717</v>
      </c>
      <c r="F762">
        <v>11084.58984375</v>
      </c>
      <c r="G762">
        <f t="shared" si="23"/>
        <v>-1.4152779212075806E-2</v>
      </c>
    </row>
    <row r="763" spans="1:7" x14ac:dyDescent="0.25">
      <c r="A763" s="1">
        <v>44911</v>
      </c>
      <c r="B763">
        <v>9.5299997329711896</v>
      </c>
      <c r="C763">
        <f>C764*(1+G763*3)</f>
        <v>9.7196792268242262</v>
      </c>
      <c r="D763">
        <f t="shared" si="24"/>
        <v>9.4663752767600631</v>
      </c>
      <c r="F763">
        <v>11243.7197265625</v>
      </c>
      <c r="G763">
        <f t="shared" si="23"/>
        <v>-8.9464992698518042E-3</v>
      </c>
    </row>
    <row r="764" spans="1:7" x14ac:dyDescent="0.25">
      <c r="A764" s="1">
        <v>44910</v>
      </c>
      <c r="B764">
        <v>9.8199996948242099</v>
      </c>
      <c r="C764">
        <f>C765*(1+G764*3)</f>
        <v>9.9877452947860341</v>
      </c>
      <c r="D764">
        <f t="shared" si="24"/>
        <v>9.729265453542066</v>
      </c>
      <c r="F764">
        <v>11345.2197265625</v>
      </c>
      <c r="G764">
        <f t="shared" si="23"/>
        <v>-3.3702656857002689E-2</v>
      </c>
    </row>
    <row r="765" spans="1:7" x14ac:dyDescent="0.25">
      <c r="A765" s="1">
        <v>44909</v>
      </c>
      <c r="B765">
        <v>10.899999618530201</v>
      </c>
      <c r="C765">
        <f>C766*(1+G765*3)</f>
        <v>11.111173497812194</v>
      </c>
      <c r="D765">
        <f t="shared" si="24"/>
        <v>10.825800264296921</v>
      </c>
      <c r="F765">
        <v>11740.919921875</v>
      </c>
      <c r="G765">
        <f t="shared" si="23"/>
        <v>-7.8830812847188181E-3</v>
      </c>
    </row>
    <row r="766" spans="1:7" x14ac:dyDescent="0.25">
      <c r="A766" s="1">
        <v>44908</v>
      </c>
      <c r="B766">
        <v>11.164999961853001</v>
      </c>
      <c r="C766">
        <f>C767*(1+G766*3)</f>
        <v>11.380309205345101</v>
      </c>
      <c r="D766">
        <f t="shared" si="24"/>
        <v>11.090080243006179</v>
      </c>
      <c r="F766">
        <v>11834.2099609375</v>
      </c>
      <c r="G766">
        <f t="shared" si="23"/>
        <v>1.0914464735666041E-2</v>
      </c>
    </row>
    <row r="767" spans="1:7" x14ac:dyDescent="0.25">
      <c r="A767" s="1">
        <v>44907</v>
      </c>
      <c r="B767">
        <v>10.824999809265099</v>
      </c>
      <c r="C767">
        <f>C768*(1+G767*3)</f>
        <v>11.01949358299559</v>
      </c>
      <c r="D767">
        <f t="shared" si="24"/>
        <v>10.740349393411861</v>
      </c>
      <c r="F767">
        <v>11706.4404296875</v>
      </c>
      <c r="G767">
        <f t="shared" si="23"/>
        <v>1.2376222990748031E-2</v>
      </c>
    </row>
    <row r="768" spans="1:7" x14ac:dyDescent="0.25">
      <c r="A768" s="1">
        <v>44904</v>
      </c>
      <c r="B768">
        <v>10.444999694824199</v>
      </c>
      <c r="C768">
        <f>C769*(1+G768*3)</f>
        <v>10.625001422355336</v>
      </c>
      <c r="D768">
        <f t="shared" si="24"/>
        <v>10.357658668043021</v>
      </c>
      <c r="F768">
        <v>11563.330078125</v>
      </c>
      <c r="G768">
        <f t="shared" si="23"/>
        <v>-6.3733552631578538E-3</v>
      </c>
    </row>
    <row r="769" spans="1:7" x14ac:dyDescent="0.25">
      <c r="A769" s="1">
        <v>44903</v>
      </c>
      <c r="B769">
        <v>10.649999618530201</v>
      </c>
      <c r="C769">
        <f>C770*(1+G769*3)</f>
        <v>10.832112118703908</v>
      </c>
      <c r="D769">
        <f t="shared" si="24"/>
        <v>10.561507652680163</v>
      </c>
      <c r="F769">
        <v>11637.5</v>
      </c>
      <c r="G769">
        <f t="shared" si="23"/>
        <v>1.2186274958641663E-2</v>
      </c>
    </row>
    <row r="770" spans="1:7" x14ac:dyDescent="0.25">
      <c r="A770" s="1">
        <v>44902</v>
      </c>
      <c r="B770">
        <v>10.2849998474121</v>
      </c>
      <c r="C770">
        <f>C771*(1+G770*3)</f>
        <v>10.450069845288809</v>
      </c>
      <c r="D770">
        <f t="shared" si="24"/>
        <v>10.190789505175704</v>
      </c>
      <c r="F770">
        <v>11497.3896484375</v>
      </c>
      <c r="G770">
        <f t="shared" ref="G770:G833" si="25">F770/F771-1</f>
        <v>-4.5283275398936285E-3</v>
      </c>
    </row>
    <row r="771" spans="1:7" x14ac:dyDescent="0.25">
      <c r="A771" s="1">
        <v>44901</v>
      </c>
      <c r="B771">
        <v>10.4099998474121</v>
      </c>
      <c r="C771">
        <f>C772*(1+G771*3)</f>
        <v>10.593989001750682</v>
      </c>
      <c r="D771">
        <f t="shared" si="24"/>
        <v>10.333034495403259</v>
      </c>
      <c r="F771">
        <v>11549.6904296875</v>
      </c>
      <c r="G771">
        <f t="shared" si="25"/>
        <v>-2.0116518387434001E-2</v>
      </c>
    </row>
    <row r="772" spans="1:7" x14ac:dyDescent="0.25">
      <c r="A772" s="1">
        <v>44900</v>
      </c>
      <c r="B772">
        <v>11.1149997711181</v>
      </c>
      <c r="C772">
        <f>C773*(1+G772*3)</f>
        <v>11.274393642819525</v>
      </c>
      <c r="D772">
        <f t="shared" si="24"/>
        <v>10.998798533457872</v>
      </c>
      <c r="F772">
        <v>11786.7998046875</v>
      </c>
      <c r="G772">
        <f t="shared" si="25"/>
        <v>-1.7296603958176004E-2</v>
      </c>
    </row>
    <row r="773" spans="1:7" x14ac:dyDescent="0.25">
      <c r="A773" s="1">
        <v>44897</v>
      </c>
      <c r="B773">
        <v>11.704999923706</v>
      </c>
      <c r="C773">
        <f>C774*(1+G773*3)</f>
        <v>11.891438130319388</v>
      </c>
      <c r="D773">
        <f t="shared" si="24"/>
        <v>11.602975585114869</v>
      </c>
      <c r="F773">
        <v>11994.259765625</v>
      </c>
      <c r="G773">
        <f t="shared" si="25"/>
        <v>-3.9553495508639624E-3</v>
      </c>
    </row>
    <row r="774" spans="1:7" x14ac:dyDescent="0.25">
      <c r="A774" s="1">
        <v>44896</v>
      </c>
      <c r="B774">
        <v>11.8450002670288</v>
      </c>
      <c r="C774">
        <f>C775*(1+G774*3)</f>
        <v>12.03423697172267</v>
      </c>
      <c r="D774">
        <f t="shared" si="24"/>
        <v>11.74446239622827</v>
      </c>
      <c r="F774">
        <v>12041.8896484375</v>
      </c>
      <c r="G774">
        <f t="shared" si="25"/>
        <v>9.8337652077740145E-4</v>
      </c>
    </row>
    <row r="775" spans="1:7" x14ac:dyDescent="0.25">
      <c r="A775" s="1">
        <v>44895</v>
      </c>
      <c r="B775">
        <v>11.779999732971101</v>
      </c>
      <c r="C775">
        <f>C776*(1+G775*3)</f>
        <v>11.998838842539634</v>
      </c>
      <c r="D775">
        <f t="shared" si="24"/>
        <v>11.71203096434108</v>
      </c>
      <c r="F775">
        <v>12030.0595703125</v>
      </c>
      <c r="G775">
        <f t="shared" si="25"/>
        <v>4.5778385272149613E-2</v>
      </c>
    </row>
    <row r="776" spans="1:7" x14ac:dyDescent="0.25">
      <c r="A776" s="1">
        <v>44894</v>
      </c>
      <c r="B776">
        <v>10.3850002288818</v>
      </c>
      <c r="C776">
        <f>C777*(1+G776*3)</f>
        <v>10.549958630203541</v>
      </c>
      <c r="D776">
        <f t="shared" si="24"/>
        <v>10.299422922902261</v>
      </c>
      <c r="F776">
        <v>11503.4501953125</v>
      </c>
      <c r="G776">
        <f t="shared" si="25"/>
        <v>-7.2749070947768502E-3</v>
      </c>
    </row>
    <row r="777" spans="1:7" x14ac:dyDescent="0.25">
      <c r="A777" s="1">
        <v>44893</v>
      </c>
      <c r="B777">
        <v>10.640000343322701</v>
      </c>
      <c r="C777">
        <f>C778*(1+G777*3)</f>
        <v>10.785345796159856</v>
      </c>
      <c r="D777">
        <f t="shared" si="24"/>
        <v>10.531169533233976</v>
      </c>
      <c r="F777">
        <v>11587.75</v>
      </c>
      <c r="G777">
        <f t="shared" si="25"/>
        <v>-1.4314379048319226E-2</v>
      </c>
    </row>
    <row r="778" spans="1:7" x14ac:dyDescent="0.25">
      <c r="A778" s="1">
        <v>44890</v>
      </c>
      <c r="B778">
        <v>11.1300001144409</v>
      </c>
      <c r="C778">
        <f>C779*(1+G778*3)</f>
        <v>11.269284213673128</v>
      </c>
      <c r="D778">
        <f t="shared" si="24"/>
        <v>11.005785179840613</v>
      </c>
      <c r="F778">
        <v>11756.0302734375</v>
      </c>
      <c r="G778">
        <f t="shared" si="25"/>
        <v>-6.9846617738124062E-3</v>
      </c>
    </row>
    <row r="779" spans="1:7" x14ac:dyDescent="0.25">
      <c r="A779" s="1">
        <v>44888</v>
      </c>
      <c r="B779">
        <v>11.3649997711181</v>
      </c>
      <c r="C779">
        <f>C780*(1+G779*3)</f>
        <v>11.510474527975095</v>
      </c>
      <c r="D779">
        <f t="shared" si="24"/>
        <v>11.243415267799829</v>
      </c>
      <c r="F779">
        <v>11838.7197265625</v>
      </c>
      <c r="G779">
        <f t="shared" si="25"/>
        <v>9.7127026321988108E-3</v>
      </c>
    </row>
    <row r="780" spans="1:7" x14ac:dyDescent="0.25">
      <c r="A780" s="1">
        <v>44887</v>
      </c>
      <c r="B780">
        <v>11.0349998474121</v>
      </c>
      <c r="C780">
        <f>C781*(1+G780*3)</f>
        <v>11.184577113270807</v>
      </c>
      <c r="D780">
        <f t="shared" si="24"/>
        <v>10.927001557142678</v>
      </c>
      <c r="F780">
        <v>11724.83984375</v>
      </c>
      <c r="G780">
        <f t="shared" si="25"/>
        <v>1.4834499265599099E-2</v>
      </c>
    </row>
    <row r="781" spans="1:7" x14ac:dyDescent="0.25">
      <c r="A781" s="1">
        <v>44886</v>
      </c>
      <c r="B781">
        <v>10.5900001525878</v>
      </c>
      <c r="C781">
        <f>C782*(1+G781*3)</f>
        <v>10.708032224748671</v>
      </c>
      <c r="D781">
        <f t="shared" si="24"/>
        <v>10.463245027206717</v>
      </c>
      <c r="F781">
        <v>11553.4501953125</v>
      </c>
      <c r="G781">
        <f t="shared" si="25"/>
        <v>-1.0582266785356009E-2</v>
      </c>
    </row>
    <row r="782" spans="1:7" x14ac:dyDescent="0.25">
      <c r="A782" s="1">
        <v>44883</v>
      </c>
      <c r="B782">
        <v>10.920000076293899</v>
      </c>
      <c r="C782">
        <f>C783*(1+G782*3)</f>
        <v>11.059124027358207</v>
      </c>
      <c r="D782">
        <f t="shared" si="24"/>
        <v>10.808331936800901</v>
      </c>
      <c r="F782">
        <v>11677.01953125</v>
      </c>
      <c r="G782">
        <f t="shared" si="25"/>
        <v>1.3632062275892309E-5</v>
      </c>
    </row>
    <row r="783" spans="1:7" x14ac:dyDescent="0.25">
      <c r="A783" s="1">
        <v>44882</v>
      </c>
      <c r="B783">
        <v>10.9300003051757</v>
      </c>
      <c r="C783">
        <f>C784*(1+G783*3)</f>
        <v>11.058671769851442</v>
      </c>
      <c r="D783">
        <f t="shared" si="24"/>
        <v>10.809847083021397</v>
      </c>
      <c r="F783">
        <v>11676.8603515625</v>
      </c>
      <c r="G783">
        <f t="shared" si="25"/>
        <v>-1.9001044084959728E-3</v>
      </c>
    </row>
    <row r="784" spans="1:7" x14ac:dyDescent="0.25">
      <c r="A784" s="1">
        <v>44881</v>
      </c>
      <c r="B784">
        <v>11.015000343322701</v>
      </c>
      <c r="C784">
        <f>C785*(1+G784*3)</f>
        <v>11.122071058601605</v>
      </c>
      <c r="D784">
        <f t="shared" si="24"/>
        <v>10.873799955755286</v>
      </c>
      <c r="F784">
        <v>11699.08984375</v>
      </c>
      <c r="G784">
        <f t="shared" si="25"/>
        <v>-1.4494007843661172E-2</v>
      </c>
    </row>
    <row r="785" spans="1:7" x14ac:dyDescent="0.25">
      <c r="A785" s="1">
        <v>44880</v>
      </c>
      <c r="B785">
        <v>11.4799995422363</v>
      </c>
      <c r="C785">
        <f>C786*(1+G785*3)</f>
        <v>11.627665482732171</v>
      </c>
      <c r="D785">
        <f t="shared" si="24"/>
        <v>11.370260590350167</v>
      </c>
      <c r="F785">
        <v>11871.150390625</v>
      </c>
      <c r="G785">
        <f t="shared" si="25"/>
        <v>1.4546690666473738E-2</v>
      </c>
    </row>
    <row r="786" spans="1:7" x14ac:dyDescent="0.25">
      <c r="A786" s="1">
        <v>44879</v>
      </c>
      <c r="B786">
        <v>11.0349998474121</v>
      </c>
      <c r="C786">
        <f>C787*(1+G786*3)</f>
        <v>11.141451727179962</v>
      </c>
      <c r="D786">
        <f t="shared" si="24"/>
        <v>10.896700738988455</v>
      </c>
      <c r="F786">
        <v>11700.9404296875</v>
      </c>
      <c r="G786">
        <f t="shared" si="25"/>
        <v>-9.822225608642432E-3</v>
      </c>
    </row>
    <row r="787" spans="1:7" x14ac:dyDescent="0.25">
      <c r="A787" s="1">
        <v>44876</v>
      </c>
      <c r="B787">
        <v>11.3350000381469</v>
      </c>
      <c r="C787">
        <f>C788*(1+G787*3)</f>
        <v>11.479720954601015</v>
      </c>
      <c r="D787">
        <f t="shared" si="24"/>
        <v>11.22963396824092</v>
      </c>
      <c r="F787">
        <v>11817.009765625</v>
      </c>
      <c r="G787">
        <f t="shared" si="25"/>
        <v>1.8184605616238247E-2</v>
      </c>
    </row>
    <row r="788" spans="1:7" x14ac:dyDescent="0.25">
      <c r="A788" s="1">
        <v>44875</v>
      </c>
      <c r="B788">
        <v>10.7250003814697</v>
      </c>
      <c r="C788">
        <f>C789*(1+G788*3)</f>
        <v>10.885855962197788</v>
      </c>
      <c r="D788">
        <f t="shared" si="24"/>
        <v>10.650535014470586</v>
      </c>
      <c r="F788">
        <v>11605.9599609375</v>
      </c>
      <c r="G788">
        <f t="shared" si="25"/>
        <v>7.4869777947127236E-2</v>
      </c>
    </row>
    <row r="789" spans="1:7" x14ac:dyDescent="0.25">
      <c r="A789" s="1">
        <v>44874</v>
      </c>
      <c r="B789">
        <v>8.8000001907348597</v>
      </c>
      <c r="C789">
        <f>C790*(1+G789*3)</f>
        <v>8.8892479106384013</v>
      </c>
      <c r="D789">
        <f t="shared" si="24"/>
        <v>8.6983739590632325</v>
      </c>
      <c r="F789">
        <v>10797.5498046875</v>
      </c>
      <c r="G789">
        <f t="shared" si="25"/>
        <v>-2.3685536897011583E-2</v>
      </c>
    </row>
    <row r="790" spans="1:7" x14ac:dyDescent="0.25">
      <c r="A790" s="1">
        <v>44873</v>
      </c>
      <c r="B790">
        <v>9.4600000381469709</v>
      </c>
      <c r="C790">
        <f>C791*(1+G790*3)</f>
        <v>9.5692030461092497</v>
      </c>
      <c r="D790">
        <f t="shared" si="24"/>
        <v>9.3655542239657326</v>
      </c>
      <c r="F790">
        <v>11059.5</v>
      </c>
      <c r="G790">
        <f t="shared" si="25"/>
        <v>7.5157146761410942E-3</v>
      </c>
    </row>
    <row r="791" spans="1:7" x14ac:dyDescent="0.25">
      <c r="A791" s="1">
        <v>44872</v>
      </c>
      <c r="B791">
        <v>9.2600002288818306</v>
      </c>
      <c r="C791">
        <f>C792*(1+G791*3)</f>
        <v>9.3582023107613885</v>
      </c>
      <c r="D791">
        <f t="shared" si="24"/>
        <v>9.1606659958625674</v>
      </c>
      <c r="F791">
        <v>10977</v>
      </c>
      <c r="G791">
        <f t="shared" si="25"/>
        <v>1.1049957819129874E-2</v>
      </c>
    </row>
    <row r="792" spans="1:7" x14ac:dyDescent="0.25">
      <c r="A792" s="1">
        <v>44869</v>
      </c>
      <c r="B792">
        <v>8.9750003814697195</v>
      </c>
      <c r="C792">
        <f>C793*(1+G792*3)</f>
        <v>9.0579329787309408</v>
      </c>
      <c r="D792">
        <f t="shared" si="24"/>
        <v>8.8682890266587027</v>
      </c>
      <c r="F792">
        <v>10857.0302734375</v>
      </c>
      <c r="G792">
        <f t="shared" si="25"/>
        <v>1.5567944749941942E-2</v>
      </c>
    </row>
    <row r="793" spans="1:7" x14ac:dyDescent="0.25">
      <c r="A793" s="1">
        <v>44868</v>
      </c>
      <c r="B793">
        <v>8.5749998092651296</v>
      </c>
      <c r="C793">
        <f>C794*(1+G793*3)</f>
        <v>8.6537687952798752</v>
      </c>
      <c r="D793">
        <f t="shared" si="24"/>
        <v>8.4740525886151499</v>
      </c>
      <c r="F793">
        <v>10690.599609375</v>
      </c>
      <c r="G793">
        <f t="shared" si="25"/>
        <v>-1.978117658772871E-2</v>
      </c>
    </row>
    <row r="794" spans="1:7" x14ac:dyDescent="0.25">
      <c r="A794" s="1">
        <v>44867</v>
      </c>
      <c r="B794">
        <v>9.1000003814697195</v>
      </c>
      <c r="C794">
        <f>C795*(1+G794*3)</f>
        <v>9.1997121894045506</v>
      </c>
      <c r="D794">
        <f t="shared" si="24"/>
        <v>9.0103925033425369</v>
      </c>
      <c r="F794">
        <v>10906.33984375</v>
      </c>
      <c r="G794">
        <f t="shared" si="25"/>
        <v>-3.3892465193209098E-2</v>
      </c>
    </row>
    <row r="795" spans="1:7" x14ac:dyDescent="0.25">
      <c r="A795" s="1">
        <v>44866</v>
      </c>
      <c r="B795">
        <v>10.149999618530201</v>
      </c>
      <c r="C795">
        <f>C796*(1+G795*3)</f>
        <v>10.240989310672537</v>
      </c>
      <c r="D795">
        <f t="shared" si="24"/>
        <v>10.032263351339365</v>
      </c>
      <c r="F795">
        <v>11288.9501953125</v>
      </c>
      <c r="G795">
        <f t="shared" si="25"/>
        <v>-1.0224838740390707E-2</v>
      </c>
    </row>
    <row r="796" spans="1:7" x14ac:dyDescent="0.25">
      <c r="A796" s="1">
        <v>44865</v>
      </c>
      <c r="B796">
        <v>10.4750003814697</v>
      </c>
      <c r="C796">
        <f>C797*(1+G796*3)</f>
        <v>10.565067649670125</v>
      </c>
      <c r="D796">
        <f t="shared" si="24"/>
        <v>10.351670093906053</v>
      </c>
      <c r="F796">
        <v>11405.5703125</v>
      </c>
      <c r="G796">
        <f t="shared" si="25"/>
        <v>-1.2180589900348648E-2</v>
      </c>
    </row>
    <row r="797" spans="1:7" x14ac:dyDescent="0.25">
      <c r="A797" s="1">
        <v>44862</v>
      </c>
      <c r="B797">
        <v>10.8500003814697</v>
      </c>
      <c r="C797">
        <f>C798*(1+G797*3)</f>
        <v>10.96577653023096</v>
      </c>
      <c r="D797">
        <f t="shared" si="24"/>
        <v>10.74630481229566</v>
      </c>
      <c r="F797">
        <v>11546.2099609375</v>
      </c>
      <c r="G797">
        <f t="shared" si="25"/>
        <v>3.1682612973964241E-2</v>
      </c>
    </row>
    <row r="798" spans="1:7" x14ac:dyDescent="0.25">
      <c r="A798" s="1">
        <v>44861</v>
      </c>
      <c r="B798">
        <v>9.9499998092651296</v>
      </c>
      <c r="C798">
        <f>C799*(1+G798*3)</f>
        <v>10.013970294692417</v>
      </c>
      <c r="D798">
        <f t="shared" si="24"/>
        <v>9.8151711389054697</v>
      </c>
      <c r="F798">
        <v>11191.6298828125</v>
      </c>
      <c r="G798">
        <f t="shared" si="25"/>
        <v>-1.8785935390827957E-2</v>
      </c>
    </row>
    <row r="799" spans="1:7" x14ac:dyDescent="0.25">
      <c r="A799" s="1">
        <v>44860</v>
      </c>
      <c r="B799">
        <v>10.529999732971101</v>
      </c>
      <c r="C799">
        <f>C800*(1+G799*3)</f>
        <v>10.612041682954697</v>
      </c>
      <c r="D799">
        <f t="shared" si="24"/>
        <v>10.403365633133205</v>
      </c>
      <c r="F799">
        <v>11405.900390625</v>
      </c>
      <c r="G799">
        <f t="shared" si="25"/>
        <v>-2.2629825599348008E-2</v>
      </c>
    </row>
    <row r="800" spans="1:7" x14ac:dyDescent="0.25">
      <c r="A800" s="1">
        <v>44859</v>
      </c>
      <c r="B800">
        <v>11.274999618530201</v>
      </c>
      <c r="C800">
        <f>C801*(1+G800*3)</f>
        <v>11.384960708844433</v>
      </c>
      <c r="D800">
        <f t="shared" si="24"/>
        <v>11.163254345579938</v>
      </c>
      <c r="F800">
        <v>11669.990234375</v>
      </c>
      <c r="G800">
        <f t="shared" si="25"/>
        <v>2.0973317638060873E-2</v>
      </c>
    </row>
    <row r="801" spans="1:7" x14ac:dyDescent="0.25">
      <c r="A801" s="1">
        <v>44858</v>
      </c>
      <c r="B801">
        <v>10.6350002288818</v>
      </c>
      <c r="C801">
        <f>C802*(1+G801*3)</f>
        <v>10.711023607780204</v>
      </c>
      <c r="D801">
        <f t="shared" si="24"/>
        <v>10.504230547064807</v>
      </c>
      <c r="F801">
        <v>11430.259765625</v>
      </c>
      <c r="G801">
        <f t="shared" si="25"/>
        <v>1.0603553271354427E-2</v>
      </c>
    </row>
    <row r="802" spans="1:7" x14ac:dyDescent="0.25">
      <c r="A802" s="1">
        <v>44855</v>
      </c>
      <c r="B802">
        <v>10.2849998474121</v>
      </c>
      <c r="C802">
        <f>C803*(1+G802*3)</f>
        <v>10.3808034021575</v>
      </c>
      <c r="D802">
        <f t="shared" si="24"/>
        <v>10.182172502587594</v>
      </c>
      <c r="F802">
        <v>11310.330078125</v>
      </c>
      <c r="G802">
        <f t="shared" si="25"/>
        <v>2.3864129511835808E-2</v>
      </c>
    </row>
    <row r="803" spans="1:7" x14ac:dyDescent="0.25">
      <c r="A803" s="1">
        <v>44854</v>
      </c>
      <c r="B803">
        <v>9.6049995422363192</v>
      </c>
      <c r="C803">
        <f>C804*(1+G803*3)</f>
        <v>9.687268697703642</v>
      </c>
      <c r="D803">
        <f t="shared" si="24"/>
        <v>9.5035139433532105</v>
      </c>
      <c r="F803">
        <v>11046.7099609375</v>
      </c>
      <c r="G803">
        <f t="shared" si="25"/>
        <v>-5.103844277427827E-3</v>
      </c>
    </row>
    <row r="804" spans="1:7" x14ac:dyDescent="0.25">
      <c r="A804" s="1">
        <v>44853</v>
      </c>
      <c r="B804">
        <v>9.7700004577636701</v>
      </c>
      <c r="C804">
        <f>C805*(1+G804*3)</f>
        <v>9.8379020580665166</v>
      </c>
      <c r="D804">
        <f t="shared" si="24"/>
        <v>9.6530649453068182</v>
      </c>
      <c r="F804">
        <v>11103.3798828125</v>
      </c>
      <c r="G804">
        <f t="shared" si="25"/>
        <v>-3.9793133522891821E-3</v>
      </c>
    </row>
    <row r="805" spans="1:7" x14ac:dyDescent="0.25">
      <c r="A805" s="1">
        <v>44852</v>
      </c>
      <c r="B805">
        <v>9.8900003433227504</v>
      </c>
      <c r="C805">
        <f>C806*(1+G805*3)</f>
        <v>9.9567653256848399</v>
      </c>
      <c r="D805">
        <f t="shared" si="24"/>
        <v>9.7714855767042703</v>
      </c>
      <c r="F805">
        <v>11147.740234375</v>
      </c>
      <c r="G805">
        <f t="shared" si="25"/>
        <v>7.7025742602576663E-3</v>
      </c>
    </row>
    <row r="806" spans="1:7" x14ac:dyDescent="0.25">
      <c r="A806" s="1">
        <v>44851</v>
      </c>
      <c r="B806">
        <v>9.6499996185302699</v>
      </c>
      <c r="C806">
        <f>C807*(1+G806*3)</f>
        <v>9.7318836560266408</v>
      </c>
      <c r="D806">
        <f t="shared" si="24"/>
        <v>9.5524791067062811</v>
      </c>
      <c r="F806">
        <v>11062.5302734375</v>
      </c>
      <c r="G806">
        <f t="shared" si="25"/>
        <v>3.4649143197223342E-2</v>
      </c>
    </row>
    <row r="807" spans="1:7" x14ac:dyDescent="0.25">
      <c r="A807" s="1">
        <v>44848</v>
      </c>
      <c r="B807">
        <v>8.7849998474121094</v>
      </c>
      <c r="C807">
        <f>C808*(1+G807*3)</f>
        <v>8.8155317863517162</v>
      </c>
      <c r="D807">
        <f t="shared" si="24"/>
        <v>8.6544393517851521</v>
      </c>
      <c r="F807">
        <v>10692.0595703125</v>
      </c>
      <c r="G807">
        <f t="shared" si="25"/>
        <v>-3.0952828129610754E-2</v>
      </c>
    </row>
    <row r="808" spans="1:7" x14ac:dyDescent="0.25">
      <c r="A808" s="1">
        <v>44847</v>
      </c>
      <c r="B808">
        <v>9.6549997329711896</v>
      </c>
      <c r="C808">
        <f>C809*(1+G808*3)</f>
        <v>9.7179234272090778</v>
      </c>
      <c r="D808">
        <f t="shared" si="24"/>
        <v>9.5422455250908182</v>
      </c>
      <c r="F808">
        <v>11033.580078125</v>
      </c>
      <c r="G808">
        <f t="shared" si="25"/>
        <v>2.2989865973710888E-2</v>
      </c>
    </row>
    <row r="809" spans="1:7" x14ac:dyDescent="0.25">
      <c r="A809" s="1">
        <v>44846</v>
      </c>
      <c r="B809">
        <v>9.0500001907348597</v>
      </c>
      <c r="C809">
        <f>C810*(1+G809*3)</f>
        <v>9.0909259216612952</v>
      </c>
      <c r="D809">
        <f t="shared" si="24"/>
        <v>8.9280949260888267</v>
      </c>
      <c r="F809">
        <v>10785.6201171875</v>
      </c>
      <c r="G809">
        <f t="shared" si="25"/>
        <v>-5.3093379372326499E-4</v>
      </c>
    </row>
    <row r="810" spans="1:7" x14ac:dyDescent="0.25">
      <c r="A810" s="1">
        <v>44845</v>
      </c>
      <c r="B810">
        <v>9.0699996948242099</v>
      </c>
      <c r="C810">
        <f>C811*(1+G810*3)</f>
        <v>9.1054290616468307</v>
      </c>
      <c r="D810">
        <f t="shared" si="24"/>
        <v>8.9439602691851459</v>
      </c>
      <c r="F810">
        <v>10791.349609375</v>
      </c>
      <c r="G810">
        <f t="shared" si="25"/>
        <v>-1.2411502967544563E-2</v>
      </c>
    </row>
    <row r="811" spans="1:7" x14ac:dyDescent="0.25">
      <c r="A811" s="1">
        <v>44844</v>
      </c>
      <c r="B811">
        <v>9.4449996948242099</v>
      </c>
      <c r="C811">
        <f>C812*(1+G811*3)</f>
        <v>9.4575773081235024</v>
      </c>
      <c r="D811">
        <f t="shared" si="24"/>
        <v>9.2916111849711758</v>
      </c>
      <c r="F811">
        <v>10926.9697265625</v>
      </c>
      <c r="G811">
        <f t="shared" si="25"/>
        <v>-1.0190706871482158E-2</v>
      </c>
    </row>
    <row r="812" spans="1:7" x14ac:dyDescent="0.25">
      <c r="A812" s="1">
        <v>44841</v>
      </c>
      <c r="B812">
        <v>9.75</v>
      </c>
      <c r="C812">
        <f>C813*(1+G812*3)</f>
        <v>9.7558338368790682</v>
      </c>
      <c r="D812">
        <f t="shared" si="24"/>
        <v>9.5864242175727963</v>
      </c>
      <c r="F812">
        <v>11039.4697265625</v>
      </c>
      <c r="G812">
        <f t="shared" si="25"/>
        <v>-3.883420603695964E-2</v>
      </c>
    </row>
    <row r="813" spans="1:7" x14ac:dyDescent="0.25">
      <c r="A813" s="1">
        <v>44840</v>
      </c>
      <c r="B813">
        <v>11.0050001144409</v>
      </c>
      <c r="C813">
        <f>C814*(1+G813*3)</f>
        <v>11.042289470081787</v>
      </c>
      <c r="D813">
        <f t="shared" si="24"/>
        <v>10.852764719541884</v>
      </c>
      <c r="F813">
        <v>11485.5</v>
      </c>
      <c r="G813">
        <f t="shared" si="25"/>
        <v>-7.5761104439345806E-3</v>
      </c>
    </row>
    <row r="814" spans="1:7" x14ac:dyDescent="0.25">
      <c r="A814" s="1">
        <v>44839</v>
      </c>
      <c r="B814">
        <v>11.289999961853001</v>
      </c>
      <c r="C814">
        <f>C815*(1+G814*3)</f>
        <v>11.299099139065364</v>
      </c>
      <c r="D814">
        <f t="shared" si="24"/>
        <v>11.107224468241435</v>
      </c>
      <c r="F814">
        <v>11573.1796875</v>
      </c>
      <c r="G814">
        <f t="shared" si="25"/>
        <v>-8.0814325104272555E-4</v>
      </c>
    </row>
    <row r="815" spans="1:7" x14ac:dyDescent="0.25">
      <c r="A815" s="1">
        <v>44838</v>
      </c>
      <c r="B815">
        <v>11.289999961853001</v>
      </c>
      <c r="C815">
        <f>C816*(1+G815*3)</f>
        <v>11.326559587128978</v>
      </c>
      <c r="D815">
        <f t="shared" si="24"/>
        <v>11.136239823728459</v>
      </c>
      <c r="F815">
        <v>11582.5400390625</v>
      </c>
      <c r="G815">
        <f t="shared" si="25"/>
        <v>3.1417456660629117E-2</v>
      </c>
    </row>
    <row r="816" spans="1:7" x14ac:dyDescent="0.25">
      <c r="A816" s="1">
        <v>44837</v>
      </c>
      <c r="B816">
        <v>10.329999923706</v>
      </c>
      <c r="C816">
        <f>C817*(1+G816*3)</f>
        <v>10.350957327436687</v>
      </c>
      <c r="D816">
        <f t="shared" si="24"/>
        <v>10.178714786818812</v>
      </c>
      <c r="F816">
        <v>11229.73046875</v>
      </c>
      <c r="G816">
        <f t="shared" si="25"/>
        <v>2.356262554487154E-2</v>
      </c>
    </row>
    <row r="817" spans="1:7" x14ac:dyDescent="0.25">
      <c r="A817" s="1">
        <v>44834</v>
      </c>
      <c r="B817">
        <v>9.6599998474121094</v>
      </c>
      <c r="C817">
        <f>C818*(1+G817*3)</f>
        <v>9.6675768478595359</v>
      </c>
      <c r="D817">
        <f t="shared" si="24"/>
        <v>9.5083138433744256</v>
      </c>
      <c r="F817">
        <v>10971.2197265625</v>
      </c>
      <c r="G817">
        <f t="shared" si="25"/>
        <v>-1.7336709020195129E-2</v>
      </c>
    </row>
    <row r="818" spans="1:7" x14ac:dyDescent="0.25">
      <c r="A818" s="1">
        <v>44833</v>
      </c>
      <c r="B818">
        <v>10.194999694824199</v>
      </c>
      <c r="C818">
        <f>C819*(1+G818*3)</f>
        <v>10.197974813679664</v>
      </c>
      <c r="D818">
        <f t="shared" ref="D818:D881" si="26">D819*(1+3*G818-0.000181059707075509)</f>
        <v>10.031890092842621</v>
      </c>
      <c r="F818">
        <v>11164.7802734375</v>
      </c>
      <c r="G818">
        <f t="shared" si="25"/>
        <v>-2.8628386051551824E-2</v>
      </c>
    </row>
    <row r="819" spans="1:7" x14ac:dyDescent="0.25">
      <c r="A819" s="1">
        <v>44832</v>
      </c>
      <c r="B819">
        <v>11.1350002288818</v>
      </c>
      <c r="C819">
        <f>C820*(1+G819*3)</f>
        <v>11.156119939036083</v>
      </c>
      <c r="D819">
        <f t="shared" si="26"/>
        <v>10.976604967344228</v>
      </c>
      <c r="F819">
        <v>11493.830078125</v>
      </c>
      <c r="G819">
        <f t="shared" si="25"/>
        <v>1.9702360159247645E-2</v>
      </c>
    </row>
    <row r="820" spans="1:7" x14ac:dyDescent="0.25">
      <c r="A820" s="1">
        <v>44831</v>
      </c>
      <c r="B820">
        <v>10.520000457763601</v>
      </c>
      <c r="C820">
        <f>C821*(1+G820*3)</f>
        <v>10.533514641412623</v>
      </c>
      <c r="D820">
        <f t="shared" si="26"/>
        <v>10.365790198786172</v>
      </c>
      <c r="F820">
        <v>11271.75</v>
      </c>
      <c r="G820">
        <f t="shared" si="25"/>
        <v>1.5673960789845953E-3</v>
      </c>
    </row>
    <row r="821" spans="1:7" x14ac:dyDescent="0.25">
      <c r="A821" s="1">
        <v>44830</v>
      </c>
      <c r="B821">
        <v>10.5100002288818</v>
      </c>
      <c r="C821">
        <f>C822*(1+G821*3)</f>
        <v>10.484215884805407</v>
      </c>
      <c r="D821">
        <f t="shared" si="26"/>
        <v>10.319136058349073</v>
      </c>
      <c r="F821">
        <v>11254.1103515625</v>
      </c>
      <c r="G821">
        <f t="shared" si="25"/>
        <v>-5.0507178371901329E-3</v>
      </c>
    </row>
    <row r="822" spans="1:7" x14ac:dyDescent="0.25">
      <c r="A822" s="1">
        <v>44827</v>
      </c>
      <c r="B822">
        <v>10.654999732971101</v>
      </c>
      <c r="C822">
        <f>C823*(1+G822*3)</f>
        <v>10.645518414024963</v>
      </c>
      <c r="D822">
        <f t="shared" si="26"/>
        <v>10.479825456568836</v>
      </c>
      <c r="F822">
        <v>11311.240234375</v>
      </c>
      <c r="G822">
        <f t="shared" si="25"/>
        <v>-1.6555029042197633E-2</v>
      </c>
    </row>
    <row r="823" spans="1:7" x14ac:dyDescent="0.25">
      <c r="A823" s="1">
        <v>44826</v>
      </c>
      <c r="B823">
        <v>11.189999580383301</v>
      </c>
      <c r="C823">
        <f>C824*(1+G823*3)</f>
        <v>11.201859754723163</v>
      </c>
      <c r="D823">
        <f t="shared" si="26"/>
        <v>11.029608964532887</v>
      </c>
      <c r="F823">
        <v>11501.650390625</v>
      </c>
      <c r="G823">
        <f t="shared" si="25"/>
        <v>-1.1698067071200358E-2</v>
      </c>
    </row>
    <row r="824" spans="1:7" x14ac:dyDescent="0.25">
      <c r="A824" s="1">
        <v>44825</v>
      </c>
      <c r="B824">
        <v>11.619999885559</v>
      </c>
      <c r="C824">
        <f>C825*(1+G824*3)</f>
        <v>11.609278096174979</v>
      </c>
      <c r="D824">
        <f t="shared" si="26"/>
        <v>11.432907769172477</v>
      </c>
      <c r="F824">
        <v>11637.7900390625</v>
      </c>
      <c r="G824">
        <f t="shared" si="25"/>
        <v>-1.8035630753090559E-2</v>
      </c>
    </row>
    <row r="825" spans="1:7" x14ac:dyDescent="0.25">
      <c r="A825" s="1">
        <v>44824</v>
      </c>
      <c r="B825">
        <v>12.295000076293899</v>
      </c>
      <c r="C825">
        <f>C826*(1+G825*3)</f>
        <v>12.273350975041792</v>
      </c>
      <c r="D825">
        <f t="shared" si="26"/>
        <v>12.089206004030563</v>
      </c>
      <c r="F825">
        <v>11851.5400390625</v>
      </c>
      <c r="G825">
        <f t="shared" si="25"/>
        <v>-8.5105997084349294E-3</v>
      </c>
    </row>
    <row r="826" spans="1:7" x14ac:dyDescent="0.25">
      <c r="A826" s="1">
        <v>44823</v>
      </c>
      <c r="B826">
        <v>12.5950002670288</v>
      </c>
      <c r="C826">
        <f>C827*(1+G826*3)</f>
        <v>12.594921993375539</v>
      </c>
      <c r="D826">
        <f t="shared" si="26"/>
        <v>12.408257784807091</v>
      </c>
      <c r="F826">
        <v>11953.26953125</v>
      </c>
      <c r="G826">
        <f t="shared" si="25"/>
        <v>7.7469610909814968E-3</v>
      </c>
    </row>
    <row r="827" spans="1:7" x14ac:dyDescent="0.25">
      <c r="A827" s="1">
        <v>44820</v>
      </c>
      <c r="B827">
        <v>12.300000190734799</v>
      </c>
      <c r="C827">
        <f>C828*(1+G827*3)</f>
        <v>12.308853369002756</v>
      </c>
      <c r="D827">
        <f t="shared" si="26"/>
        <v>12.128574985535236</v>
      </c>
      <c r="F827">
        <v>11861.3798828125</v>
      </c>
      <c r="G827">
        <f t="shared" si="25"/>
        <v>-5.5426875447753821E-3</v>
      </c>
    </row>
    <row r="828" spans="1:7" x14ac:dyDescent="0.25">
      <c r="A828" s="1">
        <v>44819</v>
      </c>
      <c r="B828">
        <v>12.545000076293899</v>
      </c>
      <c r="C828">
        <f>C829*(1+G828*3)</f>
        <v>12.516986606285085</v>
      </c>
      <c r="D828">
        <f t="shared" si="26"/>
        <v>12.335931161626119</v>
      </c>
      <c r="F828">
        <v>11927.490234375</v>
      </c>
      <c r="G828">
        <f t="shared" si="25"/>
        <v>-1.7051535270738105E-2</v>
      </c>
    </row>
    <row r="829" spans="1:7" x14ac:dyDescent="0.25">
      <c r="A829" s="1">
        <v>44818</v>
      </c>
      <c r="B829">
        <v>13.2100000381469</v>
      </c>
      <c r="C829">
        <f>C830*(1+G829*3)</f>
        <v>13.191808363047029</v>
      </c>
      <c r="D829">
        <f t="shared" si="26"/>
        <v>13.003473107670576</v>
      </c>
      <c r="F829">
        <v>12134.400390625</v>
      </c>
      <c r="G829">
        <f t="shared" si="25"/>
        <v>8.3748923811843845E-3</v>
      </c>
    </row>
    <row r="830" spans="1:7" x14ac:dyDescent="0.25">
      <c r="A830" s="1">
        <v>44817</v>
      </c>
      <c r="B830">
        <v>12.920000076293899</v>
      </c>
      <c r="C830">
        <f>C831*(1+G830*3)</f>
        <v>12.868491664648237</v>
      </c>
      <c r="D830">
        <f t="shared" si="26"/>
        <v>12.687013106334588</v>
      </c>
      <c r="F830">
        <v>12033.6201171875</v>
      </c>
      <c r="G830">
        <f t="shared" si="25"/>
        <v>-5.5425050513691621E-2</v>
      </c>
    </row>
    <row r="831" spans="1:7" x14ac:dyDescent="0.25">
      <c r="A831" s="1">
        <v>44816</v>
      </c>
      <c r="B831">
        <v>15.4650001525878</v>
      </c>
      <c r="C831">
        <f>C832*(1+G831*3)</f>
        <v>15.434938383370286</v>
      </c>
      <c r="D831">
        <f t="shared" si="26"/>
        <v>15.220571825425212</v>
      </c>
      <c r="F831">
        <v>12739.7197265625</v>
      </c>
      <c r="G831">
        <f t="shared" si="25"/>
        <v>1.2029408841876199E-2</v>
      </c>
    </row>
    <row r="832" spans="1:7" x14ac:dyDescent="0.25">
      <c r="A832" s="1">
        <v>44813</v>
      </c>
      <c r="B832">
        <v>14.920000076293899</v>
      </c>
      <c r="C832">
        <f>C833*(1+G832*3)</f>
        <v>14.89732050631355</v>
      </c>
      <c r="D832">
        <f t="shared" si="26"/>
        <v>14.692988245433396</v>
      </c>
      <c r="F832">
        <v>12588.2900390625</v>
      </c>
      <c r="G832">
        <f t="shared" si="25"/>
        <v>2.1678068438211406E-2</v>
      </c>
    </row>
    <row r="833" spans="1:7" x14ac:dyDescent="0.25">
      <c r="A833" s="1">
        <v>44812</v>
      </c>
      <c r="B833">
        <v>14.029999732971101</v>
      </c>
      <c r="C833">
        <f>C834*(1+G833*3)</f>
        <v>13.987645121606736</v>
      </c>
      <c r="D833">
        <f t="shared" si="26"/>
        <v>13.798135739224604</v>
      </c>
      <c r="F833">
        <v>12321.1904296875</v>
      </c>
      <c r="G833">
        <f t="shared" si="25"/>
        <v>5.0410977236436949E-3</v>
      </c>
    </row>
    <row r="834" spans="1:7" x14ac:dyDescent="0.25">
      <c r="A834" s="1">
        <v>44811</v>
      </c>
      <c r="B834">
        <v>13.8050003051757</v>
      </c>
      <c r="C834">
        <f>C835*(1+G834*3)</f>
        <v>13.779257372681952</v>
      </c>
      <c r="D834">
        <f t="shared" si="26"/>
        <v>13.594996133064145</v>
      </c>
      <c r="F834">
        <v>12259.3896484375</v>
      </c>
      <c r="G834">
        <f t="shared" ref="G834:G897" si="27">F834/F835-1</f>
        <v>2.0653874306775233E-2</v>
      </c>
    </row>
    <row r="835" spans="1:7" x14ac:dyDescent="0.25">
      <c r="A835" s="1">
        <v>44810</v>
      </c>
      <c r="B835">
        <v>13.0349998474121</v>
      </c>
      <c r="C835">
        <f>C836*(1+G835*3)</f>
        <v>12.975287501246878</v>
      </c>
      <c r="D835">
        <f t="shared" si="26"/>
        <v>12.803960257025064</v>
      </c>
      <c r="F835">
        <v>12011.3095703125</v>
      </c>
      <c r="G835">
        <f t="shared" si="27"/>
        <v>-7.2018257131055696E-3</v>
      </c>
    </row>
    <row r="836" spans="1:7" x14ac:dyDescent="0.25">
      <c r="A836" s="1">
        <v>44806</v>
      </c>
      <c r="B836">
        <v>13.3400001525878</v>
      </c>
      <c r="C836">
        <f>C837*(1+G836*3)</f>
        <v>13.261815349608689</v>
      </c>
      <c r="D836">
        <f t="shared" si="26"/>
        <v>13.089127004802297</v>
      </c>
      <c r="F836">
        <v>12098.4404296875</v>
      </c>
      <c r="G836">
        <f t="shared" si="27"/>
        <v>-1.43531682298913E-2</v>
      </c>
    </row>
    <row r="837" spans="1:7" x14ac:dyDescent="0.25">
      <c r="A837" s="1">
        <v>44805</v>
      </c>
      <c r="B837">
        <v>13.920000076293899</v>
      </c>
      <c r="C837">
        <f>C838*(1+G837*3)</f>
        <v>13.858557992477909</v>
      </c>
      <c r="D837">
        <f t="shared" si="26"/>
        <v>13.680687660581485</v>
      </c>
      <c r="F837">
        <v>12274.6201171875</v>
      </c>
      <c r="G837">
        <f t="shared" si="27"/>
        <v>2.1103629084140429E-4</v>
      </c>
    </row>
    <row r="838" spans="1:7" x14ac:dyDescent="0.25">
      <c r="A838" s="1">
        <v>44804</v>
      </c>
      <c r="B838">
        <v>13.904999732971101</v>
      </c>
      <c r="C838">
        <f>C839*(1+G838*3)</f>
        <v>13.849789567819929</v>
      </c>
      <c r="D838">
        <f t="shared" si="26"/>
        <v>13.674506111505856</v>
      </c>
      <c r="F838">
        <v>12272.0302734375</v>
      </c>
      <c r="G838">
        <f t="shared" si="27"/>
        <v>-5.7256451794752694E-3</v>
      </c>
    </row>
    <row r="839" spans="1:7" x14ac:dyDescent="0.25">
      <c r="A839" s="1">
        <v>44803</v>
      </c>
      <c r="B839">
        <v>14.164999961853001</v>
      </c>
      <c r="C839">
        <f>C840*(1+G839*3)</f>
        <v>14.091844268436397</v>
      </c>
      <c r="D839">
        <f t="shared" si="26"/>
        <v>13.916061032748409</v>
      </c>
      <c r="F839">
        <v>12342.7001953125</v>
      </c>
      <c r="G839">
        <f t="shared" si="27"/>
        <v>-1.1343838802798212E-2</v>
      </c>
    </row>
    <row r="840" spans="1:7" x14ac:dyDescent="0.25">
      <c r="A840" s="1">
        <v>44802</v>
      </c>
      <c r="B840">
        <v>14.654999732971101</v>
      </c>
      <c r="C840">
        <f>C841*(1+G840*3)</f>
        <v>14.588306459068889</v>
      </c>
      <c r="D840">
        <f t="shared" si="26"/>
        <v>14.409031106220143</v>
      </c>
      <c r="F840">
        <v>12484.3203125</v>
      </c>
      <c r="G840">
        <f t="shared" si="27"/>
        <v>-9.5873050600672194E-3</v>
      </c>
    </row>
    <row r="841" spans="1:7" x14ac:dyDescent="0.25">
      <c r="A841" s="1">
        <v>44799</v>
      </c>
      <c r="B841">
        <v>15.119999885559</v>
      </c>
      <c r="C841">
        <f>C842*(1+G841*3)</f>
        <v>15.020319617898402</v>
      </c>
      <c r="D841">
        <f t="shared" si="26"/>
        <v>14.838501481977852</v>
      </c>
      <c r="F841">
        <v>12605.169921875</v>
      </c>
      <c r="G841">
        <f t="shared" si="27"/>
        <v>-4.0963736900426539E-2</v>
      </c>
    </row>
    <row r="842" spans="1:7" x14ac:dyDescent="0.25">
      <c r="A842" s="1">
        <v>44798</v>
      </c>
      <c r="B842">
        <v>17.215000152587798</v>
      </c>
      <c r="C842">
        <f>C843*(1+G842*3)</f>
        <v>17.124808006892373</v>
      </c>
      <c r="D842">
        <f t="shared" si="26"/>
        <v>16.921008403836918</v>
      </c>
      <c r="F842">
        <v>13143.580078125</v>
      </c>
      <c r="G842">
        <f t="shared" si="27"/>
        <v>1.7473460806936014E-2</v>
      </c>
    </row>
    <row r="843" spans="1:7" x14ac:dyDescent="0.25">
      <c r="A843" s="1">
        <v>44797</v>
      </c>
      <c r="B843">
        <v>16.3549995422363</v>
      </c>
      <c r="C843">
        <f>C844*(1+G843*3)</f>
        <v>16.27183233329384</v>
      </c>
      <c r="D843">
        <f t="shared" si="26"/>
        <v>16.080950444046817</v>
      </c>
      <c r="F843">
        <v>12917.8603515625</v>
      </c>
      <c r="G843">
        <f t="shared" si="27"/>
        <v>2.800100947975448E-3</v>
      </c>
    </row>
    <row r="844" spans="1:7" x14ac:dyDescent="0.25">
      <c r="A844" s="1">
        <v>44796</v>
      </c>
      <c r="B844">
        <v>16.2299995422363</v>
      </c>
      <c r="C844">
        <f>C845*(1+G844*3)</f>
        <v>16.136282672073225</v>
      </c>
      <c r="D844">
        <f t="shared" si="26"/>
        <v>15.949854710186351</v>
      </c>
      <c r="F844">
        <v>12881.7900390625</v>
      </c>
      <c r="G844">
        <f t="shared" si="27"/>
        <v>-6.7879235264656224E-4</v>
      </c>
    </row>
    <row r="845" spans="1:7" x14ac:dyDescent="0.25">
      <c r="A845" s="1">
        <v>44795</v>
      </c>
      <c r="B845">
        <v>16.284999847412099</v>
      </c>
      <c r="C845">
        <f>C846*(1+G845*3)</f>
        <v>16.169209278893788</v>
      </c>
      <c r="D845">
        <f t="shared" si="26"/>
        <v>15.985301104555429</v>
      </c>
      <c r="F845">
        <v>12890.5400390625</v>
      </c>
      <c r="G845">
        <f t="shared" si="27"/>
        <v>-2.6607490894664187E-2</v>
      </c>
    </row>
    <row r="846" spans="1:7" x14ac:dyDescent="0.25">
      <c r="A846" s="1">
        <v>44792</v>
      </c>
      <c r="B846">
        <v>17.674999237060501</v>
      </c>
      <c r="C846">
        <f>C847*(1+G846*3)</f>
        <v>17.571836736826715</v>
      </c>
      <c r="D846">
        <f t="shared" si="26"/>
        <v>17.375394001350003</v>
      </c>
      <c r="F846">
        <v>13242.900390625</v>
      </c>
      <c r="G846">
        <f t="shared" si="27"/>
        <v>-1.9479493112648072E-2</v>
      </c>
    </row>
    <row r="847" spans="1:7" x14ac:dyDescent="0.25">
      <c r="A847" s="1">
        <v>44791</v>
      </c>
      <c r="B847">
        <v>18.774999618530199</v>
      </c>
      <c r="C847">
        <f>C848*(1+G847*3)</f>
        <v>18.662441435022895</v>
      </c>
      <c r="D847">
        <f t="shared" si="26"/>
        <v>18.457355683507167</v>
      </c>
      <c r="F847">
        <v>13505.990234375</v>
      </c>
      <c r="G847">
        <f t="shared" si="27"/>
        <v>2.6078425501920854E-3</v>
      </c>
    </row>
    <row r="848" spans="1:7" x14ac:dyDescent="0.25">
      <c r="A848" s="1">
        <v>44790</v>
      </c>
      <c r="B848">
        <v>18.649999618530199</v>
      </c>
      <c r="C848">
        <f>C849*(1+G848*3)</f>
        <v>18.517568724088541</v>
      </c>
      <c r="D848">
        <f t="shared" si="26"/>
        <v>18.317365802551787</v>
      </c>
      <c r="F848">
        <v>13470.8603515625</v>
      </c>
      <c r="G848">
        <f t="shared" si="27"/>
        <v>-1.2053324433274781E-2</v>
      </c>
    </row>
    <row r="849" spans="1:7" x14ac:dyDescent="0.25">
      <c r="A849" s="1">
        <v>44789</v>
      </c>
      <c r="B849">
        <v>19.319999694824201</v>
      </c>
      <c r="C849">
        <f>C850*(1+G849*3)</f>
        <v>19.212284415584715</v>
      </c>
      <c r="D849">
        <f t="shared" si="26"/>
        <v>19.008141292668469</v>
      </c>
      <c r="F849">
        <v>13635.2099609375</v>
      </c>
      <c r="G849">
        <f t="shared" si="27"/>
        <v>-2.3391604773982388E-3</v>
      </c>
    </row>
    <row r="850" spans="1:7" x14ac:dyDescent="0.25">
      <c r="A850" s="1">
        <v>44788</v>
      </c>
      <c r="B850">
        <v>19.444999694824201</v>
      </c>
      <c r="C850">
        <f>C851*(1+G850*3)</f>
        <v>19.348059060792835</v>
      </c>
      <c r="D850">
        <f t="shared" si="26"/>
        <v>19.145964304364437</v>
      </c>
      <c r="F850">
        <v>13667.1796875</v>
      </c>
      <c r="G850">
        <f t="shared" si="27"/>
        <v>7.4679743678323085E-3</v>
      </c>
    </row>
    <row r="851" spans="1:7" x14ac:dyDescent="0.25">
      <c r="A851" s="1">
        <v>44785</v>
      </c>
      <c r="B851">
        <v>18.9899997711181</v>
      </c>
      <c r="C851">
        <f>C852*(1+G851*3)</f>
        <v>18.924085308731989</v>
      </c>
      <c r="D851">
        <f t="shared" si="26"/>
        <v>18.72973594109445</v>
      </c>
      <c r="F851">
        <v>13565.8701171875</v>
      </c>
      <c r="G851">
        <f t="shared" si="27"/>
        <v>2.0604881434851396E-2</v>
      </c>
    </row>
    <row r="852" spans="1:7" x14ac:dyDescent="0.25">
      <c r="A852" s="1">
        <v>44784</v>
      </c>
      <c r="B852">
        <v>17.975000381469702</v>
      </c>
      <c r="C852">
        <f>C853*(1+G852*3)</f>
        <v>17.822399992539662</v>
      </c>
      <c r="D852">
        <f t="shared" si="26"/>
        <v>17.64237323765137</v>
      </c>
      <c r="F852">
        <v>13291.990234375</v>
      </c>
      <c r="G852">
        <f t="shared" si="27"/>
        <v>-6.4529833423361271E-3</v>
      </c>
    </row>
    <row r="853" spans="1:7" x14ac:dyDescent="0.25">
      <c r="A853" s="1">
        <v>44783</v>
      </c>
      <c r="B853">
        <v>18.25</v>
      </c>
      <c r="C853">
        <f>C854*(1+G853*3)</f>
        <v>18.174234081910519</v>
      </c>
      <c r="D853">
        <f t="shared" si="26"/>
        <v>17.993975697944066</v>
      </c>
      <c r="F853">
        <v>13378.3203125</v>
      </c>
      <c r="G853">
        <f t="shared" si="27"/>
        <v>2.8455224128225876E-2</v>
      </c>
    </row>
    <row r="854" spans="1:7" x14ac:dyDescent="0.25">
      <c r="A854" s="1">
        <v>44782</v>
      </c>
      <c r="B854">
        <v>16.8649997711181</v>
      </c>
      <c r="C854">
        <f>C855*(1+G854*3)</f>
        <v>16.744802737292733</v>
      </c>
      <c r="D854">
        <f t="shared" si="26"/>
        <v>16.581488059939808</v>
      </c>
      <c r="F854">
        <v>13008.169921875</v>
      </c>
      <c r="G854">
        <f t="shared" si="27"/>
        <v>-1.1474154321564844E-2</v>
      </c>
    </row>
    <row r="855" spans="1:7" x14ac:dyDescent="0.25">
      <c r="A855" s="1">
        <v>44781</v>
      </c>
      <c r="B855">
        <v>17.465000152587798</v>
      </c>
      <c r="C855">
        <f>C856*(1+G855*3)</f>
        <v>17.341748430380559</v>
      </c>
      <c r="D855">
        <f t="shared" si="26"/>
        <v>17.175832364573861</v>
      </c>
      <c r="F855">
        <v>13159.16015625</v>
      </c>
      <c r="G855">
        <f t="shared" si="27"/>
        <v>-3.6743951333396696E-3</v>
      </c>
    </row>
    <row r="856" spans="1:7" x14ac:dyDescent="0.25">
      <c r="A856" s="1">
        <v>44778</v>
      </c>
      <c r="B856">
        <v>17.645000457763601</v>
      </c>
      <c r="C856">
        <f>C857*(1+G856*3)</f>
        <v>17.535040432059986</v>
      </c>
      <c r="D856">
        <f t="shared" si="26"/>
        <v>17.370455202282034</v>
      </c>
      <c r="F856">
        <v>13207.6904296875</v>
      </c>
      <c r="G856">
        <f t="shared" si="27"/>
        <v>-7.7642024268359533E-3</v>
      </c>
    </row>
    <row r="857" spans="1:7" x14ac:dyDescent="0.25">
      <c r="A857" s="1">
        <v>44777</v>
      </c>
      <c r="B857">
        <v>18.0750007629394</v>
      </c>
      <c r="C857">
        <f>C858*(1+G857*3)</f>
        <v>17.953217680923199</v>
      </c>
      <c r="D857">
        <f t="shared" si="26"/>
        <v>17.788004905814628</v>
      </c>
      <c r="F857">
        <v>13311.0400390625</v>
      </c>
      <c r="G857">
        <f t="shared" si="27"/>
        <v>4.3597027794901599E-3</v>
      </c>
    </row>
    <row r="858" spans="1:7" x14ac:dyDescent="0.25">
      <c r="A858" s="1">
        <v>44776</v>
      </c>
      <c r="B858">
        <v>17.819999694824201</v>
      </c>
      <c r="C858">
        <f>C859*(1+G858*3)</f>
        <v>17.721437085370255</v>
      </c>
      <c r="D858">
        <f t="shared" si="26"/>
        <v>17.561495877940903</v>
      </c>
      <c r="F858">
        <v>13253.259765625</v>
      </c>
      <c r="G858">
        <f t="shared" si="27"/>
        <v>2.7257097328804436E-2</v>
      </c>
    </row>
    <row r="859" spans="1:7" x14ac:dyDescent="0.25">
      <c r="A859" s="1">
        <v>44775</v>
      </c>
      <c r="B859">
        <v>16.5</v>
      </c>
      <c r="C859">
        <f>C860*(1+G859*3)</f>
        <v>16.381870379300867</v>
      </c>
      <c r="D859">
        <f t="shared" si="26"/>
        <v>16.236736754668996</v>
      </c>
      <c r="F859">
        <v>12901.599609375</v>
      </c>
      <c r="G859">
        <f t="shared" si="27"/>
        <v>-3.027689461888361E-3</v>
      </c>
    </row>
    <row r="860" spans="1:7" x14ac:dyDescent="0.25">
      <c r="A860" s="1">
        <v>44774</v>
      </c>
      <c r="B860">
        <v>16.655000686645501</v>
      </c>
      <c r="C860">
        <f>C861*(1+G860*3)</f>
        <v>16.532031956112235</v>
      </c>
      <c r="D860">
        <f t="shared" si="26"/>
        <v>16.388562496896125</v>
      </c>
      <c r="F860">
        <v>12940.7802734375</v>
      </c>
      <c r="G860">
        <f t="shared" si="27"/>
        <v>-5.5525717752114012E-4</v>
      </c>
    </row>
    <row r="861" spans="1:7" x14ac:dyDescent="0.25">
      <c r="A861" s="1">
        <v>44771</v>
      </c>
      <c r="B861">
        <v>16.6800003051757</v>
      </c>
      <c r="C861">
        <f>C862*(1+G861*3)</f>
        <v>16.55961649385787</v>
      </c>
      <c r="D861">
        <f t="shared" si="26"/>
        <v>16.418885407386536</v>
      </c>
      <c r="F861">
        <v>12947.9697265625</v>
      </c>
      <c r="G861">
        <f t="shared" si="27"/>
        <v>1.8092621425975564E-2</v>
      </c>
    </row>
    <row r="862" spans="1:7" x14ac:dyDescent="0.25">
      <c r="A862" s="1">
        <v>44770</v>
      </c>
      <c r="B862">
        <v>15.810000419616699</v>
      </c>
      <c r="C862">
        <f>C863*(1+G862*3)</f>
        <v>15.707070265768623</v>
      </c>
      <c r="D862">
        <f t="shared" si="26"/>
        <v>15.576259539152165</v>
      </c>
      <c r="F862">
        <v>12717.8701171875</v>
      </c>
      <c r="G862">
        <f t="shared" si="27"/>
        <v>9.2370487848445482E-3</v>
      </c>
    </row>
    <row r="863" spans="1:7" x14ac:dyDescent="0.25">
      <c r="A863" s="1">
        <v>44769</v>
      </c>
      <c r="B863">
        <v>15.369999885559</v>
      </c>
      <c r="C863">
        <f>C864*(1+G863*3)</f>
        <v>15.283545694219892</v>
      </c>
      <c r="D863">
        <f t="shared" si="26"/>
        <v>15.158932805532849</v>
      </c>
      <c r="F863">
        <v>12601.4697265625</v>
      </c>
      <c r="G863">
        <f t="shared" si="27"/>
        <v>4.2572480893167342E-2</v>
      </c>
    </row>
    <row r="864" spans="1:7" x14ac:dyDescent="0.25">
      <c r="A864" s="1">
        <v>44768</v>
      </c>
      <c r="B864">
        <v>13.664999961853001</v>
      </c>
      <c r="C864">
        <f>C865*(1+G864*3)</f>
        <v>13.552637492159004</v>
      </c>
      <c r="D864">
        <f t="shared" si="26"/>
        <v>13.444295930895523</v>
      </c>
      <c r="F864">
        <v>12086.900390625</v>
      </c>
      <c r="G864">
        <f t="shared" si="27"/>
        <v>-1.958969263385224E-2</v>
      </c>
    </row>
    <row r="865" spans="1:7" x14ac:dyDescent="0.25">
      <c r="A865" s="1">
        <v>44767</v>
      </c>
      <c r="B865">
        <v>14.545000076293899</v>
      </c>
      <c r="C865">
        <f>C866*(1+G865*3)</f>
        <v>14.398844294175808</v>
      </c>
      <c r="D865">
        <f t="shared" si="26"/>
        <v>14.286486261983271</v>
      </c>
      <c r="F865">
        <v>12328.41015625</v>
      </c>
      <c r="G865">
        <f t="shared" si="27"/>
        <v>-5.4902380930811345E-3</v>
      </c>
    </row>
    <row r="866" spans="1:7" x14ac:dyDescent="0.25">
      <c r="A866" s="1">
        <v>44764</v>
      </c>
      <c r="B866">
        <v>14.765000343322701</v>
      </c>
      <c r="C866">
        <f>C867*(1+G866*3)</f>
        <v>14.639975141791481</v>
      </c>
      <c r="D866">
        <f t="shared" si="26"/>
        <v>14.528410062728385</v>
      </c>
      <c r="F866">
        <v>12396.4697265625</v>
      </c>
      <c r="G866">
        <f t="shared" si="27"/>
        <v>-1.7666469900503579E-2</v>
      </c>
    </row>
    <row r="867" spans="1:7" x14ac:dyDescent="0.25">
      <c r="A867" s="1">
        <v>44763</v>
      </c>
      <c r="B867">
        <v>15.579999923706</v>
      </c>
      <c r="C867">
        <f>C868*(1+G867*3)</f>
        <v>15.459309415189534</v>
      </c>
      <c r="D867">
        <f t="shared" si="26"/>
        <v>15.344434280578765</v>
      </c>
      <c r="F867">
        <v>12619.41015625</v>
      </c>
      <c r="G867">
        <f t="shared" si="27"/>
        <v>1.4448158896776198E-2</v>
      </c>
    </row>
    <row r="868" spans="1:7" x14ac:dyDescent="0.25">
      <c r="A868" s="1">
        <v>44762</v>
      </c>
      <c r="B868">
        <v>14.944999694824199</v>
      </c>
      <c r="C868">
        <f>C869*(1+G868*3)</f>
        <v>14.817071217196808</v>
      </c>
      <c r="D868">
        <f t="shared" si="26"/>
        <v>14.709521088223806</v>
      </c>
      <c r="F868">
        <v>12439.6796875</v>
      </c>
      <c r="G868">
        <f t="shared" si="27"/>
        <v>1.5532144937348003E-2</v>
      </c>
    </row>
    <row r="869" spans="1:7" x14ac:dyDescent="0.25">
      <c r="A869" s="1">
        <v>44761</v>
      </c>
      <c r="B869">
        <v>14.2299995422363</v>
      </c>
      <c r="C869">
        <f>C870*(1+G869*3)</f>
        <v>14.157387436407401</v>
      </c>
      <c r="D869">
        <f t="shared" si="26"/>
        <v>14.057057491866704</v>
      </c>
      <c r="F869">
        <v>12249.419921875</v>
      </c>
      <c r="G869">
        <f t="shared" si="27"/>
        <v>3.1312980162071069E-2</v>
      </c>
    </row>
    <row r="870" spans="1:7" x14ac:dyDescent="0.25">
      <c r="A870" s="1">
        <v>44760</v>
      </c>
      <c r="B870">
        <v>13.0850000381469</v>
      </c>
      <c r="C870">
        <f>C871*(1+G870*3)</f>
        <v>12.94166146980287</v>
      </c>
      <c r="D870">
        <f t="shared" si="26"/>
        <v>12.852074246864552</v>
      </c>
      <c r="F870">
        <v>11877.5</v>
      </c>
      <c r="G870">
        <f t="shared" si="27"/>
        <v>-8.8554306753513279E-3</v>
      </c>
    </row>
    <row r="871" spans="1:7" x14ac:dyDescent="0.25">
      <c r="A871" s="1">
        <v>44757</v>
      </c>
      <c r="B871">
        <v>13.395000457763601</v>
      </c>
      <c r="C871">
        <f>C872*(1+G871*3)</f>
        <v>13.294856510299985</v>
      </c>
      <c r="D871">
        <f t="shared" si="26"/>
        <v>13.205280529933326</v>
      </c>
      <c r="F871">
        <v>11983.6201171875</v>
      </c>
      <c r="G871">
        <f t="shared" si="27"/>
        <v>1.828793373940174E-2</v>
      </c>
    </row>
    <row r="872" spans="1:7" x14ac:dyDescent="0.25">
      <c r="A872" s="1">
        <v>44756</v>
      </c>
      <c r="B872">
        <v>12.7250003814697</v>
      </c>
      <c r="C872">
        <f>C873*(1+G872*3)</f>
        <v>12.603386802112722</v>
      </c>
      <c r="D872">
        <f t="shared" si="26"/>
        <v>12.520618770164994</v>
      </c>
      <c r="F872">
        <v>11768.400390625</v>
      </c>
      <c r="G872">
        <f t="shared" si="27"/>
        <v>3.3994129066450274E-3</v>
      </c>
    </row>
    <row r="873" spans="1:7" x14ac:dyDescent="0.25">
      <c r="A873" s="1">
        <v>44755</v>
      </c>
      <c r="B873">
        <v>12.5950002670288</v>
      </c>
      <c r="C873">
        <f>C874*(1+G873*3)</f>
        <v>12.47615202545097</v>
      </c>
      <c r="D873">
        <f t="shared" si="26"/>
        <v>12.39644139756318</v>
      </c>
      <c r="F873">
        <v>11728.5302734375</v>
      </c>
      <c r="G873">
        <f t="shared" si="27"/>
        <v>-1.4014452638134722E-3</v>
      </c>
    </row>
    <row r="874" spans="1:7" x14ac:dyDescent="0.25">
      <c r="A874" s="1">
        <v>44754</v>
      </c>
      <c r="B874">
        <v>12.675000190734799</v>
      </c>
      <c r="C874">
        <f>C875*(1+G874*3)</f>
        <v>12.528827423010313</v>
      </c>
      <c r="D874">
        <f t="shared" si="26"/>
        <v>12.451044150532748</v>
      </c>
      <c r="F874">
        <v>11744.990234375</v>
      </c>
      <c r="G874">
        <f t="shared" si="27"/>
        <v>-9.7206842000779892E-3</v>
      </c>
    </row>
    <row r="875" spans="1:7" x14ac:dyDescent="0.25">
      <c r="A875" s="1">
        <v>44753</v>
      </c>
      <c r="B875">
        <v>13.0550003051757</v>
      </c>
      <c r="C875">
        <f>C876*(1+G875*3)</f>
        <v>12.905168629395638</v>
      </c>
      <c r="D875">
        <f t="shared" si="26"/>
        <v>12.827441198227755</v>
      </c>
      <c r="F875">
        <v>11860.2802734375</v>
      </c>
      <c r="G875">
        <f t="shared" si="27"/>
        <v>-2.1888251047560314E-2</v>
      </c>
    </row>
    <row r="876" spans="1:7" x14ac:dyDescent="0.25">
      <c r="A876" s="1">
        <v>44750</v>
      </c>
      <c r="B876">
        <v>13.944999694824199</v>
      </c>
      <c r="C876">
        <f>C877*(1+G876*3)</f>
        <v>13.812139350198748</v>
      </c>
      <c r="D876">
        <f t="shared" si="26"/>
        <v>13.731610235949912</v>
      </c>
      <c r="F876">
        <v>12125.6904296875</v>
      </c>
      <c r="G876">
        <f t="shared" si="27"/>
        <v>1.3742304531243477E-3</v>
      </c>
    </row>
    <row r="877" spans="1:7" x14ac:dyDescent="0.25">
      <c r="A877" s="1">
        <v>44749</v>
      </c>
      <c r="B877">
        <v>13.8800001144409</v>
      </c>
      <c r="C877">
        <f>C878*(1+G877*3)</f>
        <v>13.755429957966578</v>
      </c>
      <c r="D877">
        <f t="shared" si="26"/>
        <v>13.677697789412603</v>
      </c>
      <c r="F877">
        <v>12109.0498046875</v>
      </c>
      <c r="G877">
        <f t="shared" si="27"/>
        <v>2.1637461881188313E-2</v>
      </c>
    </row>
    <row r="878" spans="1:7" x14ac:dyDescent="0.25">
      <c r="A878" s="1">
        <v>44748</v>
      </c>
      <c r="B878">
        <v>13.069999694824199</v>
      </c>
      <c r="C878">
        <f>C879*(1+G878*3)</f>
        <v>12.916959313656283</v>
      </c>
      <c r="D878">
        <f t="shared" si="26"/>
        <v>12.846149499153995</v>
      </c>
      <c r="F878">
        <v>11852.58984375</v>
      </c>
      <c r="G878">
        <f t="shared" si="27"/>
        <v>6.1706339370111163E-3</v>
      </c>
    </row>
    <row r="879" spans="1:7" x14ac:dyDescent="0.25">
      <c r="A879" s="1">
        <v>44747</v>
      </c>
      <c r="B879">
        <v>12.824999809265099</v>
      </c>
      <c r="C879">
        <f>C880*(1+G879*3)</f>
        <v>12.682187896565978</v>
      </c>
      <c r="D879">
        <f t="shared" si="26"/>
        <v>12.614907619426278</v>
      </c>
      <c r="F879">
        <v>11779.900390625</v>
      </c>
      <c r="G879">
        <f t="shared" si="27"/>
        <v>1.6763859209274479E-2</v>
      </c>
    </row>
    <row r="880" spans="1:7" x14ac:dyDescent="0.25">
      <c r="A880" s="1">
        <v>44743</v>
      </c>
      <c r="B880">
        <v>12.194999694824199</v>
      </c>
      <c r="C880">
        <f>C881*(1+G880*3)</f>
        <v>12.074921066405029</v>
      </c>
      <c r="D880">
        <f t="shared" si="26"/>
        <v>12.012933309537928</v>
      </c>
      <c r="F880">
        <v>11585.6796875</v>
      </c>
      <c r="G880">
        <f t="shared" si="27"/>
        <v>7.1246486254572527E-3</v>
      </c>
    </row>
    <row r="881" spans="1:7" x14ac:dyDescent="0.25">
      <c r="A881" s="1">
        <v>44742</v>
      </c>
      <c r="B881">
        <v>12</v>
      </c>
      <c r="C881">
        <f>C882*(1+G881*3)</f>
        <v>11.822233291886409</v>
      </c>
      <c r="D881">
        <f t="shared" si="26"/>
        <v>11.763628078727518</v>
      </c>
      <c r="F881">
        <v>11503.7197265625</v>
      </c>
      <c r="G881">
        <f t="shared" si="27"/>
        <v>-1.3255841109165334E-2</v>
      </c>
    </row>
    <row r="882" spans="1:7" x14ac:dyDescent="0.25">
      <c r="A882" s="1">
        <v>44741</v>
      </c>
      <c r="B882">
        <v>12.439999580383301</v>
      </c>
      <c r="C882">
        <f>C883*(1+G882*3)</f>
        <v>12.311844869956934</v>
      </c>
      <c r="D882">
        <f t="shared" ref="D882:D945" si="28">D883*(1+3*G882-0.000181059707075509)</f>
        <v>12.253122979507175</v>
      </c>
      <c r="F882">
        <v>11658.259765625</v>
      </c>
      <c r="G882">
        <f t="shared" si="27"/>
        <v>1.7606667944385368E-3</v>
      </c>
    </row>
    <row r="883" spans="1:7" x14ac:dyDescent="0.25">
      <c r="A883" s="1">
        <v>44740</v>
      </c>
      <c r="B883">
        <v>12.414999961853001</v>
      </c>
      <c r="C883">
        <f>C884*(1+G883*3)</f>
        <v>12.247155390489841</v>
      </c>
      <c r="D883">
        <f t="shared" si="28"/>
        <v>12.190937729361963</v>
      </c>
      <c r="F883">
        <v>11637.76953125</v>
      </c>
      <c r="G883">
        <f t="shared" si="27"/>
        <v>-3.0851373381462155E-2</v>
      </c>
    </row>
    <row r="884" spans="1:7" x14ac:dyDescent="0.25">
      <c r="A884" s="1">
        <v>44739</v>
      </c>
      <c r="B884">
        <v>13.6599998474121</v>
      </c>
      <c r="C884">
        <f>C885*(1+G884*3)</f>
        <v>13.496292905576388</v>
      </c>
      <c r="D884">
        <f t="shared" si="28"/>
        <v>13.437022420163999</v>
      </c>
      <c r="F884">
        <v>12008.240234375</v>
      </c>
      <c r="G884">
        <f t="shared" si="27"/>
        <v>-8.0629925325034213E-3</v>
      </c>
    </row>
    <row r="885" spans="1:7" x14ac:dyDescent="0.25">
      <c r="A885" s="1">
        <v>44736</v>
      </c>
      <c r="B885">
        <v>13.9899997711181</v>
      </c>
      <c r="C885">
        <f>C886*(1+G885*3)</f>
        <v>13.830846952669093</v>
      </c>
      <c r="D885">
        <f t="shared" si="28"/>
        <v>13.772662724544629</v>
      </c>
      <c r="F885">
        <v>12105.849609375</v>
      </c>
      <c r="G885">
        <f t="shared" si="27"/>
        <v>3.4893238041999508E-2</v>
      </c>
    </row>
    <row r="886" spans="1:7" x14ac:dyDescent="0.25">
      <c r="A886" s="1">
        <v>44735</v>
      </c>
      <c r="B886">
        <v>12.664999961853001</v>
      </c>
      <c r="C886">
        <f>C887*(1+G886*3)</f>
        <v>12.520232584891627</v>
      </c>
      <c r="D886">
        <f t="shared" si="28"/>
        <v>12.469605707025899</v>
      </c>
      <c r="F886">
        <v>11697.6796875</v>
      </c>
      <c r="G886">
        <f t="shared" si="27"/>
        <v>1.4744448562503232E-2</v>
      </c>
    </row>
    <row r="887" spans="1:7" x14ac:dyDescent="0.25">
      <c r="A887" s="1">
        <v>44734</v>
      </c>
      <c r="B887">
        <v>12.145000457763601</v>
      </c>
      <c r="C887">
        <f>C888*(1+G887*3)</f>
        <v>11.989880074791586</v>
      </c>
      <c r="D887">
        <f t="shared" si="28"/>
        <v>11.943468612126177</v>
      </c>
      <c r="F887">
        <v>11527.7099609375</v>
      </c>
      <c r="G887">
        <f t="shared" si="27"/>
        <v>-1.6497965727330088E-3</v>
      </c>
    </row>
    <row r="888" spans="1:7" x14ac:dyDescent="0.25">
      <c r="A888" s="1">
        <v>44733</v>
      </c>
      <c r="B888">
        <v>12.189999580383301</v>
      </c>
      <c r="C888">
        <f>C889*(1+G888*3)</f>
        <v>12.049517834470771</v>
      </c>
      <c r="D888">
        <f t="shared" si="28"/>
        <v>12.005059965124637</v>
      </c>
      <c r="F888">
        <v>11546.759765625</v>
      </c>
      <c r="G888">
        <f t="shared" si="27"/>
        <v>2.4921868864514973E-2</v>
      </c>
    </row>
    <row r="889" spans="1:7" x14ac:dyDescent="0.25">
      <c r="A889" s="1">
        <v>44729</v>
      </c>
      <c r="B889">
        <v>11.3350000381469</v>
      </c>
      <c r="C889">
        <f>C890*(1+G889*3)</f>
        <v>11.211298315231314</v>
      </c>
      <c r="D889">
        <f t="shared" si="28"/>
        <v>11.17181519119033</v>
      </c>
      <c r="F889">
        <v>11265.990234375</v>
      </c>
      <c r="G889">
        <f t="shared" si="27"/>
        <v>1.2439366185761802E-2</v>
      </c>
    </row>
    <row r="890" spans="1:7" x14ac:dyDescent="0.25">
      <c r="A890" s="1">
        <v>44728</v>
      </c>
      <c r="B890">
        <v>10.9300003051757</v>
      </c>
      <c r="C890">
        <f>C891*(1+G890*3)</f>
        <v>10.807965590134911</v>
      </c>
      <c r="D890">
        <f t="shared" si="28"/>
        <v>10.771783065018697</v>
      </c>
      <c r="F890">
        <v>11127.5703125</v>
      </c>
      <c r="G890">
        <f t="shared" si="27"/>
        <v>-4.0211185628056589E-2</v>
      </c>
    </row>
    <row r="891" spans="1:7" x14ac:dyDescent="0.25">
      <c r="A891" s="1">
        <v>44727</v>
      </c>
      <c r="B891">
        <v>12.449999809265099</v>
      </c>
      <c r="C891">
        <f>C892*(1+G891*3)</f>
        <v>12.290627729481468</v>
      </c>
      <c r="D891">
        <f t="shared" si="28"/>
        <v>12.252004262462394</v>
      </c>
      <c r="F891">
        <v>11593.76953125</v>
      </c>
      <c r="G891">
        <f t="shared" si="27"/>
        <v>2.4936953792704886E-2</v>
      </c>
    </row>
    <row r="892" spans="1:7" x14ac:dyDescent="0.25">
      <c r="A892" s="1">
        <v>44726</v>
      </c>
      <c r="B892">
        <v>11.6149997711181</v>
      </c>
      <c r="C892">
        <f>C893*(1+G892*3)</f>
        <v>11.435154008141037</v>
      </c>
      <c r="D892">
        <f t="shared" si="28"/>
        <v>11.401139483951258</v>
      </c>
      <c r="F892">
        <v>11311.6904296875</v>
      </c>
      <c r="G892">
        <f t="shared" si="27"/>
        <v>2.070291818493164E-3</v>
      </c>
    </row>
    <row r="893" spans="1:7" x14ac:dyDescent="0.25">
      <c r="A893" s="1">
        <v>44725</v>
      </c>
      <c r="B893">
        <v>11.539999961853001</v>
      </c>
      <c r="C893">
        <f>C894*(1+G893*3)</f>
        <v>11.364570078776687</v>
      </c>
      <c r="D893">
        <f t="shared" si="28"/>
        <v>11.332804759339803</v>
      </c>
      <c r="F893">
        <v>11288.3203125</v>
      </c>
      <c r="G893">
        <f t="shared" si="27"/>
        <v>-4.6016079482319117E-2</v>
      </c>
    </row>
    <row r="894" spans="1:7" x14ac:dyDescent="0.25">
      <c r="A894" s="1">
        <v>44722</v>
      </c>
      <c r="B894">
        <v>13.395000457763601</v>
      </c>
      <c r="C894">
        <f>C895*(1+G894*3)</f>
        <v>13.18469383750698</v>
      </c>
      <c r="D894">
        <f t="shared" si="28"/>
        <v>13.15060344365876</v>
      </c>
      <c r="F894">
        <v>11832.8203125</v>
      </c>
      <c r="G894">
        <f t="shared" si="27"/>
        <v>-3.5612696494937479E-2</v>
      </c>
    </row>
    <row r="895" spans="1:7" x14ac:dyDescent="0.25">
      <c r="A895" s="1">
        <v>44721</v>
      </c>
      <c r="B895">
        <v>14.994999885559</v>
      </c>
      <c r="C895">
        <f>C896*(1+G895*3)</f>
        <v>14.761818302240268</v>
      </c>
      <c r="D895">
        <f t="shared" si="28"/>
        <v>14.726635438775633</v>
      </c>
      <c r="F895">
        <v>12269.7802734375</v>
      </c>
      <c r="G895">
        <f t="shared" si="27"/>
        <v>-2.7375826692479954E-2</v>
      </c>
    </row>
    <row r="896" spans="1:7" x14ac:dyDescent="0.25">
      <c r="A896" s="1">
        <v>44720</v>
      </c>
      <c r="B896">
        <v>16.3250007629394</v>
      </c>
      <c r="C896">
        <f>C897*(1+G896*3)</f>
        <v>16.082645445672245</v>
      </c>
      <c r="D896">
        <f t="shared" si="28"/>
        <v>16.047480092402349</v>
      </c>
      <c r="F896">
        <v>12615.1298828125</v>
      </c>
      <c r="G896">
        <f t="shared" si="27"/>
        <v>-7.5953616721826656E-3</v>
      </c>
    </row>
    <row r="897" spans="1:7" x14ac:dyDescent="0.25">
      <c r="A897" s="1">
        <v>44719</v>
      </c>
      <c r="B897">
        <v>16.665000915527301</v>
      </c>
      <c r="C897">
        <f>C898*(1+G897*3)</f>
        <v>16.457650877745213</v>
      </c>
      <c r="D897">
        <f t="shared" si="28"/>
        <v>16.424708755431716</v>
      </c>
      <c r="F897">
        <v>12711.6796875</v>
      </c>
      <c r="G897">
        <f t="shared" si="27"/>
        <v>8.8931028712477822E-3</v>
      </c>
    </row>
    <row r="898" spans="1:7" x14ac:dyDescent="0.25">
      <c r="A898" s="1">
        <v>44718</v>
      </c>
      <c r="B898">
        <v>16.270000457763601</v>
      </c>
      <c r="C898">
        <f>C899*(1+G898*3)</f>
        <v>16.029982039831779</v>
      </c>
      <c r="D898">
        <f t="shared" si="28"/>
        <v>16.000717753708606</v>
      </c>
      <c r="F898">
        <v>12599.6298828125</v>
      </c>
      <c r="G898">
        <f t="shared" ref="G898:G961" si="29">F898/F899-1</f>
        <v>4.1121680654716553E-3</v>
      </c>
    </row>
    <row r="899" spans="1:7" x14ac:dyDescent="0.25">
      <c r="A899" s="1">
        <v>44715</v>
      </c>
      <c r="B899">
        <v>16.069999694824201</v>
      </c>
      <c r="C899">
        <f>C900*(1+G899*3)</f>
        <v>15.834637962162844</v>
      </c>
      <c r="D899">
        <f t="shared" si="28"/>
        <v>15.808557708032103</v>
      </c>
      <c r="F899">
        <v>12548.0302734375</v>
      </c>
      <c r="G899">
        <f t="shared" si="29"/>
        <v>-2.674802813051258E-2</v>
      </c>
    </row>
    <row r="900" spans="1:7" x14ac:dyDescent="0.25">
      <c r="A900" s="1">
        <v>44714</v>
      </c>
      <c r="B900">
        <v>17.4500007629394</v>
      </c>
      <c r="C900">
        <f>C901*(1+G900*3)</f>
        <v>17.216130598831189</v>
      </c>
      <c r="D900">
        <f t="shared" si="28"/>
        <v>17.191159160758282</v>
      </c>
      <c r="F900">
        <v>12892.8896484375</v>
      </c>
      <c r="G900">
        <f t="shared" si="29"/>
        <v>2.7456120737885836E-2</v>
      </c>
    </row>
    <row r="901" spans="1:7" x14ac:dyDescent="0.25">
      <c r="A901" s="1">
        <v>44713</v>
      </c>
      <c r="B901">
        <v>16.139999389648398</v>
      </c>
      <c r="C901">
        <f>C902*(1+G901*3)</f>
        <v>15.905980994881256</v>
      </c>
      <c r="D901">
        <f t="shared" si="28"/>
        <v>15.885567240476584</v>
      </c>
      <c r="F901">
        <v>12548.3603515625</v>
      </c>
      <c r="G901">
        <f t="shared" si="29"/>
        <v>-7.4148488549311553E-3</v>
      </c>
    </row>
    <row r="902" spans="1:7" x14ac:dyDescent="0.25">
      <c r="A902" s="1">
        <v>44712</v>
      </c>
      <c r="B902">
        <v>16.524999618530199</v>
      </c>
      <c r="C902">
        <f>C903*(1+G902*3)</f>
        <v>16.267851985890566</v>
      </c>
      <c r="D902">
        <f t="shared" si="28"/>
        <v>16.249982960268138</v>
      </c>
      <c r="F902">
        <v>12642.099609375</v>
      </c>
      <c r="G902">
        <f t="shared" si="29"/>
        <v>-3.1006238057122992E-3</v>
      </c>
    </row>
    <row r="903" spans="1:7" x14ac:dyDescent="0.25">
      <c r="A903" s="1">
        <v>44708</v>
      </c>
      <c r="B903">
        <v>16.645000457763601</v>
      </c>
      <c r="C903">
        <f>C904*(1+G903*3)</f>
        <v>16.42059424212378</v>
      </c>
      <c r="D903">
        <f t="shared" si="28"/>
        <v>16.40555571516952</v>
      </c>
      <c r="F903">
        <v>12681.419921875</v>
      </c>
      <c r="G903">
        <f t="shared" si="29"/>
        <v>3.2958931571285488E-2</v>
      </c>
    </row>
    <row r="904" spans="1:7" x14ac:dyDescent="0.25">
      <c r="A904" s="1">
        <v>44707</v>
      </c>
      <c r="B904">
        <v>15.1599998474121</v>
      </c>
      <c r="C904">
        <f>C905*(1+G904*3)</f>
        <v>14.943071253406204</v>
      </c>
      <c r="D904">
        <f t="shared" si="28"/>
        <v>14.931846181298107</v>
      </c>
      <c r="F904">
        <v>12276.7900390625</v>
      </c>
      <c r="G904">
        <f t="shared" si="29"/>
        <v>2.7868579292697815E-2</v>
      </c>
    </row>
    <row r="905" spans="1:7" x14ac:dyDescent="0.25">
      <c r="A905" s="1">
        <v>44706</v>
      </c>
      <c r="B905">
        <v>13.9899997711181</v>
      </c>
      <c r="C905">
        <f>C906*(1+G905*3)</f>
        <v>13.790136699227512</v>
      </c>
      <c r="D905">
        <f t="shared" si="28"/>
        <v>13.782080547126991</v>
      </c>
      <c r="F905">
        <v>11943.9296875</v>
      </c>
      <c r="G905">
        <f t="shared" si="29"/>
        <v>1.4791182043351725E-2</v>
      </c>
    </row>
    <row r="906" spans="1:7" x14ac:dyDescent="0.25">
      <c r="A906" s="1">
        <v>44705</v>
      </c>
      <c r="B906">
        <v>13.449999809265099</v>
      </c>
      <c r="C906">
        <f>C907*(1+G906*3)</f>
        <v>13.204218691987277</v>
      </c>
      <c r="D906">
        <f t="shared" si="28"/>
        <v>13.198793063852952</v>
      </c>
      <c r="F906">
        <v>11769.83984375</v>
      </c>
      <c r="G906">
        <f t="shared" si="29"/>
        <v>-2.1973929780510604E-2</v>
      </c>
    </row>
    <row r="907" spans="1:7" x14ac:dyDescent="0.25">
      <c r="A907" s="1">
        <v>44704</v>
      </c>
      <c r="B907">
        <v>14.3450002670288</v>
      </c>
      <c r="C907">
        <f>C908*(1+G907*3)</f>
        <v>14.136095394709088</v>
      </c>
      <c r="D907">
        <f t="shared" si="28"/>
        <v>14.133026372772305</v>
      </c>
      <c r="F907">
        <v>12034.2802734375</v>
      </c>
      <c r="G907">
        <f t="shared" si="29"/>
        <v>1.6784938540018501E-2</v>
      </c>
    </row>
    <row r="908" spans="1:7" x14ac:dyDescent="0.25">
      <c r="A908" s="1">
        <v>44701</v>
      </c>
      <c r="B908">
        <v>13.670000076293899</v>
      </c>
      <c r="C908">
        <f>C909*(1+G908*3)</f>
        <v>13.458400137256602</v>
      </c>
      <c r="D908">
        <f t="shared" si="28"/>
        <v>13.457798095978511</v>
      </c>
      <c r="F908">
        <v>11835.6201171875</v>
      </c>
      <c r="G908">
        <f t="shared" si="29"/>
        <v>-3.3690647165508514E-3</v>
      </c>
    </row>
    <row r="909" spans="1:7" x14ac:dyDescent="0.25">
      <c r="A909" s="1">
        <v>44700</v>
      </c>
      <c r="B909">
        <v>13.789999961853001</v>
      </c>
      <c r="C909">
        <f>C910*(1+G909*3)</f>
        <v>13.595815686018078</v>
      </c>
      <c r="D909">
        <f t="shared" si="28"/>
        <v>13.597694630200278</v>
      </c>
      <c r="F909">
        <v>11875.6298828125</v>
      </c>
      <c r="G909">
        <f t="shared" si="29"/>
        <v>-4.4163581762759474E-3</v>
      </c>
    </row>
    <row r="910" spans="1:7" x14ac:dyDescent="0.25">
      <c r="A910" s="1">
        <v>44699</v>
      </c>
      <c r="B910">
        <v>14.074999809265099</v>
      </c>
      <c r="C910">
        <f>C911*(1+G910*3)</f>
        <v>13.778366287851309</v>
      </c>
      <c r="D910">
        <f t="shared" si="28"/>
        <v>13.782799477327323</v>
      </c>
      <c r="F910">
        <v>11928.3095703125</v>
      </c>
      <c r="G910">
        <f t="shared" si="29"/>
        <v>-5.0603708887192345E-2</v>
      </c>
    </row>
    <row r="911" spans="1:7" x14ac:dyDescent="0.25">
      <c r="A911" s="1">
        <v>44698</v>
      </c>
      <c r="B911">
        <v>16.4799995422363</v>
      </c>
      <c r="C911">
        <f>C912*(1+G911*3)</f>
        <v>16.24445535770877</v>
      </c>
      <c r="D911">
        <f t="shared" si="28"/>
        <v>16.253151510841018</v>
      </c>
      <c r="F911">
        <v>12564.099609375</v>
      </c>
      <c r="G911">
        <f t="shared" si="29"/>
        <v>2.6178579239470645E-2</v>
      </c>
    </row>
    <row r="912" spans="1:7" x14ac:dyDescent="0.25">
      <c r="A912" s="1">
        <v>44697</v>
      </c>
      <c r="B912">
        <v>15.324999809265099</v>
      </c>
      <c r="C912">
        <f>C913*(1+G912*3)</f>
        <v>15.061582838296205</v>
      </c>
      <c r="D912">
        <f t="shared" si="28"/>
        <v>15.072176012454925</v>
      </c>
      <c r="F912">
        <v>12243.580078125</v>
      </c>
      <c r="G912">
        <f t="shared" si="29"/>
        <v>-1.1610209403487559E-2</v>
      </c>
    </row>
    <row r="913" spans="1:7" x14ac:dyDescent="0.25">
      <c r="A913" s="1">
        <v>44694</v>
      </c>
      <c r="B913">
        <v>15.814999580383301</v>
      </c>
      <c r="C913">
        <f>C914*(1+G913*3)</f>
        <v>15.605118934068807</v>
      </c>
      <c r="D913">
        <f t="shared" si="28"/>
        <v>15.619024421061539</v>
      </c>
      <c r="F913">
        <v>12387.400390625</v>
      </c>
      <c r="G913">
        <f t="shared" si="29"/>
        <v>3.6993042620652172E-2</v>
      </c>
    </row>
    <row r="914" spans="1:7" x14ac:dyDescent="0.25">
      <c r="A914" s="1">
        <v>44693</v>
      </c>
      <c r="B914">
        <v>14.265000343322701</v>
      </c>
      <c r="C914">
        <f>C915*(1+G914*3)</f>
        <v>14.046275526436176</v>
      </c>
      <c r="D914">
        <f t="shared" si="28"/>
        <v>14.061083529795754</v>
      </c>
      <c r="F914">
        <v>11945.5</v>
      </c>
      <c r="G914">
        <f t="shared" si="29"/>
        <v>-1.8432805939168073E-3</v>
      </c>
    </row>
    <row r="915" spans="1:7" x14ac:dyDescent="0.25">
      <c r="A915" s="1">
        <v>44692</v>
      </c>
      <c r="B915">
        <v>14.3800001144409</v>
      </c>
      <c r="C915">
        <f>C916*(1+G915*3)</f>
        <v>14.124381119290998</v>
      </c>
      <c r="D915">
        <f t="shared" si="28"/>
        <v>14.141846220430759</v>
      </c>
      <c r="F915">
        <v>11967.5595703125</v>
      </c>
      <c r="G915">
        <f t="shared" si="29"/>
        <v>-3.0641913198226178E-2</v>
      </c>
    </row>
    <row r="916" spans="1:7" x14ac:dyDescent="0.25">
      <c r="A916" s="1">
        <v>44691</v>
      </c>
      <c r="B916">
        <v>15.7849998474121</v>
      </c>
      <c r="C916">
        <f>C917*(1+G916*3)</f>
        <v>15.554213719246421</v>
      </c>
      <c r="D916">
        <f t="shared" si="28"/>
        <v>15.576552627065048</v>
      </c>
      <c r="F916">
        <v>12345.8603515625</v>
      </c>
      <c r="G916">
        <f t="shared" si="29"/>
        <v>1.2975407094022673E-2</v>
      </c>
    </row>
    <row r="917" spans="1:7" x14ac:dyDescent="0.25">
      <c r="A917" s="1">
        <v>44690</v>
      </c>
      <c r="B917">
        <v>15.2600002288818</v>
      </c>
      <c r="C917">
        <f>C918*(1+G917*3)</f>
        <v>14.971432427657883</v>
      </c>
      <c r="D917">
        <f t="shared" si="28"/>
        <v>14.995547708205132</v>
      </c>
      <c r="F917">
        <v>12187.7197265625</v>
      </c>
      <c r="G917">
        <f t="shared" si="29"/>
        <v>-3.9847901724665236E-2</v>
      </c>
    </row>
    <row r="918" spans="1:7" x14ac:dyDescent="0.25">
      <c r="A918" s="1">
        <v>44687</v>
      </c>
      <c r="B918">
        <v>17.3050003051757</v>
      </c>
      <c r="C918">
        <f>C919*(1+G918*3)</f>
        <v>17.004174444134716</v>
      </c>
      <c r="D918">
        <f t="shared" si="28"/>
        <v>17.035067113048083</v>
      </c>
      <c r="F918">
        <v>12693.5302734375</v>
      </c>
      <c r="G918">
        <f t="shared" si="29"/>
        <v>-1.2218895972273769E-2</v>
      </c>
    </row>
    <row r="919" spans="1:7" x14ac:dyDescent="0.25">
      <c r="A919" s="1">
        <v>44686</v>
      </c>
      <c r="B919">
        <v>17.9300003051757</v>
      </c>
      <c r="C919">
        <f>C920*(1+G919*3)</f>
        <v>17.651209315362447</v>
      </c>
      <c r="D919">
        <f t="shared" si="28"/>
        <v>17.686601682139113</v>
      </c>
      <c r="F919">
        <v>12850.5498046875</v>
      </c>
      <c r="G919">
        <f t="shared" si="29"/>
        <v>-5.061870845543337E-2</v>
      </c>
    </row>
    <row r="920" spans="1:7" x14ac:dyDescent="0.25">
      <c r="A920" s="1">
        <v>44685</v>
      </c>
      <c r="B920">
        <v>21.069999694824201</v>
      </c>
      <c r="C920">
        <f>C921*(1+G920*3)</f>
        <v>20.8115743605243</v>
      </c>
      <c r="D920">
        <f t="shared" si="28"/>
        <v>20.857756225630677</v>
      </c>
      <c r="F920">
        <v>13535.7099609375</v>
      </c>
      <c r="G920">
        <f t="shared" si="29"/>
        <v>3.4057521983267947E-2</v>
      </c>
    </row>
    <row r="921" spans="1:7" x14ac:dyDescent="0.25">
      <c r="A921" s="1">
        <v>44684</v>
      </c>
      <c r="B921">
        <v>19.170000076293899</v>
      </c>
      <c r="C921">
        <f>C922*(1+G921*3)</f>
        <v>18.882319342243655</v>
      </c>
      <c r="D921">
        <f t="shared" si="28"/>
        <v>18.927329391807923</v>
      </c>
      <c r="F921">
        <v>13089.900390625</v>
      </c>
      <c r="G921">
        <f t="shared" si="29"/>
        <v>1.074559716557566E-3</v>
      </c>
    </row>
    <row r="922" spans="1:7" x14ac:dyDescent="0.25">
      <c r="A922" s="1">
        <v>44683</v>
      </c>
      <c r="B922">
        <v>19.125</v>
      </c>
      <c r="C922">
        <f>C923*(1+G922*3)</f>
        <v>18.821644399630014</v>
      </c>
      <c r="D922">
        <f t="shared" si="28"/>
        <v>18.869915420270043</v>
      </c>
      <c r="F922">
        <v>13075.849609375</v>
      </c>
      <c r="G922">
        <f t="shared" si="29"/>
        <v>1.7195896322468984E-2</v>
      </c>
    </row>
    <row r="923" spans="1:7" x14ac:dyDescent="0.25">
      <c r="A923" s="1">
        <v>44680</v>
      </c>
      <c r="B923">
        <v>18.264999389648398</v>
      </c>
      <c r="C923">
        <f>C924*(1+G923*3)</f>
        <v>17.898311854631626</v>
      </c>
      <c r="D923">
        <f t="shared" si="28"/>
        <v>17.947304967579576</v>
      </c>
      <c r="F923">
        <v>12854.7998046875</v>
      </c>
      <c r="G923">
        <f t="shared" si="29"/>
        <v>-4.4683197371653494E-2</v>
      </c>
    </row>
    <row r="924" spans="1:7" x14ac:dyDescent="0.25">
      <c r="A924" s="1">
        <v>44679</v>
      </c>
      <c r="B924">
        <v>21.030000686645501</v>
      </c>
      <c r="C924">
        <f>C925*(1+G924*3)</f>
        <v>20.668980222950296</v>
      </c>
      <c r="D924">
        <f t="shared" si="28"/>
        <v>20.729891864790762</v>
      </c>
      <c r="F924">
        <v>13456.0595703125</v>
      </c>
      <c r="G924">
        <f t="shared" si="29"/>
        <v>3.4814017800837371E-2</v>
      </c>
    </row>
    <row r="925" spans="1:7" x14ac:dyDescent="0.25">
      <c r="A925" s="1">
        <v>44678</v>
      </c>
      <c r="B925">
        <v>19.020000457763601</v>
      </c>
      <c r="C925">
        <f>C926*(1+G925*3)</f>
        <v>18.714408926456841</v>
      </c>
      <c r="D925">
        <f t="shared" si="28"/>
        <v>18.772637975210614</v>
      </c>
      <c r="F925">
        <v>13003.3603515625</v>
      </c>
      <c r="G925">
        <f t="shared" si="29"/>
        <v>-4.8806694338809908E-4</v>
      </c>
    </row>
    <row r="926" spans="1:7" x14ac:dyDescent="0.25">
      <c r="A926" s="1">
        <v>44677</v>
      </c>
      <c r="B926">
        <v>19.1049995422363</v>
      </c>
      <c r="C926">
        <f>C927*(1+G926*3)</f>
        <v>18.741850759898298</v>
      </c>
      <c r="D926">
        <f t="shared" si="28"/>
        <v>18.803574754713583</v>
      </c>
      <c r="F926">
        <v>13009.7099609375</v>
      </c>
      <c r="G926">
        <f t="shared" si="29"/>
        <v>-3.8683312338266052E-2</v>
      </c>
    </row>
    <row r="927" spans="1:7" x14ac:dyDescent="0.25">
      <c r="A927" s="1">
        <v>44676</v>
      </c>
      <c r="B927">
        <v>21.524999618530199</v>
      </c>
      <c r="C927">
        <f>C928*(1+G927*3)</f>
        <v>21.202386361741855</v>
      </c>
      <c r="D927">
        <f t="shared" si="28"/>
        <v>21.276571915247416</v>
      </c>
      <c r="F927">
        <v>13533.2197265625</v>
      </c>
      <c r="G927">
        <f t="shared" si="29"/>
        <v>1.3202914142893096E-2</v>
      </c>
    </row>
    <row r="928" spans="1:7" x14ac:dyDescent="0.25">
      <c r="A928" s="1">
        <v>44673</v>
      </c>
      <c r="B928">
        <v>20.754999160766602</v>
      </c>
      <c r="C928">
        <f>C929*(1+G928*3)</f>
        <v>20.394582592880042</v>
      </c>
      <c r="D928">
        <f t="shared" si="28"/>
        <v>20.469506699626788</v>
      </c>
      <c r="F928">
        <v>13356.8701171875</v>
      </c>
      <c r="G928">
        <f t="shared" si="29"/>
        <v>-2.6499136176246996E-2</v>
      </c>
    </row>
    <row r="929" spans="1:7" x14ac:dyDescent="0.25">
      <c r="A929" s="1">
        <v>44672</v>
      </c>
      <c r="B929">
        <v>22.545000076293899</v>
      </c>
      <c r="C929">
        <f>C930*(1+G929*3)</f>
        <v>22.155920886961265</v>
      </c>
      <c r="D929">
        <f t="shared" si="28"/>
        <v>22.241690532208199</v>
      </c>
      <c r="F929">
        <v>13720.4501953125</v>
      </c>
      <c r="G929">
        <f t="shared" si="29"/>
        <v>-1.9864948154783235E-2</v>
      </c>
    </row>
    <row r="930" spans="1:7" x14ac:dyDescent="0.25">
      <c r="A930" s="1">
        <v>44671</v>
      </c>
      <c r="B930">
        <v>23.9500007629394</v>
      </c>
      <c r="C930">
        <f>C931*(1+G930*3)</f>
        <v>23.559973865031992</v>
      </c>
      <c r="D930">
        <f t="shared" si="28"/>
        <v>23.655733384079735</v>
      </c>
      <c r="F930">
        <v>13998.5302734375</v>
      </c>
      <c r="G930">
        <f t="shared" si="29"/>
        <v>-1.4899762261889049E-2</v>
      </c>
    </row>
    <row r="931" spans="1:7" x14ac:dyDescent="0.25">
      <c r="A931" s="1">
        <v>44670</v>
      </c>
      <c r="B931">
        <v>25.079999923706001</v>
      </c>
      <c r="C931">
        <f>C932*(1+G931*3)</f>
        <v>24.662363943766927</v>
      </c>
      <c r="D931">
        <f t="shared" si="28"/>
        <v>24.767298314105929</v>
      </c>
      <c r="F931">
        <v>14210.259765625</v>
      </c>
      <c r="G931">
        <f t="shared" si="29"/>
        <v>2.1530096489775996E-2</v>
      </c>
    </row>
    <row r="932" spans="1:7" x14ac:dyDescent="0.25">
      <c r="A932" s="1">
        <v>44669</v>
      </c>
      <c r="B932">
        <v>23.565000534057599</v>
      </c>
      <c r="C932">
        <f>C933*(1+G932*3)</f>
        <v>23.166061336197711</v>
      </c>
      <c r="D932">
        <f t="shared" si="28"/>
        <v>23.268586575144578</v>
      </c>
      <c r="F932">
        <v>13910.759765625</v>
      </c>
      <c r="G932">
        <f t="shared" si="29"/>
        <v>1.263192936466373E-3</v>
      </c>
    </row>
    <row r="933" spans="1:7" x14ac:dyDescent="0.25">
      <c r="A933" s="1">
        <v>44665</v>
      </c>
      <c r="B933">
        <v>23.5</v>
      </c>
      <c r="C933">
        <f>C934*(1+G933*3)</f>
        <v>23.078603150747107</v>
      </c>
      <c r="D933">
        <f t="shared" si="28"/>
        <v>23.184923336399272</v>
      </c>
      <c r="F933">
        <v>13893.2099609375</v>
      </c>
      <c r="G933">
        <f t="shared" si="29"/>
        <v>-2.2794785590965594E-2</v>
      </c>
    </row>
    <row r="934" spans="1:7" x14ac:dyDescent="0.25">
      <c r="A934" s="1">
        <v>44664</v>
      </c>
      <c r="B934">
        <v>25.194999694824201</v>
      </c>
      <c r="C934">
        <f>C935*(1+G934*3)</f>
        <v>24.772665979290725</v>
      </c>
      <c r="D934">
        <f t="shared" si="28"/>
        <v>24.89162819011943</v>
      </c>
      <c r="F934">
        <v>14217.2900390625</v>
      </c>
      <c r="G934">
        <f t="shared" si="29"/>
        <v>1.9874105469454451E-2</v>
      </c>
    </row>
    <row r="935" spans="1:7" x14ac:dyDescent="0.25">
      <c r="A935" s="1">
        <v>44663</v>
      </c>
      <c r="B935">
        <v>23.770000457763601</v>
      </c>
      <c r="C935">
        <f>C936*(1+G935*3)</f>
        <v>23.378769582032557</v>
      </c>
      <c r="D935">
        <f t="shared" si="28"/>
        <v>23.495052729608478</v>
      </c>
      <c r="F935">
        <v>13940.240234375</v>
      </c>
      <c r="G935">
        <f t="shared" si="29"/>
        <v>-3.5717638764551918E-3</v>
      </c>
    </row>
    <row r="936" spans="1:7" x14ac:dyDescent="0.25">
      <c r="A936" s="1">
        <v>44662</v>
      </c>
      <c r="B936">
        <v>24.079999923706001</v>
      </c>
      <c r="C936">
        <f>C937*(1+G936*3)</f>
        <v>23.631993281830582</v>
      </c>
      <c r="D936">
        <f t="shared" si="28"/>
        <v>23.753883388615687</v>
      </c>
      <c r="F936">
        <v>13990.2099609375</v>
      </c>
      <c r="G936">
        <f t="shared" si="29"/>
        <v>-2.3525071102303508E-2</v>
      </c>
    </row>
    <row r="937" spans="1:7" x14ac:dyDescent="0.25">
      <c r="A937" s="1">
        <v>44659</v>
      </c>
      <c r="B937">
        <v>25.920000076293899</v>
      </c>
      <c r="C937">
        <f>C938*(1+G937*3)</f>
        <v>25.426471964357276</v>
      </c>
      <c r="D937">
        <f t="shared" si="28"/>
        <v>25.562597517511364</v>
      </c>
      <c r="F937">
        <v>14327.259765625</v>
      </c>
      <c r="G937">
        <f t="shared" si="29"/>
        <v>-1.4076003659267644E-2</v>
      </c>
    </row>
    <row r="938" spans="1:7" x14ac:dyDescent="0.25">
      <c r="A938" s="1">
        <v>44658</v>
      </c>
      <c r="B938">
        <v>27.024999618530199</v>
      </c>
      <c r="C938">
        <f>C939*(1+G938*3)</f>
        <v>26.547520971369732</v>
      </c>
      <c r="D938">
        <f t="shared" si="28"/>
        <v>26.694694712484363</v>
      </c>
      <c r="F938">
        <v>14531.8095703125</v>
      </c>
      <c r="G938">
        <f t="shared" si="29"/>
        <v>2.2705133064135907E-3</v>
      </c>
    </row>
    <row r="939" spans="1:7" x14ac:dyDescent="0.25">
      <c r="A939" s="1">
        <v>44657</v>
      </c>
      <c r="B939">
        <v>26.850000381469702</v>
      </c>
      <c r="C939">
        <f>C940*(1+G939*3)</f>
        <v>26.367914866668279</v>
      </c>
      <c r="D939">
        <f t="shared" si="28"/>
        <v>26.518861923253091</v>
      </c>
      <c r="F939">
        <v>14498.8896484375</v>
      </c>
      <c r="G939">
        <f t="shared" si="29"/>
        <v>-2.1709589304664156E-2</v>
      </c>
    </row>
    <row r="940" spans="1:7" x14ac:dyDescent="0.25">
      <c r="A940" s="1">
        <v>44656</v>
      </c>
      <c r="B940">
        <v>28.7399997711181</v>
      </c>
      <c r="C940">
        <f>C941*(1+G940*3)</f>
        <v>28.204862832106539</v>
      </c>
      <c r="D940">
        <f t="shared" si="28"/>
        <v>28.371820638445847</v>
      </c>
      <c r="F940">
        <v>14820.6396484375</v>
      </c>
      <c r="G940">
        <f t="shared" si="29"/>
        <v>-2.2358167438726428E-2</v>
      </c>
    </row>
    <row r="941" spans="1:7" x14ac:dyDescent="0.25">
      <c r="A941" s="1">
        <v>44655</v>
      </c>
      <c r="B941">
        <v>30.774999618530199</v>
      </c>
      <c r="C941">
        <f>C942*(1+G941*3)</f>
        <v>30.232706579604596</v>
      </c>
      <c r="D941">
        <f t="shared" si="28"/>
        <v>30.417571505425798</v>
      </c>
      <c r="F941">
        <v>15159.580078125</v>
      </c>
      <c r="G941">
        <f t="shared" si="29"/>
        <v>2.0077107985942089E-2</v>
      </c>
    </row>
    <row r="942" spans="1:7" x14ac:dyDescent="0.25">
      <c r="A942" s="1">
        <v>44652</v>
      </c>
      <c r="B942">
        <v>28.965000152587798</v>
      </c>
      <c r="C942">
        <f>C943*(1+G942*3)</f>
        <v>28.515198425515663</v>
      </c>
      <c r="D942">
        <f t="shared" si="28"/>
        <v>28.69446150926164</v>
      </c>
      <c r="F942">
        <v>14861.2099609375</v>
      </c>
      <c r="G942">
        <f t="shared" si="29"/>
        <v>1.5311346507387302E-3</v>
      </c>
    </row>
    <row r="943" spans="1:7" x14ac:dyDescent="0.25">
      <c r="A943" s="1">
        <v>44651</v>
      </c>
      <c r="B943">
        <v>29.090000152587798</v>
      </c>
      <c r="C943">
        <f>C944*(1+G943*3)</f>
        <v>28.384815501806738</v>
      </c>
      <c r="D943">
        <f t="shared" si="28"/>
        <v>28.568407859251042</v>
      </c>
      <c r="F943">
        <v>14838.490234375</v>
      </c>
      <c r="G943">
        <f t="shared" si="29"/>
        <v>-1.5463543784993816E-2</v>
      </c>
    </row>
    <row r="944" spans="1:7" x14ac:dyDescent="0.25">
      <c r="A944" s="1">
        <v>44650</v>
      </c>
      <c r="B944">
        <v>30.3449993133544</v>
      </c>
      <c r="C944">
        <f>C945*(1+G944*3)</f>
        <v>29.765663420587678</v>
      </c>
      <c r="D944">
        <f t="shared" si="28"/>
        <v>29.963876246840609</v>
      </c>
      <c r="F944">
        <v>15071.5498046875</v>
      </c>
      <c r="G944">
        <f t="shared" si="29"/>
        <v>-1.1009054496668558E-2</v>
      </c>
    </row>
    <row r="945" spans="1:7" x14ac:dyDescent="0.25">
      <c r="A945" s="1">
        <v>44649</v>
      </c>
      <c r="B945">
        <v>31.284999847412099</v>
      </c>
      <c r="C945">
        <f>C946*(1+G945*3)</f>
        <v>30.782316003847779</v>
      </c>
      <c r="D945">
        <f t="shared" si="28"/>
        <v>30.993102098911177</v>
      </c>
      <c r="F945">
        <v>15239.3203125</v>
      </c>
      <c r="G945">
        <f t="shared" si="29"/>
        <v>1.6808780396137424E-2</v>
      </c>
    </row>
    <row r="946" spans="1:7" x14ac:dyDescent="0.25">
      <c r="A946" s="1">
        <v>44648</v>
      </c>
      <c r="B946">
        <v>29.7600002288818</v>
      </c>
      <c r="C946">
        <f>C947*(1+G946*3)</f>
        <v>29.304592618100038</v>
      </c>
      <c r="D946">
        <f t="shared" ref="D946:D1002" si="30">D947*(1+3*G946-0.000181059707075509)</f>
        <v>29.510346435640649</v>
      </c>
      <c r="F946">
        <v>14987.400390625</v>
      </c>
      <c r="G946">
        <f t="shared" si="29"/>
        <v>1.5798151665565419E-2</v>
      </c>
    </row>
    <row r="947" spans="1:7" x14ac:dyDescent="0.25">
      <c r="A947" s="1">
        <v>44645</v>
      </c>
      <c r="B947">
        <v>28.465000152587798</v>
      </c>
      <c r="C947">
        <f>C948*(1+G947*3)</f>
        <v>27.978563833615553</v>
      </c>
      <c r="D947">
        <f t="shared" si="30"/>
        <v>28.179878684114016</v>
      </c>
      <c r="F947">
        <v>14754.3095703125</v>
      </c>
      <c r="G947">
        <f t="shared" si="29"/>
        <v>-7.707637803456846E-4</v>
      </c>
    </row>
    <row r="948" spans="1:7" x14ac:dyDescent="0.25">
      <c r="A948" s="1">
        <v>44644</v>
      </c>
      <c r="B948">
        <v>28.5100002288818</v>
      </c>
      <c r="C948">
        <f>C949*(1+G948*3)</f>
        <v>28.043408363948679</v>
      </c>
      <c r="D948">
        <f t="shared" si="30"/>
        <v>28.250316640719664</v>
      </c>
      <c r="F948">
        <v>14765.6904296875</v>
      </c>
      <c r="G948">
        <f t="shared" si="29"/>
        <v>2.2020386107046264E-2</v>
      </c>
    </row>
    <row r="949" spans="1:7" x14ac:dyDescent="0.25">
      <c r="A949" s="1">
        <v>44643</v>
      </c>
      <c r="B949">
        <v>26.774999618530199</v>
      </c>
      <c r="C949">
        <f>C950*(1+G949*3)</f>
        <v>26.305628101217174</v>
      </c>
      <c r="D949">
        <f t="shared" si="30"/>
        <v>26.504216259833381</v>
      </c>
      <c r="F949">
        <v>14447.5498046875</v>
      </c>
      <c r="G949">
        <f t="shared" si="29"/>
        <v>-1.4110523806623365E-2</v>
      </c>
    </row>
    <row r="950" spans="1:7" x14ac:dyDescent="0.25">
      <c r="A950" s="1">
        <v>44642</v>
      </c>
      <c r="B950">
        <v>27.954999923706001</v>
      </c>
      <c r="C950">
        <f>C951*(1+G950*3)</f>
        <v>27.468409019412643</v>
      </c>
      <c r="D950">
        <f t="shared" si="30"/>
        <v>27.681008775111437</v>
      </c>
      <c r="F950">
        <v>14654.330078125</v>
      </c>
      <c r="G950">
        <f t="shared" si="29"/>
        <v>1.9354375035153693E-2</v>
      </c>
    </row>
    <row r="951" spans="1:7" x14ac:dyDescent="0.25">
      <c r="A951" s="1">
        <v>44641</v>
      </c>
      <c r="B951">
        <v>26.395000457763601</v>
      </c>
      <c r="C951">
        <f>C952*(1+G951*3)</f>
        <v>25.961030459949889</v>
      </c>
      <c r="D951">
        <f t="shared" si="30"/>
        <v>26.166441119017463</v>
      </c>
      <c r="F951">
        <v>14376.08984375</v>
      </c>
      <c r="G951">
        <f t="shared" si="29"/>
        <v>-3.0506234456861847E-3</v>
      </c>
    </row>
    <row r="952" spans="1:7" x14ac:dyDescent="0.25">
      <c r="A952" s="1">
        <v>44638</v>
      </c>
      <c r="B952">
        <v>26.584999084472599</v>
      </c>
      <c r="C952">
        <f>C953*(1+G952*3)</f>
        <v>26.200816939303401</v>
      </c>
      <c r="D952">
        <f t="shared" si="30"/>
        <v>26.412951346190574</v>
      </c>
      <c r="F952">
        <v>14420.080078125</v>
      </c>
      <c r="G952">
        <f t="shared" si="29"/>
        <v>2.1353425771052592E-2</v>
      </c>
    </row>
    <row r="953" spans="1:7" x14ac:dyDescent="0.25">
      <c r="A953" s="1">
        <v>44637</v>
      </c>
      <c r="B953">
        <v>25.030000686645501</v>
      </c>
      <c r="C953">
        <f>C954*(1+G953*3)</f>
        <v>24.623432993347595</v>
      </c>
      <c r="D953">
        <f t="shared" si="30"/>
        <v>24.827020689081998</v>
      </c>
      <c r="F953">
        <v>14118.599609375</v>
      </c>
      <c r="G953">
        <f t="shared" si="29"/>
        <v>1.1593609265427407E-2</v>
      </c>
    </row>
    <row r="954" spans="1:7" x14ac:dyDescent="0.25">
      <c r="A954" s="1">
        <v>44636</v>
      </c>
      <c r="B954">
        <v>24.2199993133544</v>
      </c>
      <c r="C954">
        <f>C955*(1+G954*3)</f>
        <v>23.795795526852594</v>
      </c>
      <c r="D954">
        <f t="shared" si="30"/>
        <v>23.996739081949347</v>
      </c>
      <c r="F954">
        <v>13956.7900390625</v>
      </c>
      <c r="G954">
        <f t="shared" si="29"/>
        <v>3.7019598282197919E-2</v>
      </c>
    </row>
    <row r="955" spans="1:7" x14ac:dyDescent="0.25">
      <c r="A955" s="1">
        <v>44635</v>
      </c>
      <c r="B955">
        <v>21.774999618530199</v>
      </c>
      <c r="C955">
        <f>C956*(1+G955*3)</f>
        <v>21.417224396426409</v>
      </c>
      <c r="D955">
        <f t="shared" si="30"/>
        <v>21.601602339194898</v>
      </c>
      <c r="F955">
        <v>13458.5595703125</v>
      </c>
      <c r="G955">
        <f t="shared" si="29"/>
        <v>3.1572874929854722E-2</v>
      </c>
    </row>
    <row r="956" spans="1:7" x14ac:dyDescent="0.25">
      <c r="A956" s="1">
        <v>44634</v>
      </c>
      <c r="B956">
        <v>19.9300003051757</v>
      </c>
      <c r="C956">
        <f>C957*(1+G956*3)</f>
        <v>19.564136309952161</v>
      </c>
      <c r="D956">
        <f t="shared" si="30"/>
        <v>19.735825455718292</v>
      </c>
      <c r="F956">
        <v>13046.6396484375</v>
      </c>
      <c r="G956">
        <f t="shared" si="29"/>
        <v>-1.9184610552736125E-2</v>
      </c>
    </row>
    <row r="957" spans="1:7" x14ac:dyDescent="0.25">
      <c r="A957" s="1">
        <v>44631</v>
      </c>
      <c r="B957">
        <v>21.170000076293899</v>
      </c>
      <c r="C957">
        <f>C958*(1+G957*3)</f>
        <v>20.758889968617229</v>
      </c>
      <c r="D957">
        <f t="shared" si="30"/>
        <v>20.94508782598804</v>
      </c>
      <c r="F957">
        <v>13301.830078125</v>
      </c>
      <c r="G957">
        <f t="shared" si="29"/>
        <v>-2.1276574341476007E-2</v>
      </c>
    </row>
    <row r="958" spans="1:7" x14ac:dyDescent="0.25">
      <c r="A958" s="1">
        <v>44630</v>
      </c>
      <c r="B958">
        <v>22.569999694824201</v>
      </c>
      <c r="C958">
        <f>C959*(1+G958*3)</f>
        <v>22.174267309235351</v>
      </c>
      <c r="D958">
        <f t="shared" si="30"/>
        <v>22.377488372261624</v>
      </c>
      <c r="F958">
        <v>13591</v>
      </c>
      <c r="G958">
        <f t="shared" si="29"/>
        <v>-1.1002619170405792E-2</v>
      </c>
    </row>
    <row r="959" spans="1:7" x14ac:dyDescent="0.25">
      <c r="A959" s="1">
        <v>44629</v>
      </c>
      <c r="B959">
        <v>23.319999694824201</v>
      </c>
      <c r="C959">
        <f>C960*(1+G959*3)</f>
        <v>22.931176309421332</v>
      </c>
      <c r="D959">
        <f t="shared" si="30"/>
        <v>23.14566803255622</v>
      </c>
      <c r="F959">
        <v>13742.2001953125</v>
      </c>
      <c r="G959">
        <f t="shared" si="29"/>
        <v>3.5770559367845012E-2</v>
      </c>
    </row>
    <row r="960" spans="1:7" x14ac:dyDescent="0.25">
      <c r="A960" s="1">
        <v>44628</v>
      </c>
      <c r="B960">
        <v>21.065000534057599</v>
      </c>
      <c r="C960">
        <f>C961*(1+G960*3)</f>
        <v>20.708872454677785</v>
      </c>
      <c r="D960">
        <f t="shared" si="30"/>
        <v>20.905995776794459</v>
      </c>
      <c r="F960">
        <v>13267.6103515625</v>
      </c>
      <c r="G960">
        <f t="shared" si="29"/>
        <v>-3.886782395688293E-3</v>
      </c>
    </row>
    <row r="961" spans="1:7" x14ac:dyDescent="0.25">
      <c r="A961" s="1">
        <v>44627</v>
      </c>
      <c r="B961">
        <v>21.360000610351499</v>
      </c>
      <c r="C961">
        <f>C962*(1+G961*3)</f>
        <v>20.953193971058237</v>
      </c>
      <c r="D961">
        <f t="shared" si="30"/>
        <v>21.156518723462476</v>
      </c>
      <c r="F961">
        <v>13319.3798828125</v>
      </c>
      <c r="G961">
        <f t="shared" si="29"/>
        <v>-3.7466148405165933E-2</v>
      </c>
    </row>
    <row r="962" spans="1:7" x14ac:dyDescent="0.25">
      <c r="A962" s="1">
        <v>44624</v>
      </c>
      <c r="B962">
        <v>24.045000076293899</v>
      </c>
      <c r="C962">
        <f>C963*(1+G962*3)</f>
        <v>23.606531397013374</v>
      </c>
      <c r="D962">
        <f t="shared" si="30"/>
        <v>23.84046665680917</v>
      </c>
      <c r="F962">
        <v>13837.830078125</v>
      </c>
      <c r="G962">
        <f t="shared" ref="G962:G1025" si="31">F962/F963-1</f>
        <v>-1.4063194163952186E-2</v>
      </c>
    </row>
    <row r="963" spans="1:7" x14ac:dyDescent="0.25">
      <c r="A963" s="1">
        <v>44623</v>
      </c>
      <c r="B963">
        <v>25.120000839233398</v>
      </c>
      <c r="C963">
        <f>C964*(1+G963*3)</f>
        <v>24.646350640483263</v>
      </c>
      <c r="D963">
        <f t="shared" si="30"/>
        <v>24.895296350930838</v>
      </c>
      <c r="F963">
        <v>14035.2099609375</v>
      </c>
      <c r="G963">
        <f t="shared" si="31"/>
        <v>-1.4636689120641977E-2</v>
      </c>
    </row>
    <row r="964" spans="1:7" x14ac:dyDescent="0.25">
      <c r="A964" s="1">
        <v>44622</v>
      </c>
      <c r="B964">
        <v>26.215000152587798</v>
      </c>
      <c r="C964">
        <f>C965*(1+G964*3)</f>
        <v>25.778276497984095</v>
      </c>
      <c r="D964">
        <f t="shared" si="30"/>
        <v>26.043587475652487</v>
      </c>
      <c r="F964">
        <v>14243.6904296875</v>
      </c>
      <c r="G964">
        <f t="shared" si="31"/>
        <v>1.6971323793237403E-2</v>
      </c>
    </row>
    <row r="965" spans="1:7" x14ac:dyDescent="0.25">
      <c r="A965" s="1">
        <v>44621</v>
      </c>
      <c r="B965">
        <v>25.020000457763601</v>
      </c>
      <c r="C965">
        <f>C966*(1+G965*3)</f>
        <v>24.529387942326618</v>
      </c>
      <c r="D965">
        <f t="shared" si="30"/>
        <v>24.786115659206221</v>
      </c>
      <c r="F965">
        <v>14005.990234375</v>
      </c>
      <c r="G965">
        <f t="shared" si="31"/>
        <v>-1.628195227592244E-2</v>
      </c>
    </row>
    <row r="966" spans="1:7" x14ac:dyDescent="0.25">
      <c r="A966" s="1">
        <v>44620</v>
      </c>
      <c r="B966">
        <v>26.2299995422363</v>
      </c>
      <c r="C966">
        <f>C967*(1+G966*3)</f>
        <v>25.789077531132509</v>
      </c>
      <c r="D966">
        <f t="shared" si="30"/>
        <v>26.063950799627825</v>
      </c>
      <c r="F966">
        <v>14237.8095703125</v>
      </c>
      <c r="G966">
        <f t="shared" si="31"/>
        <v>3.428632387454611E-3</v>
      </c>
    </row>
    <row r="967" spans="1:7" x14ac:dyDescent="0.25">
      <c r="A967" s="1">
        <v>44617</v>
      </c>
      <c r="B967">
        <v>25.954999923706001</v>
      </c>
      <c r="C967">
        <f>C968*(1+G967*3)</f>
        <v>25.526514428804234</v>
      </c>
      <c r="D967">
        <f t="shared" si="30"/>
        <v>25.803213521172282</v>
      </c>
      <c r="F967">
        <v>14189.16015625</v>
      </c>
      <c r="G967">
        <f t="shared" si="31"/>
        <v>1.5348500935914888E-2</v>
      </c>
    </row>
    <row r="968" spans="1:7" x14ac:dyDescent="0.25">
      <c r="A968" s="1">
        <v>44616</v>
      </c>
      <c r="B968">
        <v>24.780000686645501</v>
      </c>
      <c r="C968">
        <f>C969*(1+G968*3)</f>
        <v>24.402871921237843</v>
      </c>
      <c r="D968">
        <f t="shared" si="30"/>
        <v>24.67166150583877</v>
      </c>
      <c r="F968">
        <v>13974.669921875</v>
      </c>
      <c r="G968">
        <f t="shared" si="31"/>
        <v>3.4438184670776861E-2</v>
      </c>
    </row>
    <row r="969" spans="1:7" x14ac:dyDescent="0.25">
      <c r="A969" s="1">
        <v>44615</v>
      </c>
      <c r="B969">
        <v>22.569999694824201</v>
      </c>
      <c r="C969">
        <f>C970*(1+G969*3)</f>
        <v>22.117783031587852</v>
      </c>
      <c r="D969">
        <f t="shared" si="30"/>
        <v>22.365073341714449</v>
      </c>
      <c r="F969">
        <v>13509.4296875</v>
      </c>
      <c r="G969">
        <f t="shared" si="31"/>
        <v>-2.6033654000165996E-2</v>
      </c>
    </row>
    <row r="970" spans="1:7" x14ac:dyDescent="0.25">
      <c r="A970" s="1">
        <v>44614</v>
      </c>
      <c r="B970">
        <v>24.440000534057599</v>
      </c>
      <c r="C970">
        <f>C971*(1+G970*3)</f>
        <v>23.991545841703978</v>
      </c>
      <c r="D970">
        <f t="shared" si="30"/>
        <v>24.264551488024519</v>
      </c>
      <c r="F970">
        <v>13870.5302734375</v>
      </c>
      <c r="G970">
        <f t="shared" si="31"/>
        <v>-9.9225074654415435E-3</v>
      </c>
    </row>
    <row r="971" spans="1:7" x14ac:dyDescent="0.25">
      <c r="A971" s="1">
        <v>44610</v>
      </c>
      <c r="B971">
        <v>25.2199993133544</v>
      </c>
      <c r="C971">
        <f>C972*(1+G971*3)</f>
        <v>24.727626002542603</v>
      </c>
      <c r="D971">
        <f t="shared" si="30"/>
        <v>25.013675605606853</v>
      </c>
      <c r="F971">
        <v>14009.5400390625</v>
      </c>
      <c r="G971">
        <f t="shared" si="31"/>
        <v>-1.1445326588690019E-2</v>
      </c>
    </row>
    <row r="972" spans="1:7" x14ac:dyDescent="0.25">
      <c r="A972" s="1">
        <v>44609</v>
      </c>
      <c r="B972">
        <v>26.1049995422363</v>
      </c>
      <c r="C972">
        <f>C973*(1+G972*3)</f>
        <v>25.606862722867515</v>
      </c>
      <c r="D972">
        <f t="shared" si="30"/>
        <v>25.90794102876465</v>
      </c>
      <c r="F972">
        <v>14171.740234375</v>
      </c>
      <c r="G972">
        <f t="shared" si="31"/>
        <v>-2.9574778922233258E-2</v>
      </c>
    </row>
    <row r="973" spans="1:7" x14ac:dyDescent="0.25">
      <c r="A973" s="1">
        <v>44608</v>
      </c>
      <c r="B973">
        <v>28.645000457763601</v>
      </c>
      <c r="C973">
        <f>C974*(1+G973*3)</f>
        <v>28.100018200872082</v>
      </c>
      <c r="D973">
        <f t="shared" si="30"/>
        <v>28.436060238412907</v>
      </c>
      <c r="F973">
        <v>14603.6396484375</v>
      </c>
      <c r="G973">
        <f t="shared" si="31"/>
        <v>-1.1750820880968016E-3</v>
      </c>
    </row>
    <row r="974" spans="1:7" x14ac:dyDescent="0.25">
      <c r="A974" s="1">
        <v>44607</v>
      </c>
      <c r="B974">
        <v>28.649999618530199</v>
      </c>
      <c r="C974">
        <f>C975*(1+G974*3)</f>
        <v>28.199428129540873</v>
      </c>
      <c r="D974">
        <f t="shared" si="30"/>
        <v>28.541845049152379</v>
      </c>
      <c r="F974">
        <v>14620.8203125</v>
      </c>
      <c r="G974">
        <f t="shared" si="31"/>
        <v>2.46857238596907E-2</v>
      </c>
    </row>
    <row r="975" spans="1:7" x14ac:dyDescent="0.25">
      <c r="A975" s="1">
        <v>44606</v>
      </c>
      <c r="B975">
        <v>26.715000152587798</v>
      </c>
      <c r="C975">
        <f>C976*(1+G975*3)</f>
        <v>26.25505315334588</v>
      </c>
      <c r="D975">
        <f t="shared" si="30"/>
        <v>26.578340586604366</v>
      </c>
      <c r="F975">
        <v>14268.58984375</v>
      </c>
      <c r="G975">
        <f t="shared" si="31"/>
        <v>1.0348088768843411E-3</v>
      </c>
    </row>
    <row r="976" spans="1:7" x14ac:dyDescent="0.25">
      <c r="A976" s="1">
        <v>44603</v>
      </c>
      <c r="B976">
        <v>26.639999389648398</v>
      </c>
      <c r="C976">
        <f>C977*(1+G976*3)</f>
        <v>26.173798516206823</v>
      </c>
      <c r="D976">
        <f t="shared" si="30"/>
        <v>26.500868823240438</v>
      </c>
      <c r="F976">
        <v>14253.83984375</v>
      </c>
      <c r="G976">
        <f t="shared" si="31"/>
        <v>-3.0722893766508497E-2</v>
      </c>
    </row>
    <row r="977" spans="1:7" x14ac:dyDescent="0.25">
      <c r="A977" s="1">
        <v>44602</v>
      </c>
      <c r="B977">
        <v>29.409999847412099</v>
      </c>
      <c r="C977">
        <f>C978*(1+G977*3)</f>
        <v>28.831125317061769</v>
      </c>
      <c r="D977">
        <f t="shared" si="30"/>
        <v>29.197224989094803</v>
      </c>
      <c r="F977">
        <v>14705.6396484375</v>
      </c>
      <c r="G977">
        <f t="shared" si="31"/>
        <v>-2.3332751990536971E-2</v>
      </c>
    </row>
    <row r="978" spans="1:7" x14ac:dyDescent="0.25">
      <c r="A978" s="1">
        <v>44601</v>
      </c>
      <c r="B978">
        <v>31.5</v>
      </c>
      <c r="C978">
        <f>C979*(1+G978*3)</f>
        <v>31.001151881906228</v>
      </c>
      <c r="D978">
        <f t="shared" si="30"/>
        <v>31.400920071385787</v>
      </c>
      <c r="F978">
        <v>15056.9599609375</v>
      </c>
      <c r="G978">
        <f t="shared" si="31"/>
        <v>2.1016413593335281E-2</v>
      </c>
    </row>
    <row r="979" spans="1:7" x14ac:dyDescent="0.25">
      <c r="A979" s="1">
        <v>44600</v>
      </c>
      <c r="B979">
        <v>29.659999847412099</v>
      </c>
      <c r="C979">
        <f>C980*(1+G979*3)</f>
        <v>29.162479678889873</v>
      </c>
      <c r="D979">
        <f t="shared" si="30"/>
        <v>29.543569588928325</v>
      </c>
      <c r="F979">
        <v>14747.0302734375</v>
      </c>
      <c r="G979">
        <f t="shared" si="31"/>
        <v>1.2063499935661026E-2</v>
      </c>
    </row>
    <row r="980" spans="1:7" x14ac:dyDescent="0.25">
      <c r="A980" s="1">
        <v>44599</v>
      </c>
      <c r="B980">
        <v>28.684999465942301</v>
      </c>
      <c r="C980">
        <f>C981*(1+G980*3)</f>
        <v>28.143936548657926</v>
      </c>
      <c r="D980">
        <f t="shared" si="30"/>
        <v>28.516699216639658</v>
      </c>
      <c r="F980">
        <v>14571.25</v>
      </c>
      <c r="G980">
        <f t="shared" si="31"/>
        <v>-8.3773431725391312E-3</v>
      </c>
    </row>
    <row r="981" spans="1:7" x14ac:dyDescent="0.25">
      <c r="A981" s="1">
        <v>44596</v>
      </c>
      <c r="B981">
        <v>29.350000381469702</v>
      </c>
      <c r="C981">
        <f>C982*(1+G981*3)</f>
        <v>28.869485305514541</v>
      </c>
      <c r="D981">
        <f t="shared" si="30"/>
        <v>29.257291650665824</v>
      </c>
      <c r="F981">
        <v>14694.349609375</v>
      </c>
      <c r="G981">
        <f t="shared" si="31"/>
        <v>1.3325824928411611E-2</v>
      </c>
    </row>
    <row r="982" spans="1:7" x14ac:dyDescent="0.25">
      <c r="A982" s="1">
        <v>44595</v>
      </c>
      <c r="B982">
        <v>28.370000839233398</v>
      </c>
      <c r="C982">
        <f>C983*(1+G982*3)</f>
        <v>27.75972173000801</v>
      </c>
      <c r="D982">
        <f t="shared" si="30"/>
        <v>28.137519255119393</v>
      </c>
      <c r="F982">
        <v>14501.1103515625</v>
      </c>
      <c r="G982">
        <f t="shared" si="31"/>
        <v>-4.2182354051391258E-2</v>
      </c>
    </row>
    <row r="983" spans="1:7" x14ac:dyDescent="0.25">
      <c r="A983" s="1">
        <v>44594</v>
      </c>
      <c r="B983">
        <v>32.25</v>
      </c>
      <c r="C983">
        <f>C984*(1+G983*3)</f>
        <v>31.781588368654496</v>
      </c>
      <c r="D983">
        <f t="shared" si="30"/>
        <v>32.220800829050326</v>
      </c>
      <c r="F983">
        <v>15139.740234375</v>
      </c>
      <c r="G983">
        <f t="shared" si="31"/>
        <v>7.9935490884615046E-3</v>
      </c>
    </row>
    <row r="984" spans="1:7" x14ac:dyDescent="0.25">
      <c r="A984" s="1">
        <v>44593</v>
      </c>
      <c r="B984">
        <v>31.504999160766602</v>
      </c>
      <c r="C984">
        <f>C985*(1+G984*3)</f>
        <v>31.037293969890506</v>
      </c>
      <c r="D984">
        <f t="shared" si="30"/>
        <v>31.47178531874065</v>
      </c>
      <c r="F984">
        <v>15019.6796875</v>
      </c>
      <c r="G984">
        <f t="shared" si="31"/>
        <v>6.0033210863341679E-3</v>
      </c>
    </row>
    <row r="985" spans="1:7" x14ac:dyDescent="0.25">
      <c r="A985" s="1">
        <v>44592</v>
      </c>
      <c r="B985">
        <v>30.915000915527301</v>
      </c>
      <c r="C985">
        <f>C986*(1+G985*3)</f>
        <v>30.488202561917348</v>
      </c>
      <c r="D985">
        <f t="shared" si="30"/>
        <v>30.920506588988843</v>
      </c>
      <c r="F985">
        <v>14930.0498046875</v>
      </c>
      <c r="G985">
        <f t="shared" si="31"/>
        <v>3.2891889961849108E-2</v>
      </c>
    </row>
    <row r="986" spans="1:7" x14ac:dyDescent="0.25">
      <c r="A986" s="1">
        <v>44589</v>
      </c>
      <c r="B986">
        <v>28.184999465942301</v>
      </c>
      <c r="C986">
        <f>C987*(1+G986*3)</f>
        <v>27.749956968732551</v>
      </c>
      <c r="D986">
        <f t="shared" si="30"/>
        <v>28.148073101574166</v>
      </c>
      <c r="F986">
        <v>14454.6103515625</v>
      </c>
      <c r="G986">
        <f t="shared" si="31"/>
        <v>3.2242836674469366E-2</v>
      </c>
    </row>
    <row r="987" spans="1:7" x14ac:dyDescent="0.25">
      <c r="A987" s="1">
        <v>44588</v>
      </c>
      <c r="B987">
        <v>25.780000686645501</v>
      </c>
      <c r="C987">
        <f>C988*(1+G987*3)</f>
        <v>25.302485268792974</v>
      </c>
      <c r="D987">
        <f t="shared" si="30"/>
        <v>25.669726461407571</v>
      </c>
      <c r="F987">
        <v>14003.1103515625</v>
      </c>
      <c r="G987">
        <f t="shared" si="31"/>
        <v>-1.1970104402247217E-2</v>
      </c>
    </row>
    <row r="988" spans="1:7" x14ac:dyDescent="0.25">
      <c r="A988" s="1">
        <v>44587</v>
      </c>
      <c r="B988">
        <v>26.5750007629394</v>
      </c>
      <c r="C988">
        <f>C989*(1+G988*3)</f>
        <v>26.244949630105211</v>
      </c>
      <c r="D988">
        <f t="shared" si="30"/>
        <v>26.630871163592612</v>
      </c>
      <c r="F988">
        <v>14172.759765625</v>
      </c>
      <c r="G988">
        <f t="shared" si="31"/>
        <v>1.6707504241755267E-3</v>
      </c>
    </row>
    <row r="989" spans="1:7" x14ac:dyDescent="0.25">
      <c r="A989" s="1">
        <v>44586</v>
      </c>
      <c r="B989">
        <v>26.625</v>
      </c>
      <c r="C989">
        <f>C990*(1+G989*3)</f>
        <v>26.114059402633526</v>
      </c>
      <c r="D989">
        <f t="shared" si="30"/>
        <v>26.502830910437531</v>
      </c>
      <c r="F989">
        <v>14149.1201171875</v>
      </c>
      <c r="G989">
        <f t="shared" si="31"/>
        <v>-2.4842894073891064E-2</v>
      </c>
    </row>
    <row r="990" spans="1:7" x14ac:dyDescent="0.25">
      <c r="A990" s="1">
        <v>44585</v>
      </c>
      <c r="B990">
        <v>28.745000839233398</v>
      </c>
      <c r="C990">
        <f>C991*(1+G990*3)</f>
        <v>28.217038065882541</v>
      </c>
      <c r="D990">
        <f t="shared" si="30"/>
        <v>28.642721220995174</v>
      </c>
      <c r="F990">
        <v>14509.580078125</v>
      </c>
      <c r="G990">
        <f t="shared" si="31"/>
        <v>4.9298873541572252E-3</v>
      </c>
    </row>
    <row r="991" spans="1:7" x14ac:dyDescent="0.25">
      <c r="A991" s="1">
        <v>44582</v>
      </c>
      <c r="B991">
        <v>28.334999084472599</v>
      </c>
      <c r="C991">
        <f>C992*(1+G991*3)</f>
        <v>27.80579968516221</v>
      </c>
      <c r="D991">
        <f t="shared" si="30"/>
        <v>28.230315763636931</v>
      </c>
      <c r="F991">
        <v>14438.400390625</v>
      </c>
      <c r="G991">
        <f t="shared" si="31"/>
        <v>-2.7485311069853968E-2</v>
      </c>
    </row>
    <row r="992" spans="1:7" x14ac:dyDescent="0.25">
      <c r="A992" s="1">
        <v>44581</v>
      </c>
      <c r="B992">
        <v>30.940000534057599</v>
      </c>
      <c r="C992">
        <f>C993*(1+G992*3)</f>
        <v>30.304593197825014</v>
      </c>
      <c r="D992">
        <f t="shared" si="30"/>
        <v>30.773331326485007</v>
      </c>
      <c r="F992">
        <v>14846.4599609375</v>
      </c>
      <c r="G992">
        <f t="shared" si="31"/>
        <v>-1.3382643947804973E-2</v>
      </c>
    </row>
    <row r="993" spans="1:7" x14ac:dyDescent="0.25">
      <c r="A993" s="1">
        <v>44580</v>
      </c>
      <c r="B993">
        <v>32.185001373291001</v>
      </c>
      <c r="C993">
        <f>C994*(1+G993*3)</f>
        <v>31.572149712638101</v>
      </c>
      <c r="D993">
        <f t="shared" si="30"/>
        <v>32.066542654241346</v>
      </c>
      <c r="F993">
        <v>15047.83984375</v>
      </c>
      <c r="G993">
        <f t="shared" si="31"/>
        <v>-1.071083393501393E-2</v>
      </c>
    </row>
    <row r="994" spans="1:7" x14ac:dyDescent="0.25">
      <c r="A994" s="1">
        <v>44579</v>
      </c>
      <c r="B994">
        <v>33.345001220703097</v>
      </c>
      <c r="C994">
        <f>C995*(1+G994*3)</f>
        <v>32.620322277087666</v>
      </c>
      <c r="D994">
        <f t="shared" si="30"/>
        <v>33.137327732265085</v>
      </c>
      <c r="F994">
        <v>15210.759765625</v>
      </c>
      <c r="G994">
        <f t="shared" si="31"/>
        <v>-2.5675160706676525E-2</v>
      </c>
    </row>
    <row r="995" spans="1:7" x14ac:dyDescent="0.25">
      <c r="A995" s="1">
        <v>44575</v>
      </c>
      <c r="B995">
        <v>35.935001373291001</v>
      </c>
      <c r="C995">
        <f>C996*(1+G995*3)</f>
        <v>35.342603338621991</v>
      </c>
      <c r="D995">
        <f t="shared" si="30"/>
        <v>35.909799141701832</v>
      </c>
      <c r="F995">
        <v>15611.58984375</v>
      </c>
      <c r="G995">
        <f t="shared" si="31"/>
        <v>7.4840326289278281E-3</v>
      </c>
    </row>
    <row r="996" spans="1:7" x14ac:dyDescent="0.25">
      <c r="A996" s="1">
        <v>44574</v>
      </c>
      <c r="B996">
        <v>35.400001525878899</v>
      </c>
      <c r="C996">
        <f>C997*(1+G996*3)</f>
        <v>34.566512613811952</v>
      </c>
      <c r="D996">
        <f t="shared" si="30"/>
        <v>35.127473830858101</v>
      </c>
      <c r="F996">
        <v>15495.6201171875</v>
      </c>
      <c r="G996">
        <f t="shared" si="31"/>
        <v>-2.5745169929406786E-2</v>
      </c>
    </row>
    <row r="997" spans="1:7" x14ac:dyDescent="0.25">
      <c r="A997" s="1">
        <v>44573</v>
      </c>
      <c r="B997">
        <v>38.169998168945298</v>
      </c>
      <c r="C997">
        <f>C998*(1+G997*3)</f>
        <v>37.459734288083347</v>
      </c>
      <c r="D997">
        <f t="shared" si="30"/>
        <v>38.075118920834541</v>
      </c>
      <c r="F997">
        <v>15905.099609375</v>
      </c>
      <c r="G997">
        <f t="shared" si="31"/>
        <v>3.8487143329184459E-3</v>
      </c>
    </row>
    <row r="998" spans="1:7" x14ac:dyDescent="0.25">
      <c r="A998" s="1">
        <v>44572</v>
      </c>
      <c r="B998">
        <v>37.740001678466797</v>
      </c>
      <c r="C998">
        <f>C999*(1+G998*3)</f>
        <v>37.032155722558507</v>
      </c>
      <c r="D998">
        <f t="shared" si="30"/>
        <v>37.647254735067413</v>
      </c>
      <c r="F998">
        <v>15844.1201171875</v>
      </c>
      <c r="G998">
        <f t="shared" si="31"/>
        <v>1.4710138908971881E-2</v>
      </c>
    </row>
    <row r="999" spans="1:7" x14ac:dyDescent="0.25">
      <c r="A999" s="1">
        <v>44571</v>
      </c>
      <c r="B999">
        <v>36.150001525878899</v>
      </c>
      <c r="C999">
        <f>C1000*(1+G999*3)</f>
        <v>35.466982983452333</v>
      </c>
      <c r="D999">
        <f t="shared" si="30"/>
        <v>36.062338160290594</v>
      </c>
      <c r="F999">
        <v>15614.4296875</v>
      </c>
      <c r="G999">
        <f t="shared" si="31"/>
        <v>1.42630747827166E-3</v>
      </c>
    </row>
    <row r="1000" spans="1:7" x14ac:dyDescent="0.25">
      <c r="A1000" s="1">
        <v>44568</v>
      </c>
      <c r="B1000">
        <v>36.017501831054602</v>
      </c>
      <c r="C1000">
        <f>C1001*(1+G1000*3)</f>
        <v>35.315869118775019</v>
      </c>
      <c r="D1000">
        <f t="shared" si="30"/>
        <v>35.915162753482399</v>
      </c>
      <c r="F1000">
        <v>15592.1904296875</v>
      </c>
      <c r="G1000">
        <f t="shared" si="31"/>
        <v>-1.0984203215998023E-2</v>
      </c>
    </row>
    <row r="1001" spans="1:7" x14ac:dyDescent="0.25">
      <c r="A1001" s="1">
        <v>44567</v>
      </c>
      <c r="B1001">
        <v>37.235000610351499</v>
      </c>
      <c r="C1001">
        <f>C1002*(1+G1001*3)</f>
        <v>36.519274516546723</v>
      </c>
      <c r="D1001">
        <f t="shared" si="30"/>
        <v>37.145944186023989</v>
      </c>
      <c r="F1001">
        <v>15765.3603515625</v>
      </c>
      <c r="G1001">
        <f t="shared" si="31"/>
        <v>-4.0705118659378758E-4</v>
      </c>
    </row>
    <row r="1002" spans="1:7" x14ac:dyDescent="0.25">
      <c r="A1002" s="1">
        <v>44566</v>
      </c>
      <c r="B1002">
        <v>37.337501525878899</v>
      </c>
      <c r="C1002">
        <f>C1003*(1+G1002*3)</f>
        <v>36.563924683333354</v>
      </c>
      <c r="D1002">
        <f t="shared" si="30"/>
        <v>37.198103860759467</v>
      </c>
      <c r="F1002">
        <v>15771.7802734375</v>
      </c>
      <c r="G1002">
        <f t="shared" si="31"/>
        <v>-3.1201388517306472E-2</v>
      </c>
    </row>
    <row r="1003" spans="1:7" x14ac:dyDescent="0.25">
      <c r="A1003" s="1">
        <v>44565</v>
      </c>
      <c r="B1003">
        <v>41.119998931884702</v>
      </c>
      <c r="C1003">
        <f>C1004*(1+G1003*3)</f>
        <v>40.339908121486161</v>
      </c>
      <c r="D1003">
        <f>D1004*(1+3*G1003-0.000181059707075509)</f>
        <v>41.047779066933259</v>
      </c>
      <c r="F1003">
        <v>16279.73046875</v>
      </c>
      <c r="G1003">
        <f t="shared" si="31"/>
        <v>-1.3455469856097357E-2</v>
      </c>
    </row>
    <row r="1004" spans="1:7" x14ac:dyDescent="0.25">
      <c r="A1004" s="1">
        <v>44564</v>
      </c>
      <c r="B1004">
        <v>42.782501220703097</v>
      </c>
      <c r="C1004">
        <f>C1005*(1+G1004*3)</f>
        <v>42.036782084022867</v>
      </c>
      <c r="D1004">
        <v>42.782501220703097</v>
      </c>
      <c r="E1004">
        <v>1.81059707075509E-4</v>
      </c>
      <c r="F1004">
        <v>16501.76953125</v>
      </c>
      <c r="G1004">
        <f t="shared" si="31"/>
        <v>1.1132877550553921E-2</v>
      </c>
    </row>
    <row r="1005" spans="1:7" x14ac:dyDescent="0.25">
      <c r="A1005" s="1">
        <v>44561</v>
      </c>
      <c r="B1005">
        <v>41.582500457763601</v>
      </c>
      <c r="C1005">
        <f>C1006*(1+G1005*3)</f>
        <v>40.678186283407477</v>
      </c>
      <c r="D1005">
        <f t="shared" ref="D1005:D1068" si="32">D1006*(1+3*G1005-0.0000056641801694586)</f>
        <v>41.582500457788662</v>
      </c>
      <c r="F1005">
        <v>16320.080078125</v>
      </c>
      <c r="G1005">
        <f t="shared" si="31"/>
        <v>-6.6357581268658983E-3</v>
      </c>
    </row>
    <row r="1006" spans="1:7" x14ac:dyDescent="0.25">
      <c r="A1006" s="1">
        <v>44560</v>
      </c>
      <c r="B1006">
        <v>42.369998931884702</v>
      </c>
      <c r="C1006">
        <f>C1007*(1+G1006*3)</f>
        <v>41.504426285481856</v>
      </c>
      <c r="D1006">
        <f t="shared" si="32"/>
        <v>42.427353746233337</v>
      </c>
      <c r="F1006">
        <v>16429.099609375</v>
      </c>
      <c r="G1006">
        <f t="shared" si="31"/>
        <v>-3.7541761923548522E-3</v>
      </c>
    </row>
    <row r="1007" spans="1:7" x14ac:dyDescent="0.25">
      <c r="A1007" s="1">
        <v>44559</v>
      </c>
      <c r="B1007">
        <v>42.770000457763601</v>
      </c>
      <c r="C1007">
        <f>C1008*(1+G1007*3)</f>
        <v>41.977195651087257</v>
      </c>
      <c r="D1007">
        <f t="shared" si="32"/>
        <v>42.910881834123124</v>
      </c>
      <c r="F1007">
        <v>16491.009765625</v>
      </c>
      <c r="G1007">
        <f t="shared" si="31"/>
        <v>1.4249850216652149E-4</v>
      </c>
    </row>
    <row r="1008" spans="1:7" x14ac:dyDescent="0.25">
      <c r="A1008" s="1">
        <v>44558</v>
      </c>
      <c r="B1008">
        <v>42.837501525878899</v>
      </c>
      <c r="C1008">
        <f>C1009*(1+G1008*3)</f>
        <v>41.95925825672645</v>
      </c>
      <c r="D1008">
        <f t="shared" si="32"/>
        <v>42.892788312339341</v>
      </c>
      <c r="F1008">
        <v>16488.66015625</v>
      </c>
      <c r="G1008">
        <f t="shared" si="31"/>
        <v>-4.7587049192696629E-3</v>
      </c>
    </row>
    <row r="1009" spans="1:7" x14ac:dyDescent="0.25">
      <c r="A1009" s="1">
        <v>44557</v>
      </c>
      <c r="B1009">
        <v>43.347499847412102</v>
      </c>
      <c r="C1009">
        <f>C1010*(1+G1009*3)</f>
        <v>42.566948904172207</v>
      </c>
      <c r="D1009">
        <f t="shared" si="32"/>
        <v>43.5142492000668</v>
      </c>
      <c r="F1009">
        <v>16567.5</v>
      </c>
      <c r="G1009">
        <f t="shared" si="31"/>
        <v>1.5899356194430281E-2</v>
      </c>
    </row>
    <row r="1010" spans="1:7" x14ac:dyDescent="0.25">
      <c r="A1010" s="1">
        <v>44553</v>
      </c>
      <c r="B1010">
        <v>41.369998931884702</v>
      </c>
      <c r="C1010">
        <f>C1011*(1+G1010*3)</f>
        <v>40.629022979618277</v>
      </c>
      <c r="D1010">
        <f t="shared" si="32"/>
        <v>41.533420512728846</v>
      </c>
      <c r="F1010">
        <v>16308.2099609375</v>
      </c>
      <c r="G1010">
        <f t="shared" si="31"/>
        <v>7.9152785626523947E-3</v>
      </c>
    </row>
    <row r="1011" spans="1:7" x14ac:dyDescent="0.25">
      <c r="A1011" s="1">
        <v>44552</v>
      </c>
      <c r="B1011">
        <v>40.409999847412102</v>
      </c>
      <c r="C1011">
        <f>C1012*(1+G1011*3)</f>
        <v>39.686630766430007</v>
      </c>
      <c r="D1011">
        <f t="shared" si="32"/>
        <v>40.570275220867309</v>
      </c>
      <c r="F1011">
        <v>16180.1396484375</v>
      </c>
      <c r="G1011">
        <f t="shared" si="31"/>
        <v>1.2126609297731017E-2</v>
      </c>
    </row>
    <row r="1012" spans="1:7" x14ac:dyDescent="0.25">
      <c r="A1012" s="1">
        <v>44551</v>
      </c>
      <c r="B1012">
        <v>39.017501831054602</v>
      </c>
      <c r="C1012">
        <f>C1013*(1+G1012*3)</f>
        <v>38.293519131018847</v>
      </c>
      <c r="D1012">
        <f t="shared" si="32"/>
        <v>39.146359144573772</v>
      </c>
      <c r="F1012">
        <v>15986.2802734375</v>
      </c>
      <c r="G1012">
        <f t="shared" si="31"/>
        <v>2.2949123032527607E-2</v>
      </c>
    </row>
    <row r="1013" spans="1:7" x14ac:dyDescent="0.25">
      <c r="A1013" s="1">
        <v>44550</v>
      </c>
      <c r="B1013">
        <v>36.572498321533203</v>
      </c>
      <c r="C1013">
        <f>C1014*(1+G1013*3)</f>
        <v>35.826929305490722</v>
      </c>
      <c r="D1013">
        <f t="shared" si="32"/>
        <v>36.625029660120262</v>
      </c>
      <c r="F1013">
        <v>15627.6396484375</v>
      </c>
      <c r="G1013">
        <f t="shared" si="31"/>
        <v>-1.1000269147895092E-2</v>
      </c>
    </row>
    <row r="1014" spans="1:7" x14ac:dyDescent="0.25">
      <c r="A1014" s="1">
        <v>44547</v>
      </c>
      <c r="B1014">
        <v>37.700000762939403</v>
      </c>
      <c r="C1014">
        <f>C1015*(1+G1014*3)</f>
        <v>37.049595885163349</v>
      </c>
      <c r="D1014">
        <f t="shared" si="32"/>
        <v>37.875154885083887</v>
      </c>
      <c r="F1014">
        <v>15801.4599609375</v>
      </c>
      <c r="G1014">
        <f t="shared" si="31"/>
        <v>-3.9385213923947004E-3</v>
      </c>
    </row>
    <row r="1015" spans="1:7" x14ac:dyDescent="0.25">
      <c r="A1015" s="1">
        <v>44546</v>
      </c>
      <c r="B1015">
        <v>38.284999847412102</v>
      </c>
      <c r="C1015">
        <f>C1016*(1+G1015*3)</f>
        <v>37.492592012253105</v>
      </c>
      <c r="D1015">
        <f t="shared" si="32"/>
        <v>38.328241783745405</v>
      </c>
      <c r="F1015">
        <v>15863.9404296875</v>
      </c>
      <c r="G1015">
        <f t="shared" si="31"/>
        <v>-2.61301492637529E-2</v>
      </c>
    </row>
    <row r="1016" spans="1:7" x14ac:dyDescent="0.25">
      <c r="A1016" s="1">
        <v>44545</v>
      </c>
      <c r="B1016">
        <v>41.447498321533203</v>
      </c>
      <c r="C1016">
        <f>C1017*(1+G1016*3)</f>
        <v>40.68164432801057</v>
      </c>
      <c r="D1016">
        <f t="shared" si="32"/>
        <v>41.588628565504855</v>
      </c>
      <c r="F1016">
        <v>16289.58984375</v>
      </c>
      <c r="G1016">
        <f t="shared" si="31"/>
        <v>2.3543311232140596E-2</v>
      </c>
    </row>
    <row r="1017" spans="1:7" x14ac:dyDescent="0.25">
      <c r="A1017" s="1">
        <v>44544</v>
      </c>
      <c r="B1017">
        <v>38.875</v>
      </c>
      <c r="C1017">
        <f>C1018*(1+G1017*3)</f>
        <v>37.997858127835507</v>
      </c>
      <c r="D1017">
        <f t="shared" si="32"/>
        <v>38.845213722173646</v>
      </c>
      <c r="F1017">
        <v>15914.900390625</v>
      </c>
      <c r="G1017">
        <f t="shared" si="31"/>
        <v>-1.0424305604428197E-2</v>
      </c>
    </row>
    <row r="1018" spans="1:7" x14ac:dyDescent="0.25">
      <c r="A1018" s="1">
        <v>44543</v>
      </c>
      <c r="B1018">
        <v>40.067501068115199</v>
      </c>
      <c r="C1018">
        <f>C1019*(1+G1018*3)</f>
        <v>39.224523384685511</v>
      </c>
      <c r="D1018">
        <f t="shared" si="32"/>
        <v>40.099468185611734</v>
      </c>
      <c r="F1018">
        <v>16082.5498046875</v>
      </c>
      <c r="G1018">
        <f t="shared" si="31"/>
        <v>-1.5272530146589802E-2</v>
      </c>
    </row>
    <row r="1019" spans="1:7" x14ac:dyDescent="0.25">
      <c r="A1019" s="1">
        <v>44540</v>
      </c>
      <c r="B1019">
        <v>41.867500305175703</v>
      </c>
      <c r="C1019">
        <f>C1020*(1+G1019*3)</f>
        <v>41.107992551197363</v>
      </c>
      <c r="D1019">
        <f t="shared" si="32"/>
        <v>42.025199607688606</v>
      </c>
      <c r="F1019">
        <v>16331.98046875</v>
      </c>
      <c r="G1019">
        <f t="shared" si="31"/>
        <v>1.1295047033468952E-2</v>
      </c>
    </row>
    <row r="1020" spans="1:7" x14ac:dyDescent="0.25">
      <c r="A1020" s="1">
        <v>44539</v>
      </c>
      <c r="B1020">
        <v>40.610000610351499</v>
      </c>
      <c r="C1020">
        <f>C1021*(1+G1020*3)</f>
        <v>39.760695764951627</v>
      </c>
      <c r="D1020">
        <f t="shared" si="32"/>
        <v>40.648064446423675</v>
      </c>
      <c r="F1020">
        <v>16149.5703125</v>
      </c>
      <c r="G1020">
        <f t="shared" si="31"/>
        <v>-1.4930124273550005E-2</v>
      </c>
    </row>
    <row r="1021" spans="1:7" x14ac:dyDescent="0.25">
      <c r="A1021" s="1">
        <v>44538</v>
      </c>
      <c r="B1021">
        <v>42.442501068115199</v>
      </c>
      <c r="C1021">
        <f>C1022*(1+G1021*3)</f>
        <v>41.625099489796249</v>
      </c>
      <c r="D1021">
        <f t="shared" si="32"/>
        <v>42.554329777690157</v>
      </c>
      <c r="F1021">
        <v>16394.33984375</v>
      </c>
      <c r="G1021">
        <f t="shared" si="31"/>
        <v>4.206855149665012E-3</v>
      </c>
    </row>
    <row r="1022" spans="1:7" x14ac:dyDescent="0.25">
      <c r="A1022" s="1">
        <v>44537</v>
      </c>
      <c r="B1022">
        <v>41.860000610351499</v>
      </c>
      <c r="C1022">
        <f>C1023*(1+G1022*3)</f>
        <v>41.106314556568101</v>
      </c>
      <c r="D1022">
        <f t="shared" si="32"/>
        <v>42.024198660684121</v>
      </c>
      <c r="F1022">
        <v>16325.66015625</v>
      </c>
      <c r="G1022">
        <f t="shared" si="31"/>
        <v>3.0259696688151649E-2</v>
      </c>
    </row>
    <row r="1023" spans="1:7" x14ac:dyDescent="0.25">
      <c r="A1023" s="1">
        <v>44536</v>
      </c>
      <c r="B1023">
        <v>38.397499084472599</v>
      </c>
      <c r="C1023">
        <f>C1024*(1+G1023*3)</f>
        <v>37.685279201803453</v>
      </c>
      <c r="D1023">
        <f t="shared" si="32"/>
        <v>38.526973304850436</v>
      </c>
      <c r="F1023">
        <v>15846.16015625</v>
      </c>
      <c r="G1023">
        <f t="shared" si="31"/>
        <v>8.5361364185718713E-3</v>
      </c>
    </row>
    <row r="1024" spans="1:7" x14ac:dyDescent="0.25">
      <c r="A1024" s="1">
        <v>44533</v>
      </c>
      <c r="B1024">
        <v>37.520000457763601</v>
      </c>
      <c r="C1024">
        <f>C1025*(1+G1024*3)</f>
        <v>36.744315726849074</v>
      </c>
      <c r="D1024">
        <f t="shared" si="32"/>
        <v>37.565201038938845</v>
      </c>
      <c r="F1024">
        <v>15712.0400390625</v>
      </c>
      <c r="G1024">
        <f t="shared" si="31"/>
        <v>-1.743004901878753E-2</v>
      </c>
    </row>
    <row r="1025" spans="1:7" x14ac:dyDescent="0.25">
      <c r="A1025" s="1">
        <v>44532</v>
      </c>
      <c r="B1025">
        <v>39.505001068115199</v>
      </c>
      <c r="C1025">
        <f>C1026*(1+G1025*3)</f>
        <v>38.771693269537366</v>
      </c>
      <c r="D1025">
        <f t="shared" si="32"/>
        <v>39.638108055587089</v>
      </c>
      <c r="F1025">
        <v>15990.759765625</v>
      </c>
      <c r="G1025">
        <f t="shared" si="31"/>
        <v>7.119412674440273E-3</v>
      </c>
    </row>
    <row r="1026" spans="1:7" x14ac:dyDescent="0.25">
      <c r="A1026" s="1">
        <v>44531</v>
      </c>
      <c r="B1026">
        <v>38.775001525878899</v>
      </c>
      <c r="C1026">
        <f>C1027*(1+G1026*3)</f>
        <v>37.960915011146248</v>
      </c>
      <c r="D1026">
        <f t="shared" si="32"/>
        <v>38.809426901854856</v>
      </c>
      <c r="F1026">
        <v>15877.7197265625</v>
      </c>
      <c r="G1026">
        <f t="shared" ref="G1026:G1089" si="33">F1026/F1027-1</f>
        <v>-1.6001578872640865E-2</v>
      </c>
    </row>
    <row r="1027" spans="1:7" x14ac:dyDescent="0.25">
      <c r="A1027" s="1">
        <v>44530</v>
      </c>
      <c r="B1027">
        <v>40.872501373291001</v>
      </c>
      <c r="C1027">
        <f>C1028*(1+G1027*3)</f>
        <v>39.875109122166791</v>
      </c>
      <c r="D1027">
        <f t="shared" si="32"/>
        <v>40.766650112974339</v>
      </c>
      <c r="F1027">
        <v>16135.919921875</v>
      </c>
      <c r="G1027">
        <f t="shared" si="33"/>
        <v>-1.6056860484795266E-2</v>
      </c>
    </row>
    <row r="1028" spans="1:7" x14ac:dyDescent="0.25">
      <c r="A1028" s="1">
        <v>44529</v>
      </c>
      <c r="B1028">
        <v>42.707500457763601</v>
      </c>
      <c r="C1028">
        <f>C1029*(1+G1028*3)</f>
        <v>41.893125328166001</v>
      </c>
      <c r="D1028">
        <f t="shared" si="32"/>
        <v>42.830040672973503</v>
      </c>
      <c r="F1028">
        <v>16399.240234375</v>
      </c>
      <c r="G1028">
        <f t="shared" si="33"/>
        <v>2.331648242549722E-2</v>
      </c>
    </row>
    <row r="1029" spans="1:7" x14ac:dyDescent="0.25">
      <c r="A1029" s="1">
        <v>44526</v>
      </c>
      <c r="B1029">
        <v>40.209999084472599</v>
      </c>
      <c r="C1029">
        <f>C1030*(1+G1029*3)</f>
        <v>39.154303443777714</v>
      </c>
      <c r="D1029">
        <f t="shared" si="32"/>
        <v>40.030178547350566</v>
      </c>
      <c r="F1029">
        <v>16025.580078125</v>
      </c>
      <c r="G1029">
        <f t="shared" si="33"/>
        <v>-2.0908692193500777E-2</v>
      </c>
    </row>
    <row r="1030" spans="1:7" x14ac:dyDescent="0.25">
      <c r="A1030" s="1">
        <v>44524</v>
      </c>
      <c r="B1030">
        <v>42.557498931884702</v>
      </c>
      <c r="C1030">
        <f>C1031*(1+G1030*3)</f>
        <v>41.774664231486724</v>
      </c>
      <c r="D1030">
        <f t="shared" si="32"/>
        <v>42.709414463515934</v>
      </c>
      <c r="F1030">
        <v>16367.8095703125</v>
      </c>
      <c r="G1030">
        <f t="shared" si="33"/>
        <v>3.7462987513354751E-3</v>
      </c>
    </row>
    <row r="1031" spans="1:7" x14ac:dyDescent="0.25">
      <c r="A1031" s="1">
        <v>44523</v>
      </c>
      <c r="B1031">
        <v>42.1674995422363</v>
      </c>
      <c r="C1031">
        <f>C1032*(1+G1031*3)</f>
        <v>41.310381143600338</v>
      </c>
      <c r="D1031">
        <f t="shared" si="32"/>
        <v>42.234979141189292</v>
      </c>
      <c r="F1031">
        <v>16306.7197265625</v>
      </c>
      <c r="G1031">
        <f t="shared" si="33"/>
        <v>-4.5333514882803794E-3</v>
      </c>
    </row>
    <row r="1032" spans="1:7" x14ac:dyDescent="0.25">
      <c r="A1032" s="1">
        <v>44522</v>
      </c>
      <c r="B1032">
        <v>42.75</v>
      </c>
      <c r="C1032">
        <f>C1033*(1+G1032*3)</f>
        <v>41.87995075485118</v>
      </c>
      <c r="D1032">
        <f t="shared" si="32"/>
        <v>42.817542578584273</v>
      </c>
      <c r="F1032">
        <v>16380.98046875</v>
      </c>
      <c r="G1032">
        <f t="shared" si="33"/>
        <v>-1.1606554672354719E-2</v>
      </c>
    </row>
    <row r="1033" spans="1:7" x14ac:dyDescent="0.25">
      <c r="A1033" s="1">
        <v>44519</v>
      </c>
      <c r="B1033">
        <v>44.284999847412102</v>
      </c>
      <c r="C1033">
        <f>C1034*(1+G1033*3)</f>
        <v>43.390803970535522</v>
      </c>
      <c r="D1033">
        <f t="shared" si="32"/>
        <v>44.362480522420967</v>
      </c>
      <c r="F1033">
        <v>16573.33984375</v>
      </c>
      <c r="G1033">
        <f t="shared" si="33"/>
        <v>5.4825760630556886E-3</v>
      </c>
    </row>
    <row r="1034" spans="1:7" x14ac:dyDescent="0.25">
      <c r="A1034" s="1">
        <v>44518</v>
      </c>
      <c r="B1034">
        <v>43.547500610351499</v>
      </c>
      <c r="C1034">
        <f>C1035*(1+G1034*3)</f>
        <v>42.68867229192157</v>
      </c>
      <c r="D1034">
        <f t="shared" si="32"/>
        <v>43.644868796012631</v>
      </c>
      <c r="F1034">
        <v>16482.970703125</v>
      </c>
      <c r="G1034">
        <f t="shared" si="33"/>
        <v>1.0724775358059491E-2</v>
      </c>
    </row>
    <row r="1035" spans="1:7" x14ac:dyDescent="0.25">
      <c r="A1035" s="1">
        <v>44517</v>
      </c>
      <c r="B1035">
        <v>42.255001068115199</v>
      </c>
      <c r="C1035">
        <f>C1036*(1+G1035*3)</f>
        <v>41.358006311090612</v>
      </c>
      <c r="D1035">
        <f t="shared" si="32"/>
        <v>42.284628866686539</v>
      </c>
      <c r="F1035">
        <v>16308.0703125</v>
      </c>
      <c r="G1035">
        <f t="shared" si="33"/>
        <v>-1.0418410552914814E-4</v>
      </c>
    </row>
    <row r="1036" spans="1:7" x14ac:dyDescent="0.25">
      <c r="A1036" s="1">
        <v>44516</v>
      </c>
      <c r="B1036">
        <v>42.205001831054602</v>
      </c>
      <c r="C1036">
        <f>C1037*(1+G1036*3)</f>
        <v>41.370936893255994</v>
      </c>
      <c r="D1036">
        <f t="shared" si="32"/>
        <v>42.298088816329184</v>
      </c>
      <c r="F1036">
        <v>16309.76953125</v>
      </c>
      <c r="G1036">
        <f t="shared" si="33"/>
        <v>7.4524997769589429E-3</v>
      </c>
    </row>
    <row r="1037" spans="1:7" x14ac:dyDescent="0.25">
      <c r="A1037" s="1">
        <v>44515</v>
      </c>
      <c r="B1037">
        <v>41.349998474121001</v>
      </c>
      <c r="C1037">
        <f>C1038*(1+G1037*3)</f>
        <v>40.466213550869313</v>
      </c>
      <c r="D1037">
        <f t="shared" si="32"/>
        <v>41.373319205803476</v>
      </c>
      <c r="F1037">
        <v>16189.1201171875</v>
      </c>
      <c r="G1037">
        <f t="shared" si="33"/>
        <v>-6.6479040806544099E-4</v>
      </c>
    </row>
    <row r="1038" spans="1:7" x14ac:dyDescent="0.25">
      <c r="A1038" s="1">
        <v>44512</v>
      </c>
      <c r="B1038">
        <v>41.362499237060497</v>
      </c>
      <c r="C1038">
        <f>C1039*(1+G1038*3)</f>
        <v>40.547079479408247</v>
      </c>
      <c r="D1038">
        <f t="shared" si="32"/>
        <v>41.456233139814749</v>
      </c>
      <c r="F1038">
        <v>16199.8896484375</v>
      </c>
      <c r="G1038">
        <f t="shared" si="33"/>
        <v>1.0442553438764213E-2</v>
      </c>
    </row>
    <row r="1039" spans="1:7" x14ac:dyDescent="0.25">
      <c r="A1039" s="1">
        <v>44511</v>
      </c>
      <c r="B1039">
        <v>40.090000152587798</v>
      </c>
      <c r="C1039">
        <f>C1040*(1+G1039*3)</f>
        <v>39.315419376004201</v>
      </c>
      <c r="D1039">
        <f t="shared" si="32"/>
        <v>40.197177307505996</v>
      </c>
      <c r="F1039">
        <v>16032.4697265625</v>
      </c>
      <c r="G1039">
        <f t="shared" si="33"/>
        <v>2.9338592959569088E-3</v>
      </c>
    </row>
    <row r="1040" spans="1:7" x14ac:dyDescent="0.25">
      <c r="A1040" s="1">
        <v>44510</v>
      </c>
      <c r="B1040">
        <v>39.767501831054602</v>
      </c>
      <c r="C1040">
        <f>C1041*(1+G1040*3)</f>
        <v>38.972400755279295</v>
      </c>
      <c r="D1040">
        <f t="shared" si="32"/>
        <v>39.846689267174348</v>
      </c>
      <c r="F1040">
        <v>15985.5703125</v>
      </c>
      <c r="G1040">
        <f t="shared" si="33"/>
        <v>-1.4449505422259756E-2</v>
      </c>
    </row>
    <row r="1041" spans="1:7" x14ac:dyDescent="0.25">
      <c r="A1041" s="1">
        <v>44509</v>
      </c>
      <c r="B1041">
        <v>41.590000152587798</v>
      </c>
      <c r="C1041">
        <f>C1042*(1+G1041*3)</f>
        <v>40.73834768247476</v>
      </c>
      <c r="D1041">
        <f t="shared" si="32"/>
        <v>41.652499235078324</v>
      </c>
      <c r="F1041">
        <v>16219.9404296875</v>
      </c>
      <c r="G1041">
        <f t="shared" si="33"/>
        <v>-7.1063680592440281E-3</v>
      </c>
    </row>
    <row r="1042" spans="1:7" x14ac:dyDescent="0.25">
      <c r="A1042" s="1">
        <v>44508</v>
      </c>
      <c r="B1042">
        <v>42.465000152587798</v>
      </c>
      <c r="C1042">
        <f>C1043*(1+G1042*3)</f>
        <v>41.625771849002142</v>
      </c>
      <c r="D1042">
        <f t="shared" si="32"/>
        <v>42.560083149535188</v>
      </c>
      <c r="F1042">
        <v>16336.0302734375</v>
      </c>
      <c r="G1042">
        <f t="shared" si="33"/>
        <v>-1.4272918376039279E-3</v>
      </c>
    </row>
    <row r="1043" spans="1:7" x14ac:dyDescent="0.25">
      <c r="A1043" s="1">
        <v>44505</v>
      </c>
      <c r="B1043">
        <v>42.639999389648402</v>
      </c>
      <c r="C1043">
        <f>C1044*(1+G1043*3)</f>
        <v>41.804774690066147</v>
      </c>
      <c r="D1043">
        <f t="shared" si="32"/>
        <v>42.743346946177795</v>
      </c>
      <c r="F1043">
        <v>16359.3798828125</v>
      </c>
      <c r="G1043">
        <f t="shared" si="33"/>
        <v>8.0383306797782161E-4</v>
      </c>
    </row>
    <row r="1044" spans="1:7" x14ac:dyDescent="0.25">
      <c r="A1044" s="1">
        <v>44504</v>
      </c>
      <c r="B1044">
        <v>42.482498168945298</v>
      </c>
      <c r="C1044">
        <f>C1045*(1+G1044*3)</f>
        <v>41.704205032828803</v>
      </c>
      <c r="D1044">
        <f t="shared" si="32"/>
        <v>42.640760311580273</v>
      </c>
      <c r="F1044">
        <v>16346.240234375</v>
      </c>
      <c r="G1044">
        <f t="shared" si="33"/>
        <v>1.249591095264635E-2</v>
      </c>
    </row>
    <row r="1045" spans="1:7" x14ac:dyDescent="0.25">
      <c r="A1045" s="1">
        <v>44503</v>
      </c>
      <c r="B1045">
        <v>40.955001831054602</v>
      </c>
      <c r="C1045">
        <f>C1046*(1+G1045*3)</f>
        <v>40.197299410902303</v>
      </c>
      <c r="D1045">
        <f t="shared" si="32"/>
        <v>41.100238354889605</v>
      </c>
      <c r="F1045">
        <v>16144.5</v>
      </c>
      <c r="G1045">
        <f t="shared" si="33"/>
        <v>1.0769126360447689E-2</v>
      </c>
    </row>
    <row r="1046" spans="1:7" x14ac:dyDescent="0.25">
      <c r="A1046" s="1">
        <v>44502</v>
      </c>
      <c r="B1046">
        <v>39.694999694824197</v>
      </c>
      <c r="C1046">
        <f>C1047*(1+G1046*3)</f>
        <v>38.939273539509266</v>
      </c>
      <c r="D1046">
        <f t="shared" si="32"/>
        <v>39.814172311846157</v>
      </c>
      <c r="F1046">
        <v>15972.490234375</v>
      </c>
      <c r="G1046">
        <f t="shared" si="33"/>
        <v>4.2256382649064061E-3</v>
      </c>
    </row>
    <row r="1047" spans="1:7" x14ac:dyDescent="0.25">
      <c r="A1047" s="1">
        <v>44501</v>
      </c>
      <c r="B1047">
        <v>39.172500610351499</v>
      </c>
      <c r="C1047">
        <f>C1048*(1+G1047*3)</f>
        <v>38.451823054940171</v>
      </c>
      <c r="D1047">
        <f t="shared" si="32"/>
        <v>39.315989555035287</v>
      </c>
      <c r="F1047">
        <v>15905.2802734375</v>
      </c>
      <c r="G1047">
        <f t="shared" si="33"/>
        <v>3.4579761874908854E-3</v>
      </c>
    </row>
    <row r="1048" spans="1:7" x14ac:dyDescent="0.25">
      <c r="A1048" s="1">
        <v>44498</v>
      </c>
      <c r="B1048">
        <v>38.790000915527301</v>
      </c>
      <c r="C1048">
        <f>C1049*(1+G1048*3)</f>
        <v>38.057022225076793</v>
      </c>
      <c r="D1048">
        <f t="shared" si="32"/>
        <v>38.912534113560504</v>
      </c>
      <c r="F1048">
        <v>15850.4697265625</v>
      </c>
      <c r="G1048">
        <f t="shared" si="33"/>
        <v>4.5828898677933161E-3</v>
      </c>
    </row>
    <row r="1049" spans="1:7" x14ac:dyDescent="0.25">
      <c r="A1049" s="1">
        <v>44497</v>
      </c>
      <c r="B1049">
        <v>38.224998474121001</v>
      </c>
      <c r="C1049">
        <f>C1050*(1+G1049*3)</f>
        <v>37.540885000585263</v>
      </c>
      <c r="D1049">
        <f t="shared" si="32"/>
        <v>38.385008730408522</v>
      </c>
      <c r="F1049">
        <v>15778.16015625</v>
      </c>
      <c r="G1049">
        <f t="shared" si="33"/>
        <v>1.1524940193458288E-2</v>
      </c>
    </row>
    <row r="1050" spans="1:7" x14ac:dyDescent="0.25">
      <c r="A1050" s="1">
        <v>44496</v>
      </c>
      <c r="B1050">
        <v>37.009998321533203</v>
      </c>
      <c r="C1050">
        <f>C1051*(1+G1050*3)</f>
        <v>36.286292932903208</v>
      </c>
      <c r="D1050">
        <f t="shared" si="32"/>
        <v>37.102409725773754</v>
      </c>
      <c r="F1050">
        <v>15598.3896484375</v>
      </c>
      <c r="G1050">
        <f t="shared" si="33"/>
        <v>2.5000442480154206E-3</v>
      </c>
    </row>
    <row r="1051" spans="1:7" x14ac:dyDescent="0.25">
      <c r="A1051" s="1">
        <v>44495</v>
      </c>
      <c r="B1051">
        <v>36.720001220703097</v>
      </c>
      <c r="C1051">
        <f>C1052*(1+G1051*3)</f>
        <v>36.016166900219837</v>
      </c>
      <c r="D1051">
        <f t="shared" si="32"/>
        <v>36.826415313883587</v>
      </c>
      <c r="F1051">
        <v>15559.490234375</v>
      </c>
      <c r="G1051">
        <f t="shared" si="33"/>
        <v>2.919894846773019E-3</v>
      </c>
    </row>
    <row r="1052" spans="1:7" x14ac:dyDescent="0.25">
      <c r="A1052" s="1">
        <v>44494</v>
      </c>
      <c r="B1052">
        <v>36.380001068115199</v>
      </c>
      <c r="C1052">
        <f>C1053*(1+G1052*3)</f>
        <v>35.703416236972252</v>
      </c>
      <c r="D1052">
        <f t="shared" si="32"/>
        <v>36.506833747969274</v>
      </c>
      <c r="F1052">
        <v>15514.1904296875</v>
      </c>
      <c r="G1052">
        <f t="shared" si="33"/>
        <v>1.0362708470176507E-2</v>
      </c>
    </row>
    <row r="1053" spans="1:7" x14ac:dyDescent="0.25">
      <c r="A1053" s="1">
        <v>44491</v>
      </c>
      <c r="B1053">
        <v>35.319999694824197</v>
      </c>
      <c r="C1053">
        <f>C1054*(1+G1053*3)</f>
        <v>34.626929897730008</v>
      </c>
      <c r="D1053">
        <f t="shared" si="32"/>
        <v>35.406318234146624</v>
      </c>
      <c r="F1053">
        <v>15355.0703125</v>
      </c>
      <c r="G1053">
        <f t="shared" si="33"/>
        <v>-8.684512153449786E-3</v>
      </c>
    </row>
    <row r="1054" spans="1:7" x14ac:dyDescent="0.25">
      <c r="A1054" s="1">
        <v>44490</v>
      </c>
      <c r="B1054">
        <v>36.237499237060497</v>
      </c>
      <c r="C1054">
        <f>C1055*(1+G1054*3)</f>
        <v>35.55321693133321</v>
      </c>
      <c r="D1054">
        <f t="shared" si="32"/>
        <v>36.353665702711943</v>
      </c>
      <c r="F1054">
        <v>15489.58984375</v>
      </c>
      <c r="G1054">
        <f t="shared" si="33"/>
        <v>6.555447667060621E-3</v>
      </c>
    </row>
    <row r="1055" spans="1:7" x14ac:dyDescent="0.25">
      <c r="A1055" s="1">
        <v>44489</v>
      </c>
      <c r="B1055">
        <v>35.599998474121001</v>
      </c>
      <c r="C1055">
        <f>C1056*(1+G1055*3)</f>
        <v>34.86750070291572</v>
      </c>
      <c r="D1055">
        <f t="shared" si="32"/>
        <v>35.652709237298481</v>
      </c>
      <c r="F1055">
        <v>15388.7099609375</v>
      </c>
      <c r="G1055">
        <f t="shared" si="33"/>
        <v>-1.4282114019025238E-3</v>
      </c>
    </row>
    <row r="1056" spans="1:7" x14ac:dyDescent="0.25">
      <c r="A1056" s="1">
        <v>44488</v>
      </c>
      <c r="B1056">
        <v>35.712501525878899</v>
      </c>
      <c r="C1056">
        <f>C1057*(1+G1056*3)</f>
        <v>35.017538044219648</v>
      </c>
      <c r="D1056">
        <f t="shared" si="32"/>
        <v>35.806329073125092</v>
      </c>
      <c r="F1056">
        <v>15410.7197265625</v>
      </c>
      <c r="G1056">
        <f t="shared" si="33"/>
        <v>7.1780190987924541E-3</v>
      </c>
    </row>
    <row r="1057" spans="1:7" x14ac:dyDescent="0.25">
      <c r="A1057" s="1">
        <v>44487</v>
      </c>
      <c r="B1057">
        <v>34.944999694824197</v>
      </c>
      <c r="C1057">
        <f>C1058*(1+G1057*3)</f>
        <v>34.279364250368815</v>
      </c>
      <c r="D1057">
        <f t="shared" si="32"/>
        <v>35.051721826249626</v>
      </c>
      <c r="F1057">
        <v>15300.8896484375</v>
      </c>
      <c r="G1057">
        <f t="shared" si="33"/>
        <v>1.0165084872478802E-2</v>
      </c>
    </row>
    <row r="1058" spans="1:7" x14ac:dyDescent="0.25">
      <c r="A1058" s="1">
        <v>44484</v>
      </c>
      <c r="B1058">
        <v>33.927501678466797</v>
      </c>
      <c r="C1058">
        <f>C1059*(1+G1058*3)</f>
        <v>33.264941392762424</v>
      </c>
      <c r="D1058">
        <f t="shared" si="32"/>
        <v>34.014629697885795</v>
      </c>
      <c r="F1058">
        <v>15146.919921875</v>
      </c>
      <c r="G1058">
        <f t="shared" si="33"/>
        <v>6.2780603046204142E-3</v>
      </c>
    </row>
    <row r="1059" spans="1:7" x14ac:dyDescent="0.25">
      <c r="A1059" s="1">
        <v>44483</v>
      </c>
      <c r="B1059">
        <v>33.310001373291001</v>
      </c>
      <c r="C1059">
        <f>C1060*(1+G1059*3)</f>
        <v>32.650005286360582</v>
      </c>
      <c r="D1059">
        <f t="shared" si="32"/>
        <v>33.386020453112984</v>
      </c>
      <c r="F1059">
        <v>15052.419921875</v>
      </c>
      <c r="G1059">
        <f t="shared" si="33"/>
        <v>1.8803914816325262E-2</v>
      </c>
    </row>
    <row r="1060" spans="1:7" x14ac:dyDescent="0.25">
      <c r="A1060" s="1">
        <v>44482</v>
      </c>
      <c r="B1060">
        <v>31.567499160766602</v>
      </c>
      <c r="C1060">
        <f>C1061*(1+G1060*3)</f>
        <v>30.906514867828186</v>
      </c>
      <c r="D1060">
        <f t="shared" si="32"/>
        <v>31.603396720906598</v>
      </c>
      <c r="F1060">
        <v>14774.599609375</v>
      </c>
      <c r="G1060">
        <f t="shared" si="33"/>
        <v>7.6721055233710533E-3</v>
      </c>
    </row>
    <row r="1061" spans="1:7" x14ac:dyDescent="0.25">
      <c r="A1061" s="1">
        <v>44481</v>
      </c>
      <c r="B1061">
        <v>30.8449993133544</v>
      </c>
      <c r="C1061">
        <f>C1062*(1+G1061*3)</f>
        <v>30.211165127306145</v>
      </c>
      <c r="D1061">
        <f t="shared" si="32"/>
        <v>30.892539239034484</v>
      </c>
      <c r="F1061">
        <v>14662.1103515625</v>
      </c>
      <c r="G1061">
        <f t="shared" si="33"/>
        <v>-3.5082956900110984E-3</v>
      </c>
    </row>
    <row r="1062" spans="1:7" x14ac:dyDescent="0.25">
      <c r="A1062" s="1">
        <v>44480</v>
      </c>
      <c r="B1062">
        <v>31.162500381469702</v>
      </c>
      <c r="C1062">
        <f>C1063*(1+G1062*3)</f>
        <v>30.532516414533042</v>
      </c>
      <c r="D1062">
        <f t="shared" si="32"/>
        <v>31.221316916927005</v>
      </c>
      <c r="F1062">
        <v>14713.73046875</v>
      </c>
      <c r="G1062">
        <f t="shared" si="33"/>
        <v>-7.2209254761060881E-3</v>
      </c>
    </row>
    <row r="1063" spans="1:7" x14ac:dyDescent="0.25">
      <c r="A1063" s="1">
        <v>44477</v>
      </c>
      <c r="B1063">
        <v>31.870000839233398</v>
      </c>
      <c r="C1063">
        <f>C1064*(1+G1063*3)</f>
        <v>31.208580925773145</v>
      </c>
      <c r="D1063">
        <f t="shared" si="32"/>
        <v>31.912817916602386</v>
      </c>
      <c r="F1063">
        <v>14820.75</v>
      </c>
      <c r="G1063">
        <f t="shared" si="33"/>
        <v>-5.1271542514120805E-3</v>
      </c>
    </row>
    <row r="1064" spans="1:7" x14ac:dyDescent="0.25">
      <c r="A1064" s="1">
        <v>44476</v>
      </c>
      <c r="B1064">
        <v>32.367500305175703</v>
      </c>
      <c r="C1064">
        <f>C1065*(1+G1064*3)</f>
        <v>31.696113515262194</v>
      </c>
      <c r="D1064">
        <f t="shared" si="32"/>
        <v>32.41153837166658</v>
      </c>
      <c r="F1064">
        <v>14897.1298828125</v>
      </c>
      <c r="G1064">
        <f t="shared" si="33"/>
        <v>8.8292876098328144E-3</v>
      </c>
    </row>
    <row r="1065" spans="1:7" x14ac:dyDescent="0.25">
      <c r="A1065" s="1">
        <v>44475</v>
      </c>
      <c r="B1065">
        <v>31.514999389648398</v>
      </c>
      <c r="C1065">
        <f>C1066*(1+G1065*3)</f>
        <v>30.878215576648252</v>
      </c>
      <c r="D1065">
        <f t="shared" si="32"/>
        <v>31.575353585590179</v>
      </c>
      <c r="F1065">
        <v>14766.75</v>
      </c>
      <c r="G1065">
        <f t="shared" si="33"/>
        <v>6.3103898290532978E-3</v>
      </c>
    </row>
    <row r="1066" spans="1:7" x14ac:dyDescent="0.25">
      <c r="A1066" s="1">
        <v>44474</v>
      </c>
      <c r="B1066">
        <v>30.905000686645501</v>
      </c>
      <c r="C1066">
        <f>C1067*(1+G1066*3)</f>
        <v>30.304515654565385</v>
      </c>
      <c r="D1066">
        <f t="shared" si="32"/>
        <v>30.988873495787992</v>
      </c>
      <c r="F1066">
        <v>14674.150390625</v>
      </c>
      <c r="G1066">
        <f t="shared" si="33"/>
        <v>1.3959963834017763E-2</v>
      </c>
    </row>
    <row r="1067" spans="1:7" x14ac:dyDescent="0.25">
      <c r="A1067" s="1">
        <v>44473</v>
      </c>
      <c r="B1067">
        <v>29.7600002288818</v>
      </c>
      <c r="C1067">
        <f>C1068*(1+G1067*3)</f>
        <v>29.086381167099876</v>
      </c>
      <c r="D1067">
        <f t="shared" si="32"/>
        <v>29.743391940353735</v>
      </c>
      <c r="F1067">
        <v>14472.1201171875</v>
      </c>
      <c r="G1067">
        <f t="shared" si="33"/>
        <v>-2.161660408500099E-2</v>
      </c>
    </row>
    <row r="1068" spans="1:7" x14ac:dyDescent="0.25">
      <c r="A1068" s="1">
        <v>44470</v>
      </c>
      <c r="B1068">
        <v>31.709999084472599</v>
      </c>
      <c r="C1068">
        <f>C1069*(1+G1068*3)</f>
        <v>31.103432954698121</v>
      </c>
      <c r="D1068">
        <f t="shared" si="32"/>
        <v>31.806198069759446</v>
      </c>
      <c r="F1068">
        <v>14791.8701171875</v>
      </c>
      <c r="G1068">
        <f t="shared" si="33"/>
        <v>6.9606973621028079E-3</v>
      </c>
    </row>
    <row r="1069" spans="1:7" x14ac:dyDescent="0.25">
      <c r="A1069" s="1">
        <v>44469</v>
      </c>
      <c r="B1069">
        <v>31.142499923706001</v>
      </c>
      <c r="C1069">
        <f>C1070*(1+G1069*3)</f>
        <v>30.467213790707326</v>
      </c>
      <c r="D1069">
        <f t="shared" ref="D1069:D1132" si="34">D1070*(1+3*G1069-0.0000056641801694586)</f>
        <v>31.155776742730083</v>
      </c>
      <c r="F1069">
        <v>14689.6201171875</v>
      </c>
      <c r="G1069">
        <f t="shared" si="33"/>
        <v>-4.2886195692991569E-3</v>
      </c>
    </row>
    <row r="1070" spans="1:7" x14ac:dyDescent="0.25">
      <c r="A1070" s="1">
        <v>44468</v>
      </c>
      <c r="B1070">
        <v>31.497499465942301</v>
      </c>
      <c r="C1070">
        <f>C1071*(1+G1070*3)</f>
        <v>30.864309637621766</v>
      </c>
      <c r="D1070">
        <f t="shared" si="34"/>
        <v>31.562028109941</v>
      </c>
      <c r="F1070">
        <v>14752.8896484375</v>
      </c>
      <c r="G1070">
        <f t="shared" si="33"/>
        <v>-1.1787273433999657E-3</v>
      </c>
    </row>
    <row r="1071" spans="1:7" x14ac:dyDescent="0.25">
      <c r="A1071" s="1">
        <v>44467</v>
      </c>
      <c r="B1071">
        <v>31.707500457763601</v>
      </c>
      <c r="C1071">
        <f>C1072*(1+G1071*3)</f>
        <v>30.973838769685436</v>
      </c>
      <c r="D1071">
        <f t="shared" si="34"/>
        <v>31.674213302292152</v>
      </c>
      <c r="F1071">
        <v>14770.2998046875</v>
      </c>
      <c r="G1071">
        <f t="shared" si="33"/>
        <v>-2.8577812751609866E-2</v>
      </c>
    </row>
    <row r="1072" spans="1:7" x14ac:dyDescent="0.25">
      <c r="A1072" s="1">
        <v>44466</v>
      </c>
      <c r="B1072">
        <v>34.592498779296797</v>
      </c>
      <c r="C1072">
        <f>C1073*(1+G1072*3)</f>
        <v>33.878345841022501</v>
      </c>
      <c r="D1072">
        <f t="shared" si="34"/>
        <v>34.644611168050332</v>
      </c>
      <c r="F1072">
        <v>15204.8203125</v>
      </c>
      <c r="G1072">
        <f t="shared" si="33"/>
        <v>-8.1449435047107333E-3</v>
      </c>
    </row>
    <row r="1073" spans="1:7" x14ac:dyDescent="0.25">
      <c r="A1073" s="1">
        <v>44463</v>
      </c>
      <c r="B1073">
        <v>35.447498321533203</v>
      </c>
      <c r="C1073">
        <f>C1074*(1+G1073*3)</f>
        <v>34.726891550337648</v>
      </c>
      <c r="D1073">
        <f t="shared" si="34"/>
        <v>35.512555594642279</v>
      </c>
      <c r="F1073">
        <v>15329.6796875</v>
      </c>
      <c r="G1073">
        <f t="shared" si="33"/>
        <v>8.5525680721043607E-4</v>
      </c>
    </row>
    <row r="1074" spans="1:7" x14ac:dyDescent="0.25">
      <c r="A1074" s="1">
        <v>44462</v>
      </c>
      <c r="B1074">
        <v>35.347499847412102</v>
      </c>
      <c r="C1074">
        <f>C1075*(1+G1074*3)</f>
        <v>34.638018347397974</v>
      </c>
      <c r="D1074">
        <f t="shared" si="34"/>
        <v>35.421871839461815</v>
      </c>
      <c r="F1074">
        <v>15316.580078125</v>
      </c>
      <c r="G1074">
        <f t="shared" si="33"/>
        <v>9.2294153704075566E-3</v>
      </c>
    </row>
    <row r="1075" spans="1:7" x14ac:dyDescent="0.25">
      <c r="A1075" s="1">
        <v>44461</v>
      </c>
      <c r="B1075">
        <v>34.392501831054602</v>
      </c>
      <c r="C1075">
        <f>C1076*(1+G1075*3)</f>
        <v>33.704791777534098</v>
      </c>
      <c r="D1075">
        <f t="shared" si="34"/>
        <v>34.467716454727515</v>
      </c>
      <c r="F1075">
        <v>15176.509765625</v>
      </c>
      <c r="G1075">
        <f t="shared" si="33"/>
        <v>9.8976920071669472E-3</v>
      </c>
    </row>
    <row r="1076" spans="1:7" x14ac:dyDescent="0.25">
      <c r="A1076" s="1">
        <v>44460</v>
      </c>
      <c r="B1076">
        <v>33.415000915527301</v>
      </c>
      <c r="C1076">
        <f>C1077*(1+G1076*3)</f>
        <v>32.732852694087953</v>
      </c>
      <c r="D1076">
        <f t="shared" si="34"/>
        <v>33.473961183123393</v>
      </c>
      <c r="F1076">
        <v>15027.76953125</v>
      </c>
      <c r="G1076">
        <f t="shared" si="33"/>
        <v>1.03776338539463E-3</v>
      </c>
    </row>
    <row r="1077" spans="1:7" x14ac:dyDescent="0.25">
      <c r="A1077" s="1">
        <v>44459</v>
      </c>
      <c r="B1077">
        <v>33.372501373291001</v>
      </c>
      <c r="C1077">
        <f>C1078*(1+G1077*3)</f>
        <v>32.631262106986412</v>
      </c>
      <c r="D1077">
        <f t="shared" si="34"/>
        <v>33.370258899740236</v>
      </c>
      <c r="F1077">
        <v>15012.1904296875</v>
      </c>
      <c r="G1077">
        <f t="shared" si="33"/>
        <v>-2.0952811242613945E-2</v>
      </c>
    </row>
    <row r="1078" spans="1:7" x14ac:dyDescent="0.25">
      <c r="A1078" s="1">
        <v>44456</v>
      </c>
      <c r="B1078">
        <v>35.560001373291001</v>
      </c>
      <c r="C1078">
        <f>C1079*(1+G1078*3)</f>
        <v>34.819992284399291</v>
      </c>
      <c r="D1078">
        <f t="shared" si="34"/>
        <v>35.608772244502731</v>
      </c>
      <c r="F1078">
        <v>15333.4697265625</v>
      </c>
      <c r="G1078">
        <f t="shared" si="33"/>
        <v>-1.1758280877516625E-2</v>
      </c>
    </row>
    <row r="1079" spans="1:7" x14ac:dyDescent="0.25">
      <c r="A1079" s="1">
        <v>44455</v>
      </c>
      <c r="B1079">
        <v>36.862499237060497</v>
      </c>
      <c r="C1079">
        <f>C1080*(1+G1079*3)</f>
        <v>36.093173292397978</v>
      </c>
      <c r="D1079">
        <f t="shared" si="34"/>
        <v>36.91101143489594</v>
      </c>
      <c r="F1079">
        <v>15515.91015625</v>
      </c>
      <c r="G1079">
        <f t="shared" si="33"/>
        <v>7.9852024630233664E-4</v>
      </c>
    </row>
    <row r="1080" spans="1:7" x14ac:dyDescent="0.25">
      <c r="A1080" s="1">
        <v>44454</v>
      </c>
      <c r="B1080">
        <v>36.790000915527301</v>
      </c>
      <c r="C1080">
        <f>C1081*(1+G1080*3)</f>
        <v>36.006916536813286</v>
      </c>
      <c r="D1080">
        <f t="shared" si="34"/>
        <v>36.823008254186895</v>
      </c>
      <c r="F1080">
        <v>15503.5302734375</v>
      </c>
      <c r="G1080">
        <f t="shared" si="33"/>
        <v>7.8418165462488254E-3</v>
      </c>
    </row>
    <row r="1081" spans="1:7" x14ac:dyDescent="0.25">
      <c r="A1081" s="1">
        <v>44453</v>
      </c>
      <c r="B1081">
        <v>35.992500305175703</v>
      </c>
      <c r="C1081">
        <f>C1082*(1+G1081*3)</f>
        <v>35.179307509668604</v>
      </c>
      <c r="D1081">
        <f t="shared" si="34"/>
        <v>35.976840679917828</v>
      </c>
      <c r="F1081">
        <v>15382.900390625</v>
      </c>
      <c r="G1081">
        <f t="shared" si="33"/>
        <v>-3.343134495772504E-3</v>
      </c>
    </row>
    <row r="1082" spans="1:7" x14ac:dyDescent="0.25">
      <c r="A1082" s="1">
        <v>44452</v>
      </c>
      <c r="B1082">
        <v>36.305000305175703</v>
      </c>
      <c r="C1082">
        <f>C1083*(1+G1082*3)</f>
        <v>35.535709478233905</v>
      </c>
      <c r="D1082">
        <f t="shared" si="34"/>
        <v>36.341530396587622</v>
      </c>
      <c r="F1082">
        <v>15434.5</v>
      </c>
      <c r="G1082">
        <f t="shared" si="33"/>
        <v>-4.0477308420894254E-4</v>
      </c>
    </row>
    <row r="1083" spans="1:7" x14ac:dyDescent="0.25">
      <c r="A1083" s="1">
        <v>44449</v>
      </c>
      <c r="B1083">
        <v>36.387500762939403</v>
      </c>
      <c r="C1083">
        <f>C1084*(1+G1083*3)</f>
        <v>35.578913638052136</v>
      </c>
      <c r="D1083">
        <f t="shared" si="34"/>
        <v>36.385920616927315</v>
      </c>
      <c r="F1083">
        <v>15440.75</v>
      </c>
      <c r="G1083">
        <f t="shared" si="33"/>
        <v>-7.7308283308277215E-3</v>
      </c>
    </row>
    <row r="1084" spans="1:7" x14ac:dyDescent="0.25">
      <c r="A1084" s="1">
        <v>44448</v>
      </c>
      <c r="B1084">
        <v>37.224998474121001</v>
      </c>
      <c r="C1084">
        <f>C1085*(1+G1084*3)</f>
        <v>36.423669035529834</v>
      </c>
      <c r="D1084">
        <f t="shared" si="34"/>
        <v>37.250052900809493</v>
      </c>
      <c r="F1084">
        <v>15561.0498046875</v>
      </c>
      <c r="G1084">
        <f t="shared" si="33"/>
        <v>-3.828204366784882E-3</v>
      </c>
    </row>
    <row r="1085" spans="1:7" x14ac:dyDescent="0.25">
      <c r="A1085" s="1">
        <v>44447</v>
      </c>
      <c r="B1085">
        <v>37.627498626708899</v>
      </c>
      <c r="C1085">
        <f>C1086*(1+G1085*3)</f>
        <v>36.846840745461847</v>
      </c>
      <c r="D1085">
        <f t="shared" si="34"/>
        <v>37.683041496376354</v>
      </c>
      <c r="F1085">
        <v>15620.849609375</v>
      </c>
      <c r="G1085">
        <f t="shared" si="33"/>
        <v>-3.5028704873629746E-3</v>
      </c>
    </row>
    <row r="1086" spans="1:7" x14ac:dyDescent="0.25">
      <c r="A1086" s="1">
        <v>44446</v>
      </c>
      <c r="B1086">
        <v>38.017501831054602</v>
      </c>
      <c r="C1086">
        <f>C1087*(1+G1086*3)</f>
        <v>37.238162122772337</v>
      </c>
      <c r="D1086">
        <f t="shared" si="34"/>
        <v>38.08346150808368</v>
      </c>
      <c r="F1086">
        <v>15675.759765625</v>
      </c>
      <c r="G1086">
        <f t="shared" si="33"/>
        <v>1.4629539616517473E-3</v>
      </c>
    </row>
    <row r="1087" spans="1:7" x14ac:dyDescent="0.25">
      <c r="A1087" s="1">
        <v>44442</v>
      </c>
      <c r="B1087">
        <v>37.862499237060497</v>
      </c>
      <c r="C1087">
        <f>C1088*(1+G1087*3)</f>
        <v>37.075443123579433</v>
      </c>
      <c r="D1087">
        <f t="shared" si="34"/>
        <v>37.917262649466778</v>
      </c>
      <c r="F1087">
        <v>15652.8603515625</v>
      </c>
      <c r="G1087">
        <f t="shared" si="33"/>
        <v>3.1151994849158982E-3</v>
      </c>
    </row>
    <row r="1088" spans="1:7" x14ac:dyDescent="0.25">
      <c r="A1088" s="1">
        <v>44441</v>
      </c>
      <c r="B1088">
        <v>37.525001525878899</v>
      </c>
      <c r="C1088">
        <f>C1089*(1+G1088*3)</f>
        <v>36.732159114122936</v>
      </c>
      <c r="D1088">
        <f t="shared" si="34"/>
        <v>37.56639498933356</v>
      </c>
      <c r="F1088">
        <v>15604.25</v>
      </c>
      <c r="G1088">
        <f t="shared" si="33"/>
        <v>-4.6890302214752655E-4</v>
      </c>
    </row>
    <row r="1089" spans="1:7" x14ac:dyDescent="0.25">
      <c r="A1089" s="1">
        <v>44440</v>
      </c>
      <c r="B1089">
        <v>37.577499389648402</v>
      </c>
      <c r="C1089">
        <f>C1090*(1+G1089*3)</f>
        <v>36.783903364484907</v>
      </c>
      <c r="D1089">
        <f t="shared" si="34"/>
        <v>37.619527803954043</v>
      </c>
      <c r="F1089">
        <v>15611.5703125</v>
      </c>
      <c r="G1089">
        <f t="shared" si="33"/>
        <v>1.8649464888580436E-3</v>
      </c>
    </row>
    <row r="1090" spans="1:7" x14ac:dyDescent="0.25">
      <c r="A1090" s="1">
        <v>44439</v>
      </c>
      <c r="B1090">
        <v>37.372501373291001</v>
      </c>
      <c r="C1090">
        <f>C1091*(1+G1090*3)</f>
        <v>36.579248342202334</v>
      </c>
      <c r="D1090">
        <f t="shared" si="34"/>
        <v>37.410434328949023</v>
      </c>
      <c r="F1090">
        <v>15582.509765625</v>
      </c>
      <c r="G1090">
        <f t="shared" ref="G1090:G1153" si="35">F1090/F1091-1</f>
        <v>-1.4469687999933978E-3</v>
      </c>
    </row>
    <row r="1091" spans="1:7" x14ac:dyDescent="0.25">
      <c r="A1091" s="1">
        <v>44438</v>
      </c>
      <c r="B1091">
        <v>37.477500915527301</v>
      </c>
      <c r="C1091">
        <f>C1092*(1+G1091*3)</f>
        <v>36.738727720491347</v>
      </c>
      <c r="D1091">
        <f t="shared" si="34"/>
        <v>37.573751290895892</v>
      </c>
      <c r="F1091">
        <v>15605.08984375</v>
      </c>
      <c r="G1091">
        <f t="shared" si="35"/>
        <v>1.115403382107627E-2</v>
      </c>
    </row>
    <row r="1092" spans="1:7" x14ac:dyDescent="0.25">
      <c r="A1092" s="1">
        <v>44435</v>
      </c>
      <c r="B1092">
        <v>36.275001525878899</v>
      </c>
      <c r="C1092">
        <f>C1093*(1+G1092*3)</f>
        <v>35.549177534884699</v>
      </c>
      <c r="D1092">
        <f t="shared" si="34"/>
        <v>36.35736344114968</v>
      </c>
      <c r="F1092">
        <v>15432.9501953125</v>
      </c>
      <c r="G1092">
        <f t="shared" si="35"/>
        <v>1.0107698180221947E-2</v>
      </c>
    </row>
    <row r="1093" spans="1:7" x14ac:dyDescent="0.25">
      <c r="A1093" s="1">
        <v>44434</v>
      </c>
      <c r="B1093">
        <v>35.244998931884702</v>
      </c>
      <c r="C1093">
        <f>C1094*(1+G1093*3)</f>
        <v>34.502941575557983</v>
      </c>
      <c r="D1093">
        <f t="shared" si="34"/>
        <v>35.287536025114761</v>
      </c>
      <c r="F1093">
        <v>15278.51953125</v>
      </c>
      <c r="G1093">
        <f t="shared" si="35"/>
        <v>-5.8820262636888332E-3</v>
      </c>
    </row>
    <row r="1094" spans="1:7" x14ac:dyDescent="0.25">
      <c r="A1094" s="1">
        <v>44433</v>
      </c>
      <c r="B1094">
        <v>35.852500915527301</v>
      </c>
      <c r="C1094">
        <f>C1095*(1+G1094*3)</f>
        <v>35.122719857520345</v>
      </c>
      <c r="D1094">
        <f t="shared" si="34"/>
        <v>35.921615142725813</v>
      </c>
      <c r="F1094">
        <v>15368.919921875</v>
      </c>
      <c r="G1094">
        <f t="shared" si="35"/>
        <v>7.3189665390338554E-4</v>
      </c>
    </row>
    <row r="1095" spans="1:7" x14ac:dyDescent="0.25">
      <c r="A1095" s="1">
        <v>44432</v>
      </c>
      <c r="B1095">
        <v>35.8125</v>
      </c>
      <c r="C1095">
        <f>C1096*(1+G1095*3)</f>
        <v>35.045770211666188</v>
      </c>
      <c r="D1095">
        <f t="shared" si="34"/>
        <v>35.843117790673439</v>
      </c>
      <c r="F1095">
        <v>15357.6796875</v>
      </c>
      <c r="G1095">
        <f t="shared" si="35"/>
        <v>2.9295305557384133E-3</v>
      </c>
    </row>
    <row r="1096" spans="1:7" x14ac:dyDescent="0.25">
      <c r="A1096" s="1">
        <v>44431</v>
      </c>
      <c r="B1096">
        <v>35.462501525878899</v>
      </c>
      <c r="C1096">
        <f>C1097*(1+G1096*3)</f>
        <v>34.740450577208037</v>
      </c>
      <c r="D1096">
        <f t="shared" si="34"/>
        <v>35.531051144929016</v>
      </c>
      <c r="F1096">
        <v>15312.8203125</v>
      </c>
      <c r="G1096">
        <f t="shared" si="35"/>
        <v>1.4593273076725977E-2</v>
      </c>
    </row>
    <row r="1097" spans="1:7" x14ac:dyDescent="0.25">
      <c r="A1097" s="1">
        <v>44428</v>
      </c>
      <c r="B1097">
        <v>33.950000762939403</v>
      </c>
      <c r="C1097">
        <f>C1098*(1+G1097*3)</f>
        <v>33.283313144366275</v>
      </c>
      <c r="D1097">
        <f t="shared" si="34"/>
        <v>34.040937853291339</v>
      </c>
      <c r="F1097">
        <v>15092.5703125</v>
      </c>
      <c r="G1097">
        <f t="shared" si="35"/>
        <v>1.062210496682825E-2</v>
      </c>
    </row>
    <row r="1098" spans="1:7" x14ac:dyDescent="0.25">
      <c r="A1098" s="1">
        <v>44427</v>
      </c>
      <c r="B1098">
        <v>32.932498931884702</v>
      </c>
      <c r="C1098">
        <f>C1099*(1+G1098*3)</f>
        <v>32.255450792166023</v>
      </c>
      <c r="D1098">
        <f t="shared" si="34"/>
        <v>32.989859463609008</v>
      </c>
      <c r="F1098">
        <v>14933.9404296875</v>
      </c>
      <c r="G1098">
        <f t="shared" si="35"/>
        <v>5.1164973436541583E-3</v>
      </c>
    </row>
    <row r="1099" spans="1:7" x14ac:dyDescent="0.25">
      <c r="A1099" s="1">
        <v>44426</v>
      </c>
      <c r="B1099">
        <v>32.470001220703097</v>
      </c>
      <c r="C1099">
        <f>C1100*(1+G1099*3)</f>
        <v>31.767830727572186</v>
      </c>
      <c r="D1099">
        <f t="shared" si="34"/>
        <v>32.491318269437436</v>
      </c>
      <c r="F1099">
        <v>14857.919921875</v>
      </c>
      <c r="G1099">
        <f t="shared" si="35"/>
        <v>-9.6588547291012183E-3</v>
      </c>
    </row>
    <row r="1100" spans="1:7" x14ac:dyDescent="0.25">
      <c r="A1100" s="1">
        <v>44425</v>
      </c>
      <c r="B1100">
        <v>33.442501068115199</v>
      </c>
      <c r="C1100">
        <f>C1101*(1+G1100*3)</f>
        <v>32.715822868872529</v>
      </c>
      <c r="D1100">
        <f t="shared" si="34"/>
        <v>33.461095377081818</v>
      </c>
      <c r="F1100">
        <v>15002.830078125</v>
      </c>
      <c r="G1100">
        <f t="shared" si="35"/>
        <v>-9.1104651477784682E-3</v>
      </c>
    </row>
    <row r="1101" spans="1:7" x14ac:dyDescent="0.25">
      <c r="A1101" s="1">
        <v>44424</v>
      </c>
      <c r="B1101">
        <v>34.345001220703097</v>
      </c>
      <c r="C1101">
        <f>C1102*(1+G1101*3)</f>
        <v>33.63511756790399</v>
      </c>
      <c r="D1101">
        <f t="shared" si="34"/>
        <v>34.401532111555326</v>
      </c>
      <c r="F1101">
        <v>15140.76953125</v>
      </c>
      <c r="G1101">
        <f t="shared" si="35"/>
        <v>2.7019424566265826E-4</v>
      </c>
    </row>
    <row r="1102" spans="1:7" x14ac:dyDescent="0.25">
      <c r="A1102" s="1">
        <v>44421</v>
      </c>
      <c r="B1102">
        <v>34.284999847412102</v>
      </c>
      <c r="C1102">
        <f>C1103*(1+G1102*3)</f>
        <v>33.607875604112458</v>
      </c>
      <c r="D1102">
        <f t="shared" si="34"/>
        <v>34.373863950591947</v>
      </c>
      <c r="F1102">
        <v>15136.6796875</v>
      </c>
      <c r="G1102">
        <f t="shared" si="35"/>
        <v>3.1611956055472845E-3</v>
      </c>
    </row>
    <row r="1103" spans="1:7" x14ac:dyDescent="0.25">
      <c r="A1103" s="1">
        <v>44420</v>
      </c>
      <c r="B1103">
        <v>33.944999694824197</v>
      </c>
      <c r="C1103">
        <f>C1104*(1+G1103*3)</f>
        <v>33.292146641128937</v>
      </c>
      <c r="D1103">
        <f t="shared" si="34"/>
        <v>34.051129975004393</v>
      </c>
      <c r="F1103">
        <v>15088.98046875</v>
      </c>
      <c r="G1103">
        <f t="shared" si="35"/>
        <v>4.0738409503349171E-3</v>
      </c>
    </row>
    <row r="1104" spans="1:7" x14ac:dyDescent="0.25">
      <c r="A1104" s="1">
        <v>44419</v>
      </c>
      <c r="B1104">
        <v>33.595001220703097</v>
      </c>
      <c r="C1104">
        <f>C1105*(1+G1104*3)</f>
        <v>32.890178572135952</v>
      </c>
      <c r="D1104">
        <f t="shared" si="34"/>
        <v>33.640186214546908</v>
      </c>
      <c r="F1104">
        <v>15027.759765625</v>
      </c>
      <c r="G1104">
        <f t="shared" si="35"/>
        <v>-1.7152273655832717E-3</v>
      </c>
    </row>
    <row r="1105" spans="1:7" x14ac:dyDescent="0.25">
      <c r="A1105" s="1">
        <v>44418</v>
      </c>
      <c r="B1105">
        <v>33.777500152587798</v>
      </c>
      <c r="C1105">
        <f>C1106*(1+G1105*3)</f>
        <v>33.06029634716279</v>
      </c>
      <c r="D1105">
        <f t="shared" si="34"/>
        <v>33.814375773293008</v>
      </c>
      <c r="F1105">
        <v>15053.580078125</v>
      </c>
      <c r="G1105">
        <f t="shared" si="35"/>
        <v>-5.2553818474790903E-3</v>
      </c>
    </row>
    <row r="1106" spans="1:7" x14ac:dyDescent="0.25">
      <c r="A1106" s="1">
        <v>44417</v>
      </c>
      <c r="B1106">
        <v>34.290000915527301</v>
      </c>
      <c r="C1106">
        <f>C1107*(1+G1106*3)</f>
        <v>33.589879272526339</v>
      </c>
      <c r="D1106">
        <f t="shared" si="34"/>
        <v>34.356235786909153</v>
      </c>
      <c r="F1106">
        <v>15133.1103515625</v>
      </c>
      <c r="G1106">
        <f t="shared" si="35"/>
        <v>1.5718732922762602E-3</v>
      </c>
    </row>
    <row r="1107" spans="1:7" x14ac:dyDescent="0.25">
      <c r="A1107" s="1">
        <v>44414</v>
      </c>
      <c r="B1107">
        <v>34.107498168945298</v>
      </c>
      <c r="C1107">
        <f>C1108*(1+G1107*3)</f>
        <v>33.432225604937074</v>
      </c>
      <c r="D1107">
        <f t="shared" si="34"/>
        <v>34.195178013426542</v>
      </c>
      <c r="F1107">
        <v>15109.3603515625</v>
      </c>
      <c r="G1107">
        <f t="shared" si="35"/>
        <v>-4.7609677576847531E-3</v>
      </c>
    </row>
    <row r="1108" spans="1:7" x14ac:dyDescent="0.25">
      <c r="A1108" s="1">
        <v>44413</v>
      </c>
      <c r="B1108">
        <v>34.557498931884702</v>
      </c>
      <c r="C1108">
        <f>C1109*(1+G1108*3)</f>
        <v>33.916653891819593</v>
      </c>
      <c r="D1108">
        <f t="shared" si="34"/>
        <v>34.690860716788769</v>
      </c>
      <c r="F1108">
        <v>15181.6396484375</v>
      </c>
      <c r="G1108">
        <f t="shared" si="35"/>
        <v>6.5137878348304756E-3</v>
      </c>
    </row>
    <row r="1109" spans="1:7" x14ac:dyDescent="0.25">
      <c r="A1109" s="1">
        <v>44412</v>
      </c>
      <c r="B1109">
        <v>33.919998168945298</v>
      </c>
      <c r="C1109">
        <f>C1110*(1+G1109*3)</f>
        <v>33.266579567931558</v>
      </c>
      <c r="D1109">
        <f t="shared" si="34"/>
        <v>34.026136347927284</v>
      </c>
      <c r="F1109">
        <v>15083.3896484375</v>
      </c>
      <c r="G1109">
        <f t="shared" si="35"/>
        <v>1.4586756545171831E-3</v>
      </c>
    </row>
    <row r="1110" spans="1:7" x14ac:dyDescent="0.25">
      <c r="A1110" s="1">
        <v>44411</v>
      </c>
      <c r="B1110">
        <v>33.752498626708899</v>
      </c>
      <c r="C1110">
        <f>C1111*(1+G1110*3)</f>
        <v>33.121638385280569</v>
      </c>
      <c r="D1110">
        <f t="shared" si="34"/>
        <v>33.878076861638625</v>
      </c>
      <c r="F1110">
        <v>15061.419921875</v>
      </c>
      <c r="G1110">
        <f t="shared" si="35"/>
        <v>6.5358385151175202E-3</v>
      </c>
    </row>
    <row r="1111" spans="1:7" x14ac:dyDescent="0.25">
      <c r="A1111" s="1">
        <v>44410</v>
      </c>
      <c r="B1111">
        <v>33.174999237060497</v>
      </c>
      <c r="C1111">
        <f>C1112*(1+G1111*3)</f>
        <v>32.48469423802252</v>
      </c>
      <c r="D1111">
        <f t="shared" si="34"/>
        <v>33.226770642165867</v>
      </c>
      <c r="F1111">
        <v>14963.6201171875</v>
      </c>
      <c r="G1111">
        <f t="shared" si="35"/>
        <v>2.4864647927946848E-4</v>
      </c>
    </row>
    <row r="1112" spans="1:7" x14ac:dyDescent="0.25">
      <c r="A1112" s="1">
        <v>44407</v>
      </c>
      <c r="B1112">
        <v>33.185001373291001</v>
      </c>
      <c r="C1112">
        <f>C1113*(1+G1112*3)</f>
        <v>32.460480685308156</v>
      </c>
      <c r="D1112">
        <f t="shared" si="34"/>
        <v>33.202191881015978</v>
      </c>
      <c r="F1112">
        <v>14959.900390625</v>
      </c>
      <c r="G1112">
        <f t="shared" si="35"/>
        <v>-5.8783786984683006E-3</v>
      </c>
    </row>
    <row r="1113" spans="1:7" x14ac:dyDescent="0.25">
      <c r="A1113" s="1">
        <v>44406</v>
      </c>
      <c r="B1113">
        <v>33.689998626708899</v>
      </c>
      <c r="C1113">
        <f>C1114*(1+G1113*3)</f>
        <v>33.043202050496625</v>
      </c>
      <c r="D1113">
        <f t="shared" si="34"/>
        <v>33.798423112777847</v>
      </c>
      <c r="F1113">
        <v>15048.3603515625</v>
      </c>
      <c r="G1113">
        <f t="shared" si="35"/>
        <v>2.0149514901746102E-3</v>
      </c>
    </row>
    <row r="1114" spans="1:7" x14ac:dyDescent="0.25">
      <c r="A1114" s="1">
        <v>44405</v>
      </c>
      <c r="B1114">
        <v>33.525001525878899</v>
      </c>
      <c r="C1114">
        <f>C1115*(1+G1114*3)</f>
        <v>32.844660855491469</v>
      </c>
      <c r="D1114">
        <f t="shared" si="34"/>
        <v>33.595533294307593</v>
      </c>
      <c r="F1114">
        <v>15018.099609375</v>
      </c>
      <c r="G1114">
        <f t="shared" si="35"/>
        <v>4.0870499793776993E-3</v>
      </c>
    </row>
    <row r="1115" spans="1:7" x14ac:dyDescent="0.25">
      <c r="A1115" s="1">
        <v>44404</v>
      </c>
      <c r="B1115">
        <v>33.162498474121001</v>
      </c>
      <c r="C1115">
        <f>C1116*(1+G1115*3)</f>
        <v>32.446825463467462</v>
      </c>
      <c r="D1115">
        <f t="shared" si="34"/>
        <v>33.188788568680074</v>
      </c>
      <c r="F1115">
        <v>14956.9697265625</v>
      </c>
      <c r="G1115">
        <f t="shared" si="35"/>
        <v>-1.1171560567637351E-2</v>
      </c>
    </row>
    <row r="1116" spans="1:7" x14ac:dyDescent="0.25">
      <c r="A1116" s="1">
        <v>44403</v>
      </c>
      <c r="B1116">
        <v>34.282501220703097</v>
      </c>
      <c r="C1116">
        <f>C1117*(1+G1116*3)</f>
        <v>33.571979676460671</v>
      </c>
      <c r="D1116">
        <f t="shared" si="34"/>
        <v>34.339872988847326</v>
      </c>
      <c r="F1116">
        <v>15125.9501953125</v>
      </c>
      <c r="G1116">
        <f t="shared" si="35"/>
        <v>9.3702706386178392E-4</v>
      </c>
    </row>
    <row r="1117" spans="1:7" x14ac:dyDescent="0.25">
      <c r="A1117" s="1">
        <v>44400</v>
      </c>
      <c r="B1117">
        <v>34.139999389648402</v>
      </c>
      <c r="C1117">
        <f>C1118*(1+G1117*3)</f>
        <v>33.477870663903047</v>
      </c>
      <c r="D1117">
        <f t="shared" si="34"/>
        <v>34.243804836224179</v>
      </c>
      <c r="F1117">
        <v>15111.7900390625</v>
      </c>
      <c r="G1117">
        <f t="shared" si="35"/>
        <v>1.1487159656478729E-2</v>
      </c>
    </row>
    <row r="1118" spans="1:7" x14ac:dyDescent="0.25">
      <c r="A1118" s="1">
        <v>44399</v>
      </c>
      <c r="B1118">
        <v>33.0424995422363</v>
      </c>
      <c r="C1118">
        <f>C1119*(1+G1118*3)</f>
        <v>32.362607351271095</v>
      </c>
      <c r="D1118">
        <f t="shared" si="34"/>
        <v>33.103206871334692</v>
      </c>
      <c r="F1118">
        <v>14940.169921875</v>
      </c>
      <c r="G1118">
        <f t="shared" si="35"/>
        <v>6.5716143185279297E-3</v>
      </c>
    </row>
    <row r="1119" spans="1:7" x14ac:dyDescent="0.25">
      <c r="A1119" s="1">
        <v>44398</v>
      </c>
      <c r="B1119">
        <v>32.362499237060497</v>
      </c>
      <c r="C1119">
        <f>C1120*(1+G1119*3)</f>
        <v>31.73691897773104</v>
      </c>
      <c r="D1119">
        <f t="shared" si="34"/>
        <v>32.463380305244371</v>
      </c>
      <c r="F1119">
        <v>14842.6298828125</v>
      </c>
      <c r="G1119">
        <f t="shared" si="35"/>
        <v>7.7687595558773026E-3</v>
      </c>
    </row>
    <row r="1120" spans="1:7" x14ac:dyDescent="0.25">
      <c r="A1120" s="1">
        <v>44397</v>
      </c>
      <c r="B1120">
        <v>31.639999389648398</v>
      </c>
      <c r="C1120">
        <f>C1121*(1+G1120*3)</f>
        <v>31.014095817972731</v>
      </c>
      <c r="D1120">
        <f t="shared" si="34"/>
        <v>31.724187248244949</v>
      </c>
      <c r="F1120">
        <v>14728.2099609375</v>
      </c>
      <c r="G1120">
        <f t="shared" si="35"/>
        <v>1.2311431100581638E-2</v>
      </c>
    </row>
    <row r="1121" spans="1:7" x14ac:dyDescent="0.25">
      <c r="A1121" s="1">
        <v>44396</v>
      </c>
      <c r="B1121">
        <v>30.629999160766602</v>
      </c>
      <c r="C1121">
        <f>C1122*(1+G1121*3)</f>
        <v>29.909412793379104</v>
      </c>
      <c r="D1121">
        <f t="shared" si="34"/>
        <v>30.594378781035108</v>
      </c>
      <c r="F1121">
        <v>14549.08984375</v>
      </c>
      <c r="G1121">
        <f t="shared" si="35"/>
        <v>-9.0107360560414129E-3</v>
      </c>
    </row>
    <row r="1122" spans="1:7" x14ac:dyDescent="0.25">
      <c r="A1122" s="1">
        <v>44393</v>
      </c>
      <c r="B1122">
        <v>31.382499694824201</v>
      </c>
      <c r="C1122">
        <f>C1123*(1+G1122*3)</f>
        <v>30.740393509909019</v>
      </c>
      <c r="D1122">
        <f t="shared" si="34"/>
        <v>31.444573135519878</v>
      </c>
      <c r="F1122">
        <v>14681.3798828125</v>
      </c>
      <c r="G1122">
        <f t="shared" si="35"/>
        <v>-7.6588656865457239E-3</v>
      </c>
    </row>
    <row r="1123" spans="1:7" x14ac:dyDescent="0.25">
      <c r="A1123" s="1">
        <v>44392</v>
      </c>
      <c r="B1123">
        <v>32.172500610351499</v>
      </c>
      <c r="C1123">
        <f>C1124*(1+G1123*3)</f>
        <v>31.463313383687087</v>
      </c>
      <c r="D1123">
        <f t="shared" si="34"/>
        <v>32.184239741053332</v>
      </c>
      <c r="F1123">
        <v>14794.6904296875</v>
      </c>
      <c r="G1123">
        <f t="shared" si="35"/>
        <v>-7.0971056526157872E-3</v>
      </c>
    </row>
    <row r="1124" spans="1:7" x14ac:dyDescent="0.25">
      <c r="A1124" s="1">
        <v>44391</v>
      </c>
      <c r="B1124">
        <v>32.852500915527301</v>
      </c>
      <c r="C1124">
        <f>C1125*(1+G1124*3)</f>
        <v>32.14778199973523</v>
      </c>
      <c r="D1124">
        <f t="shared" si="34"/>
        <v>32.884582065023707</v>
      </c>
      <c r="F1124">
        <v>14900.4404296875</v>
      </c>
      <c r="G1124">
        <f t="shared" si="35"/>
        <v>1.7412565737819907E-3</v>
      </c>
    </row>
    <row r="1125" spans="1:7" x14ac:dyDescent="0.25">
      <c r="A1125" s="1">
        <v>44390</v>
      </c>
      <c r="B1125">
        <v>32.674999237060497</v>
      </c>
      <c r="C1125">
        <f>C1126*(1+G1125*3)</f>
        <v>31.980722072108172</v>
      </c>
      <c r="D1125">
        <f t="shared" si="34"/>
        <v>32.713877599050733</v>
      </c>
      <c r="F1125">
        <v>14874.5400390625</v>
      </c>
      <c r="G1125">
        <f t="shared" si="35"/>
        <v>-2.251400873477527E-4</v>
      </c>
    </row>
    <row r="1126" spans="1:7" x14ac:dyDescent="0.25">
      <c r="A1126" s="1">
        <v>44389</v>
      </c>
      <c r="B1126">
        <v>32.692501068115199</v>
      </c>
      <c r="C1126">
        <f>C1127*(1+G1126*3)</f>
        <v>32.002337099017588</v>
      </c>
      <c r="D1126">
        <f t="shared" si="34"/>
        <v>32.736173697653776</v>
      </c>
      <c r="F1126">
        <v>14877.8896484375</v>
      </c>
      <c r="G1126">
        <f t="shared" si="35"/>
        <v>3.493827788271231E-3</v>
      </c>
    </row>
    <row r="1127" spans="1:7" x14ac:dyDescent="0.25">
      <c r="A1127" s="1">
        <v>44386</v>
      </c>
      <c r="B1127">
        <v>32.287498474121001</v>
      </c>
      <c r="C1127">
        <f>C1128*(1+G1127*3)</f>
        <v>31.670384490819806</v>
      </c>
      <c r="D1127">
        <f t="shared" si="34"/>
        <v>32.396790775328682</v>
      </c>
      <c r="F1127">
        <v>14826.08984375</v>
      </c>
      <c r="G1127">
        <f t="shared" si="35"/>
        <v>7.0608075860449926E-3</v>
      </c>
    </row>
    <row r="1128" spans="1:7" x14ac:dyDescent="0.25">
      <c r="A1128" s="1">
        <v>44385</v>
      </c>
      <c r="B1128">
        <v>31.75</v>
      </c>
      <c r="C1128">
        <f>C1129*(1+G1128*3)</f>
        <v>31.013444596197161</v>
      </c>
      <c r="D1128">
        <f t="shared" si="34"/>
        <v>31.72495897815249</v>
      </c>
      <c r="F1128">
        <v>14722.1396484375</v>
      </c>
      <c r="G1128">
        <f t="shared" si="35"/>
        <v>-5.9687486338678708E-3</v>
      </c>
    </row>
    <row r="1129" spans="1:7" x14ac:dyDescent="0.25">
      <c r="A1129" s="1">
        <v>44384</v>
      </c>
      <c r="B1129">
        <v>32.310001373291001</v>
      </c>
      <c r="C1129">
        <f>C1130*(1+G1129*3)</f>
        <v>31.578904220472122</v>
      </c>
      <c r="D1129">
        <f t="shared" si="34"/>
        <v>32.303577758278337</v>
      </c>
      <c r="F1129">
        <v>14810.5400390625</v>
      </c>
      <c r="G1129">
        <f t="shared" si="35"/>
        <v>1.6352697300148211E-3</v>
      </c>
    </row>
    <row r="1130" spans="1:7" x14ac:dyDescent="0.25">
      <c r="A1130" s="1">
        <v>44383</v>
      </c>
      <c r="B1130">
        <v>32.1049995422363</v>
      </c>
      <c r="C1130">
        <f>C1131*(1+G1130*3)</f>
        <v>31.424740440026678</v>
      </c>
      <c r="D1130">
        <f t="shared" si="34"/>
        <v>32.146057415446883</v>
      </c>
      <c r="F1130">
        <v>14786.3603515625</v>
      </c>
      <c r="G1130">
        <f t="shared" si="35"/>
        <v>3.9877746261494096E-3</v>
      </c>
    </row>
    <row r="1131" spans="1:7" x14ac:dyDescent="0.25">
      <c r="A1131" s="1">
        <v>44379</v>
      </c>
      <c r="B1131">
        <v>31.6800003051757</v>
      </c>
      <c r="C1131">
        <f>C1132*(1+G1131*3)</f>
        <v>31.053240466846461</v>
      </c>
      <c r="D1131">
        <f t="shared" si="34"/>
        <v>31.766207911338334</v>
      </c>
      <c r="F1131">
        <v>14727.6298828125</v>
      </c>
      <c r="G1131">
        <f t="shared" si="35"/>
        <v>1.1509581380075184E-2</v>
      </c>
    </row>
    <row r="1132" spans="1:7" x14ac:dyDescent="0.25">
      <c r="A1132" s="1">
        <v>44378</v>
      </c>
      <c r="B1132">
        <v>30.639999389648398</v>
      </c>
      <c r="C1132">
        <f>C1133*(1+G1132*3)</f>
        <v>30.016798124496905</v>
      </c>
      <c r="D1132">
        <f t="shared" si="34"/>
        <v>30.706137472123736</v>
      </c>
      <c r="F1132">
        <v>14560.0498046875</v>
      </c>
      <c r="G1132">
        <f t="shared" si="35"/>
        <v>3.6070575139812711E-4</v>
      </c>
    </row>
    <row r="1133" spans="1:7" x14ac:dyDescent="0.25">
      <c r="A1133" s="1">
        <v>44377</v>
      </c>
      <c r="B1133">
        <v>30.625</v>
      </c>
      <c r="C1133">
        <f>C1134*(1+G1133*3)</f>
        <v>29.984351540339272</v>
      </c>
      <c r="D1133">
        <f t="shared" ref="D1133:D1196" si="36">D1134*(1+3*G1133-0.0000056641801694586)</f>
        <v>30.673119298564867</v>
      </c>
      <c r="F1133">
        <v>14554.7998046875</v>
      </c>
      <c r="G1133">
        <f t="shared" si="35"/>
        <v>-1.2317644447684684E-3</v>
      </c>
    </row>
    <row r="1134" spans="1:7" x14ac:dyDescent="0.25">
      <c r="A1134" s="1">
        <v>44376</v>
      </c>
      <c r="B1134">
        <v>30.7600002288818</v>
      </c>
      <c r="C1134">
        <f>C1135*(1+G1134*3)</f>
        <v>30.095563475442241</v>
      </c>
      <c r="D1134">
        <f t="shared" si="36"/>
        <v>30.787060902962281</v>
      </c>
      <c r="F1134">
        <v>14572.75</v>
      </c>
      <c r="G1134">
        <f t="shared" si="35"/>
        <v>3.2887845427933549E-3</v>
      </c>
    </row>
    <row r="1135" spans="1:7" x14ac:dyDescent="0.25">
      <c r="A1135" s="1">
        <v>44375</v>
      </c>
      <c r="B1135">
        <v>30.4174995422363</v>
      </c>
      <c r="C1135">
        <f>C1136*(1+G1135*3)</f>
        <v>29.801531031617163</v>
      </c>
      <c r="D1135">
        <f t="shared" si="36"/>
        <v>30.486443550728151</v>
      </c>
      <c r="F1135">
        <v>14524.98046875</v>
      </c>
      <c r="G1135">
        <f t="shared" si="35"/>
        <v>1.253388142685119E-2</v>
      </c>
    </row>
    <row r="1136" spans="1:7" x14ac:dyDescent="0.25">
      <c r="A1136" s="1">
        <v>44372</v>
      </c>
      <c r="B1136">
        <v>29.377500534057599</v>
      </c>
      <c r="C1136">
        <f>C1137*(1+G1136*3)</f>
        <v>28.721553397576564</v>
      </c>
      <c r="D1136">
        <f t="shared" si="36"/>
        <v>29.381805765842198</v>
      </c>
      <c r="F1136">
        <v>14345.1796875</v>
      </c>
      <c r="G1136">
        <f t="shared" si="35"/>
        <v>-1.4464938990504939E-3</v>
      </c>
    </row>
    <row r="1137" spans="1:7" x14ac:dyDescent="0.25">
      <c r="A1137" s="1">
        <v>44371</v>
      </c>
      <c r="B1137">
        <v>29.4699993133544</v>
      </c>
      <c r="C1137">
        <f>C1138*(1+G1137*3)</f>
        <v>28.846733268618344</v>
      </c>
      <c r="D1137">
        <f t="shared" si="36"/>
        <v>29.510031156059561</v>
      </c>
      <c r="F1137">
        <v>14365.9599609375</v>
      </c>
      <c r="G1137">
        <f t="shared" si="35"/>
        <v>6.4255417490888256E-3</v>
      </c>
    </row>
    <row r="1138" spans="1:7" x14ac:dyDescent="0.25">
      <c r="A1138" s="1">
        <v>44370</v>
      </c>
      <c r="B1138">
        <v>28.9375</v>
      </c>
      <c r="C1138">
        <f>C1139*(1+G1138*3)</f>
        <v>28.301181989354863</v>
      </c>
      <c r="D1138">
        <f t="shared" si="36"/>
        <v>28.952096432890492</v>
      </c>
      <c r="F1138">
        <v>14274.240234375</v>
      </c>
      <c r="G1138">
        <f t="shared" si="35"/>
        <v>2.6770848516832757E-4</v>
      </c>
    </row>
    <row r="1139" spans="1:7" x14ac:dyDescent="0.25">
      <c r="A1139" s="1">
        <v>44369</v>
      </c>
      <c r="B1139">
        <v>28.8875007629394</v>
      </c>
      <c r="C1139">
        <f>C1140*(1+G1139*3)</f>
        <v>28.278470829588866</v>
      </c>
      <c r="D1139">
        <f t="shared" si="36"/>
        <v>28.929026654400463</v>
      </c>
      <c r="F1139">
        <v>14270.419921875</v>
      </c>
      <c r="G1139">
        <f t="shared" si="35"/>
        <v>9.421184256662718E-3</v>
      </c>
    </row>
    <row r="1140" spans="1:7" x14ac:dyDescent="0.25">
      <c r="A1140" s="1">
        <v>44368</v>
      </c>
      <c r="B1140">
        <v>28.102500915527301</v>
      </c>
      <c r="C1140">
        <f>C1141*(1+G1140*3)</f>
        <v>27.50118950867304</v>
      </c>
      <c r="D1140">
        <f t="shared" si="36"/>
        <v>28.134018688710995</v>
      </c>
      <c r="F1140">
        <v>14137.23046875</v>
      </c>
      <c r="G1140">
        <f t="shared" si="35"/>
        <v>6.2386484249070673E-3</v>
      </c>
    </row>
    <row r="1141" spans="1:7" x14ac:dyDescent="0.25">
      <c r="A1141" s="1">
        <v>44365</v>
      </c>
      <c r="B1141">
        <v>27.597499847412099</v>
      </c>
      <c r="C1141">
        <f>C1142*(1+G1141*3)</f>
        <v>26.995935065350022</v>
      </c>
      <c r="D1141">
        <f t="shared" si="36"/>
        <v>27.617291403481708</v>
      </c>
      <c r="F1141">
        <v>14049.580078125</v>
      </c>
      <c r="G1141">
        <f t="shared" si="35"/>
        <v>-8.0648847769688725E-3</v>
      </c>
    </row>
    <row r="1142" spans="1:7" x14ac:dyDescent="0.25">
      <c r="A1142" s="1">
        <v>44364</v>
      </c>
      <c r="B1142">
        <v>28.272499084472599</v>
      </c>
      <c r="C1142">
        <f>C1143*(1+G1142*3)</f>
        <v>27.665287124287438</v>
      </c>
      <c r="D1142">
        <f t="shared" si="36"/>
        <v>28.302213996772231</v>
      </c>
      <c r="F1142">
        <v>14163.8095703125</v>
      </c>
      <c r="G1142">
        <f t="shared" si="35"/>
        <v>1.292996341402608E-2</v>
      </c>
    </row>
    <row r="1143" spans="1:7" x14ac:dyDescent="0.25">
      <c r="A1143" s="1">
        <v>44363</v>
      </c>
      <c r="B1143">
        <v>27.254999160766602</v>
      </c>
      <c r="C1143">
        <f>C1144*(1+G1143*3)</f>
        <v>26.632226000813656</v>
      </c>
      <c r="D1143">
        <f t="shared" si="36"/>
        <v>27.245517679901212</v>
      </c>
      <c r="F1143">
        <v>13983.009765625</v>
      </c>
      <c r="G1143">
        <f t="shared" si="35"/>
        <v>-3.3784037741679818E-3</v>
      </c>
    </row>
    <row r="1144" spans="1:7" x14ac:dyDescent="0.25">
      <c r="A1144" s="1">
        <v>44362</v>
      </c>
      <c r="B1144">
        <v>27.549999237060501</v>
      </c>
      <c r="C1144">
        <f>C1145*(1+G1144*3)</f>
        <v>26.904912979474208</v>
      </c>
      <c r="D1144">
        <f t="shared" si="36"/>
        <v>27.524641644069419</v>
      </c>
      <c r="F1144">
        <v>14030.41015625</v>
      </c>
      <c r="G1144">
        <f t="shared" si="35"/>
        <v>-6.9216204265667436E-3</v>
      </c>
    </row>
    <row r="1145" spans="1:7" x14ac:dyDescent="0.25">
      <c r="A1145" s="1">
        <v>44361</v>
      </c>
      <c r="B1145">
        <v>28.069999694824201</v>
      </c>
      <c r="C1145">
        <f>C1146*(1+G1145*3)</f>
        <v>27.47543660926479</v>
      </c>
      <c r="D1145">
        <f t="shared" si="36"/>
        <v>28.108469321754896</v>
      </c>
      <c r="F1145">
        <v>14128.2001953125</v>
      </c>
      <c r="G1145">
        <f t="shared" si="35"/>
        <v>9.2797262837234218E-3</v>
      </c>
    </row>
    <row r="1146" spans="1:7" x14ac:dyDescent="0.25">
      <c r="A1146" s="1">
        <v>44358</v>
      </c>
      <c r="B1146">
        <v>27.3050003051757</v>
      </c>
      <c r="C1146">
        <f>C1147*(1+G1146*3)</f>
        <v>26.731260273591104</v>
      </c>
      <c r="D1146">
        <f t="shared" si="36"/>
        <v>27.347297904322705</v>
      </c>
      <c r="F1146">
        <v>13998.2998046875</v>
      </c>
      <c r="G1146">
        <f t="shared" si="35"/>
        <v>2.7184272868792103E-3</v>
      </c>
    </row>
    <row r="1147" spans="1:7" x14ac:dyDescent="0.25">
      <c r="A1147" s="1">
        <v>44357</v>
      </c>
      <c r="B1147">
        <v>27.090000152587798</v>
      </c>
      <c r="C1147">
        <f>C1148*(1+G1147*3)</f>
        <v>26.515022789203915</v>
      </c>
      <c r="D1147">
        <f t="shared" si="36"/>
        <v>27.126229504746391</v>
      </c>
      <c r="F1147">
        <v>13960.349609375</v>
      </c>
      <c r="G1147">
        <f t="shared" si="35"/>
        <v>1.052550175135214E-2</v>
      </c>
    </row>
    <row r="1148" spans="1:7" x14ac:dyDescent="0.25">
      <c r="A1148" s="1">
        <v>44356</v>
      </c>
      <c r="B1148">
        <v>26.284999847412099</v>
      </c>
      <c r="C1148">
        <f>C1149*(1+G1148*3)</f>
        <v>25.703399267196186</v>
      </c>
      <c r="D1148">
        <f t="shared" si="36"/>
        <v>26.296041362033282</v>
      </c>
      <c r="F1148">
        <v>13814.9404296875</v>
      </c>
      <c r="G1148">
        <f t="shared" si="35"/>
        <v>2.954253407201346E-4</v>
      </c>
    </row>
    <row r="1149" spans="1:7" x14ac:dyDescent="0.25">
      <c r="A1149" s="1">
        <v>44355</v>
      </c>
      <c r="B1149">
        <v>26.254999160766602</v>
      </c>
      <c r="C1149">
        <f>C1150*(1+G1149*3)</f>
        <v>25.680639132499298</v>
      </c>
      <c r="D1149">
        <f t="shared" si="36"/>
        <v>26.272905130651729</v>
      </c>
      <c r="F1149">
        <v>13810.8603515625</v>
      </c>
      <c r="G1149">
        <f t="shared" si="35"/>
        <v>5.774662645297024E-4</v>
      </c>
    </row>
    <row r="1150" spans="1:7" x14ac:dyDescent="0.25">
      <c r="A1150" s="1">
        <v>44354</v>
      </c>
      <c r="B1150">
        <v>26.225000381469702</v>
      </c>
      <c r="C1150">
        <f>C1151*(1+G1150*3)</f>
        <v>25.636226963834975</v>
      </c>
      <c r="D1150">
        <f t="shared" si="36"/>
        <v>26.227616996556264</v>
      </c>
      <c r="F1150">
        <v>13802.8896484375</v>
      </c>
      <c r="G1150">
        <f t="shared" si="35"/>
        <v>2.3324852772106386E-3</v>
      </c>
    </row>
    <row r="1151" spans="1:7" x14ac:dyDescent="0.25">
      <c r="A1151" s="1">
        <v>44351</v>
      </c>
      <c r="B1151">
        <v>25.995000839233398</v>
      </c>
      <c r="C1151">
        <f>C1152*(1+G1151*3)</f>
        <v>25.458085137527203</v>
      </c>
      <c r="D1151">
        <f t="shared" si="36"/>
        <v>26.045512201785758</v>
      </c>
      <c r="F1151">
        <v>13770.76953125</v>
      </c>
      <c r="G1151">
        <f t="shared" si="35"/>
        <v>1.7819331227238333E-2</v>
      </c>
    </row>
    <row r="1152" spans="1:7" x14ac:dyDescent="0.25">
      <c r="A1152" s="1">
        <v>44350</v>
      </c>
      <c r="B1152">
        <v>24.727500915527301</v>
      </c>
      <c r="C1152">
        <f>C1153*(1+G1152*3)</f>
        <v>24.166208135698046</v>
      </c>
      <c r="D1152">
        <f t="shared" si="36"/>
        <v>24.72395899879924</v>
      </c>
      <c r="F1152">
        <v>13529.6796875</v>
      </c>
      <c r="G1152">
        <f t="shared" si="35"/>
        <v>-1.0683869169178628E-2</v>
      </c>
    </row>
    <row r="1153" spans="1:7" x14ac:dyDescent="0.25">
      <c r="A1153" s="1">
        <v>44349</v>
      </c>
      <c r="B1153">
        <v>25.530000686645501</v>
      </c>
      <c r="C1153">
        <f>C1154*(1+G1153*3)</f>
        <v>24.966422097639043</v>
      </c>
      <c r="D1153">
        <f t="shared" si="36"/>
        <v>25.542791195826169</v>
      </c>
      <c r="F1153">
        <v>13675.7900390625</v>
      </c>
      <c r="G1153">
        <f t="shared" si="35"/>
        <v>1.5526057944688088E-3</v>
      </c>
    </row>
    <row r="1154" spans="1:7" x14ac:dyDescent="0.25">
      <c r="A1154" s="1">
        <v>44348</v>
      </c>
      <c r="B1154">
        <v>25.397499084472599</v>
      </c>
      <c r="C1154">
        <f>C1155*(1+G1154*3)</f>
        <v>24.850672204654867</v>
      </c>
      <c r="D1154">
        <f t="shared" si="36"/>
        <v>25.424512468704151</v>
      </c>
      <c r="F1154">
        <v>13654.58984375</v>
      </c>
      <c r="G1154">
        <f t="shared" ref="G1154:G1217" si="37">F1154/F1155-1</f>
        <v>-2.332217813132309E-3</v>
      </c>
    </row>
    <row r="1155" spans="1:7" x14ac:dyDescent="0.25">
      <c r="A1155" s="1">
        <v>44344</v>
      </c>
      <c r="B1155">
        <v>25.647499084472599</v>
      </c>
      <c r="C1155">
        <f>C1156*(1+G1155*3)</f>
        <v>25.025768836256614</v>
      </c>
      <c r="D1155">
        <f t="shared" si="36"/>
        <v>25.603798397349738</v>
      </c>
      <c r="F1155">
        <v>13686.509765625</v>
      </c>
      <c r="G1155">
        <f t="shared" si="37"/>
        <v>2.0984384123199362E-3</v>
      </c>
    </row>
    <row r="1156" spans="1:7" x14ac:dyDescent="0.25">
      <c r="A1156" s="1">
        <v>44343</v>
      </c>
      <c r="B1156">
        <v>25.399999618530199</v>
      </c>
      <c r="C1156">
        <f>C1157*(1+G1156*3)</f>
        <v>24.869209323868919</v>
      </c>
      <c r="D1156">
        <f t="shared" si="36"/>
        <v>25.443765987716375</v>
      </c>
      <c r="F1156">
        <v>13657.849609375</v>
      </c>
      <c r="G1156">
        <f t="shared" si="37"/>
        <v>-3.2760326936204232E-3</v>
      </c>
    </row>
    <row r="1157" spans="1:7" x14ac:dyDescent="0.25">
      <c r="A1157" s="1">
        <v>44342</v>
      </c>
      <c r="B1157">
        <v>25.7000007629394</v>
      </c>
      <c r="C1157">
        <f>C1158*(1+G1157*3)</f>
        <v>25.11605234976647</v>
      </c>
      <c r="D1157">
        <f t="shared" si="36"/>
        <v>25.696458855047268</v>
      </c>
      <c r="F1157">
        <v>13702.740234375</v>
      </c>
      <c r="G1157">
        <f t="shared" si="37"/>
        <v>3.2955523414366361E-3</v>
      </c>
    </row>
    <row r="1158" spans="1:7" x14ac:dyDescent="0.25">
      <c r="A1158" s="1">
        <v>44341</v>
      </c>
      <c r="B1158">
        <v>25.442499160766602</v>
      </c>
      <c r="C1158">
        <f>C1159*(1+G1158*3)</f>
        <v>24.870169513648577</v>
      </c>
      <c r="D1158">
        <f t="shared" si="36"/>
        <v>25.445036630185516</v>
      </c>
      <c r="F1158">
        <v>13657.73046875</v>
      </c>
      <c r="G1158">
        <f t="shared" si="37"/>
        <v>1.1714383235288395E-3</v>
      </c>
    </row>
    <row r="1159" spans="1:7" x14ac:dyDescent="0.25">
      <c r="A1159" s="1">
        <v>44340</v>
      </c>
      <c r="B1159">
        <v>25.319999694824201</v>
      </c>
      <c r="C1159">
        <f>C1160*(1+G1159*3)</f>
        <v>24.783073985723394</v>
      </c>
      <c r="D1159">
        <f t="shared" si="36"/>
        <v>25.356071031518908</v>
      </c>
      <c r="F1159">
        <v>13641.75</v>
      </c>
      <c r="G1159">
        <f t="shared" si="37"/>
        <v>1.714988223791214E-2</v>
      </c>
    </row>
    <row r="1160" spans="1:7" x14ac:dyDescent="0.25">
      <c r="A1160" s="1">
        <v>44337</v>
      </c>
      <c r="B1160">
        <v>24.112499237060501</v>
      </c>
      <c r="C1160">
        <f>C1161*(1+G1160*3)</f>
        <v>23.57038595541108</v>
      </c>
      <c r="D1160">
        <f t="shared" si="36"/>
        <v>24.115474958942407</v>
      </c>
      <c r="F1160">
        <v>13411.740234375</v>
      </c>
      <c r="G1160">
        <f t="shared" si="37"/>
        <v>-6.1026427368231495E-3</v>
      </c>
    </row>
    <row r="1161" spans="1:7" x14ac:dyDescent="0.25">
      <c r="A1161" s="1">
        <v>44336</v>
      </c>
      <c r="B1161">
        <v>24.517499923706001</v>
      </c>
      <c r="C1161">
        <f>C1162*(1+G1161*3)</f>
        <v>24.009958552934553</v>
      </c>
      <c r="D1161">
        <f t="shared" si="36"/>
        <v>24.565354854682464</v>
      </c>
      <c r="F1161">
        <v>13494.08984375</v>
      </c>
      <c r="G1161">
        <f t="shared" si="37"/>
        <v>1.9351973572584669E-2</v>
      </c>
    </row>
    <row r="1162" spans="1:7" x14ac:dyDescent="0.25">
      <c r="A1162" s="1">
        <v>44335</v>
      </c>
      <c r="B1162">
        <v>23.1774997711181</v>
      </c>
      <c r="C1162">
        <f>C1163*(1+G1162*3)</f>
        <v>22.692523223769594</v>
      </c>
      <c r="D1162">
        <f t="shared" si="36"/>
        <v>23.217569017062893</v>
      </c>
      <c r="F1162">
        <v>13237.91015625</v>
      </c>
      <c r="G1162">
        <f t="shared" si="37"/>
        <v>1.5305612806710833E-3</v>
      </c>
    </row>
    <row r="1163" spans="1:7" x14ac:dyDescent="0.25">
      <c r="A1163" s="1">
        <v>44334</v>
      </c>
      <c r="B1163">
        <v>23.092500686645501</v>
      </c>
      <c r="C1163">
        <f>C1164*(1+G1163*3)</f>
        <v>22.588802583934516</v>
      </c>
      <c r="D1163">
        <f t="shared" si="36"/>
        <v>23.111578861985574</v>
      </c>
      <c r="F1163">
        <v>13217.6796875</v>
      </c>
      <c r="G1163">
        <f t="shared" si="37"/>
        <v>-7.153242050934483E-3</v>
      </c>
    </row>
    <row r="1164" spans="1:7" x14ac:dyDescent="0.25">
      <c r="A1164" s="1">
        <v>44333</v>
      </c>
      <c r="B1164">
        <v>23.587499618530199</v>
      </c>
      <c r="C1164">
        <f>C1165*(1+G1164*3)</f>
        <v>23.084182825838255</v>
      </c>
      <c r="D1164">
        <f t="shared" si="36"/>
        <v>23.618560481831004</v>
      </c>
      <c r="F1164">
        <v>13312.91015625</v>
      </c>
      <c r="G1164">
        <f t="shared" si="37"/>
        <v>-5.9888928222607829E-3</v>
      </c>
    </row>
    <row r="1165" spans="1:7" x14ac:dyDescent="0.25">
      <c r="A1165" s="1">
        <v>44330</v>
      </c>
      <c r="B1165">
        <v>23.9925003051757</v>
      </c>
      <c r="C1165">
        <f>C1166*(1+G1165*3)</f>
        <v>23.506516856065176</v>
      </c>
      <c r="D1165">
        <f t="shared" si="36"/>
        <v>24.050809877893194</v>
      </c>
      <c r="F1165">
        <v>13393.1201171875</v>
      </c>
      <c r="G1165">
        <f t="shared" si="37"/>
        <v>2.1661947426095729E-2</v>
      </c>
    </row>
    <row r="1166" spans="1:7" x14ac:dyDescent="0.25">
      <c r="A1166" s="1">
        <v>44329</v>
      </c>
      <c r="B1166">
        <v>22.527500152587798</v>
      </c>
      <c r="C1166">
        <f>C1167*(1+G1166*3)</f>
        <v>22.072140232191728</v>
      </c>
      <c r="D1166">
        <f t="shared" si="36"/>
        <v>22.583340396855132</v>
      </c>
      <c r="F1166">
        <v>13109.150390625</v>
      </c>
      <c r="G1166">
        <f t="shared" si="37"/>
        <v>8.2697714657018473E-3</v>
      </c>
    </row>
    <row r="1167" spans="1:7" x14ac:dyDescent="0.25">
      <c r="A1167" s="1">
        <v>44328</v>
      </c>
      <c r="B1167">
        <v>22.0625</v>
      </c>
      <c r="C1167">
        <f>C1168*(1+G1167*3)</f>
        <v>21.53780212778096</v>
      </c>
      <c r="D1167">
        <f t="shared" si="36"/>
        <v>22.036748592839778</v>
      </c>
      <c r="F1167">
        <v>13001.6298828125</v>
      </c>
      <c r="G1167">
        <f t="shared" si="37"/>
        <v>-2.6187745488856495E-2</v>
      </c>
    </row>
    <row r="1168" spans="1:7" x14ac:dyDescent="0.25">
      <c r="A1168" s="1">
        <v>44327</v>
      </c>
      <c r="B1168">
        <v>23.879999160766602</v>
      </c>
      <c r="C1168">
        <f>C1169*(1+G1168*3)</f>
        <v>23.374151086820131</v>
      </c>
      <c r="D1168">
        <f t="shared" si="36"/>
        <v>23.91578557344879</v>
      </c>
      <c r="F1168">
        <v>13351.26953125</v>
      </c>
      <c r="G1168">
        <f t="shared" si="37"/>
        <v>-5.8466202981966031E-4</v>
      </c>
    </row>
    <row r="1169" spans="1:7" x14ac:dyDescent="0.25">
      <c r="A1169" s="1">
        <v>44326</v>
      </c>
      <c r="B1169">
        <v>24</v>
      </c>
      <c r="C1169">
        <f>C1170*(1+G1169*3)</f>
        <v>23.415221058838942</v>
      </c>
      <c r="D1169">
        <f t="shared" si="36"/>
        <v>23.957943174615746</v>
      </c>
      <c r="F1169">
        <v>13359.080078125</v>
      </c>
      <c r="G1169">
        <f t="shared" si="37"/>
        <v>-2.6279849220946172E-2</v>
      </c>
    </row>
    <row r="1170" spans="1:7" x14ac:dyDescent="0.25">
      <c r="A1170" s="1">
        <v>44323</v>
      </c>
      <c r="B1170">
        <v>25.9500007629394</v>
      </c>
      <c r="C1170">
        <f>C1171*(1+G1170*3)</f>
        <v>25.419264363151953</v>
      </c>
      <c r="D1170">
        <f t="shared" si="36"/>
        <v>26.008596473291743</v>
      </c>
      <c r="F1170">
        <v>13719.6298828125</v>
      </c>
      <c r="G1170">
        <f t="shared" si="37"/>
        <v>7.7788681291721673E-3</v>
      </c>
    </row>
    <row r="1171" spans="1:7" x14ac:dyDescent="0.25">
      <c r="A1171" s="1">
        <v>44322</v>
      </c>
      <c r="B1171">
        <v>25.329999923706001</v>
      </c>
      <c r="C1171">
        <f>C1172*(1+G1171*3)</f>
        <v>24.839592617099623</v>
      </c>
      <c r="D1171">
        <f t="shared" si="36"/>
        <v>25.415626022234694</v>
      </c>
      <c r="F1171">
        <v>13613.73046875</v>
      </c>
      <c r="G1171">
        <f t="shared" si="37"/>
        <v>8.172800612347153E-3</v>
      </c>
    </row>
    <row r="1172" spans="1:7" x14ac:dyDescent="0.25">
      <c r="A1172" s="1">
        <v>44321</v>
      </c>
      <c r="B1172">
        <v>24.787500381469702</v>
      </c>
      <c r="C1172">
        <f>C1173*(1+G1172*3)</f>
        <v>24.245140519253042</v>
      </c>
      <c r="D1172">
        <f t="shared" si="36"/>
        <v>24.80752565396298</v>
      </c>
      <c r="F1172">
        <v>13503.3701171875</v>
      </c>
      <c r="G1172">
        <f t="shared" si="37"/>
        <v>-3.0491554925823339E-3</v>
      </c>
    </row>
    <row r="1173" spans="1:7" x14ac:dyDescent="0.25">
      <c r="A1173" s="1">
        <v>44320</v>
      </c>
      <c r="B1173">
        <v>25.079999923706001</v>
      </c>
      <c r="C1173">
        <f>C1174*(1+G1173*3)</f>
        <v>24.468969598399411</v>
      </c>
      <c r="D1173">
        <f t="shared" si="36"/>
        <v>25.036689746453991</v>
      </c>
      <c r="F1173">
        <v>13544.669921875</v>
      </c>
      <c r="G1173">
        <f t="shared" si="37"/>
        <v>-1.8482245273182318E-2</v>
      </c>
    </row>
    <row r="1174" spans="1:7" x14ac:dyDescent="0.25">
      <c r="A1174" s="1">
        <v>44319</v>
      </c>
      <c r="B1174">
        <v>26.475000381469702</v>
      </c>
      <c r="C1174">
        <f>C1175*(1+G1174*3)</f>
        <v>25.905335915206486</v>
      </c>
      <c r="D1174">
        <f t="shared" si="36"/>
        <v>26.50654106415227</v>
      </c>
      <c r="F1174">
        <v>13799.7197265625</v>
      </c>
      <c r="G1174">
        <f t="shared" si="37"/>
        <v>-4.4038018185612593E-3</v>
      </c>
    </row>
    <row r="1175" spans="1:7" x14ac:dyDescent="0.25">
      <c r="A1175" s="1">
        <v>44316</v>
      </c>
      <c r="B1175">
        <v>26.915000915527301</v>
      </c>
      <c r="C1175">
        <f>C1176*(1+G1175*3)</f>
        <v>26.252163896532643</v>
      </c>
      <c r="D1175">
        <f t="shared" si="36"/>
        <v>26.86157233624898</v>
      </c>
      <c r="F1175">
        <v>13860.759765625</v>
      </c>
      <c r="G1175">
        <f t="shared" si="37"/>
        <v>-7.8338483455820951E-3</v>
      </c>
    </row>
    <row r="1176" spans="1:7" x14ac:dyDescent="0.25">
      <c r="A1176" s="1">
        <v>44315</v>
      </c>
      <c r="B1176">
        <v>27.4300003051757</v>
      </c>
      <c r="C1176">
        <f>C1177*(1+G1176*3)</f>
        <v>26.883978938318474</v>
      </c>
      <c r="D1176">
        <f t="shared" si="36"/>
        <v>27.508213670177462</v>
      </c>
      <c r="F1176">
        <v>13970.2001953125</v>
      </c>
      <c r="G1176">
        <f t="shared" si="37"/>
        <v>4.9332435749851467E-3</v>
      </c>
    </row>
    <row r="1177" spans="1:7" x14ac:dyDescent="0.25">
      <c r="A1177" s="1">
        <v>44314</v>
      </c>
      <c r="B1177">
        <v>27.1574993133544</v>
      </c>
      <c r="C1177">
        <f>C1178*(1+G1177*3)</f>
        <v>26.491905865123776</v>
      </c>
      <c r="D1177">
        <f t="shared" si="36"/>
        <v>27.10718812521106</v>
      </c>
      <c r="F1177">
        <v>13901.6201171875</v>
      </c>
      <c r="G1177">
        <f t="shared" si="37"/>
        <v>-4.2019325615986203E-3</v>
      </c>
    </row>
    <row r="1178" spans="1:7" x14ac:dyDescent="0.25">
      <c r="A1178" s="1">
        <v>44313</v>
      </c>
      <c r="B1178">
        <v>27.440000534057599</v>
      </c>
      <c r="C1178">
        <f>C1179*(1+G1178*3)</f>
        <v>26.830120941571835</v>
      </c>
      <c r="D1178">
        <f t="shared" si="36"/>
        <v>27.453415832039866</v>
      </c>
      <c r="F1178">
        <v>13960.2802734375</v>
      </c>
      <c r="G1178">
        <f t="shared" si="37"/>
        <v>-4.6969293148377833E-3</v>
      </c>
    </row>
    <row r="1179" spans="1:7" x14ac:dyDescent="0.25">
      <c r="A1179" s="1">
        <v>44312</v>
      </c>
      <c r="B1179">
        <v>27.8050003051757</v>
      </c>
      <c r="C1179">
        <f>C1180*(1+G1179*3)</f>
        <v>27.213581751239225</v>
      </c>
      <c r="D1179">
        <f t="shared" si="36"/>
        <v>27.845944860634354</v>
      </c>
      <c r="F1179">
        <v>14026.16015625</v>
      </c>
      <c r="G1179">
        <f t="shared" si="37"/>
        <v>6.0768273543738704E-3</v>
      </c>
    </row>
    <row r="1180" spans="1:7" x14ac:dyDescent="0.25">
      <c r="A1180" s="1">
        <v>44309</v>
      </c>
      <c r="B1180">
        <v>27.264999389648398</v>
      </c>
      <c r="C1180">
        <f>C1181*(1+G1180*3)</f>
        <v>26.72634755158726</v>
      </c>
      <c r="D1180">
        <f t="shared" si="36"/>
        <v>27.347540908038766</v>
      </c>
      <c r="F1180">
        <v>13941.4404296875</v>
      </c>
      <c r="G1180">
        <f t="shared" si="37"/>
        <v>1.3012308466742617E-2</v>
      </c>
    </row>
    <row r="1181" spans="1:7" x14ac:dyDescent="0.25">
      <c r="A1181" s="1">
        <v>44308</v>
      </c>
      <c r="B1181">
        <v>26.274999618530199</v>
      </c>
      <c r="C1181">
        <f>C1182*(1+G1181*3)</f>
        <v>25.722230748721955</v>
      </c>
      <c r="D1181">
        <f t="shared" si="36"/>
        <v>26.320229168010357</v>
      </c>
      <c r="F1181">
        <v>13762.3603515625</v>
      </c>
      <c r="G1181">
        <f t="shared" si="37"/>
        <v>-1.2399581936248461E-2</v>
      </c>
    </row>
    <row r="1182" spans="1:7" x14ac:dyDescent="0.25">
      <c r="A1182" s="1">
        <v>44307</v>
      </c>
      <c r="B1182">
        <v>27.267499923706001</v>
      </c>
      <c r="C1182">
        <f>C1183*(1+G1182*3)</f>
        <v>26.716033695166324</v>
      </c>
      <c r="D1182">
        <f t="shared" si="36"/>
        <v>27.337297180294851</v>
      </c>
      <c r="F1182">
        <v>13935.150390625</v>
      </c>
      <c r="G1182">
        <f t="shared" si="37"/>
        <v>9.1134661219232083E-3</v>
      </c>
    </row>
    <row r="1183" spans="1:7" x14ac:dyDescent="0.25">
      <c r="A1183" s="1">
        <v>44306</v>
      </c>
      <c r="B1183">
        <v>26.5949993133544</v>
      </c>
      <c r="C1183">
        <f>C1184*(1+G1183*3)</f>
        <v>26.005045394559154</v>
      </c>
      <c r="D1183">
        <f t="shared" si="36"/>
        <v>26.60992203477474</v>
      </c>
      <c r="F1183">
        <v>13809.2998046875</v>
      </c>
      <c r="G1183">
        <f t="shared" si="37"/>
        <v>-7.0730839702182191E-3</v>
      </c>
    </row>
    <row r="1184" spans="1:7" x14ac:dyDescent="0.25">
      <c r="A1184" s="1">
        <v>44305</v>
      </c>
      <c r="B1184">
        <v>27.190000534057599</v>
      </c>
      <c r="C1184">
        <f>C1185*(1+G1184*3)</f>
        <v>26.568815789770063</v>
      </c>
      <c r="D1184">
        <f t="shared" si="36"/>
        <v>27.186963044151184</v>
      </c>
      <c r="F1184">
        <v>13907.669921875</v>
      </c>
      <c r="G1184">
        <f t="shared" si="37"/>
        <v>-9.5599696110610921E-3</v>
      </c>
    </row>
    <row r="1185" spans="1:7" x14ac:dyDescent="0.25">
      <c r="A1185" s="1">
        <v>44302</v>
      </c>
      <c r="B1185">
        <v>27.952499389648398</v>
      </c>
      <c r="C1185">
        <f>C1186*(1+G1185*3)</f>
        <v>27.353306115447246</v>
      </c>
      <c r="D1185">
        <f t="shared" si="36"/>
        <v>27.98986845947973</v>
      </c>
      <c r="F1185">
        <v>14041.91015625</v>
      </c>
      <c r="G1185">
        <f t="shared" si="37"/>
        <v>1.1207409910269917E-3</v>
      </c>
    </row>
    <row r="1186" spans="1:7" x14ac:dyDescent="0.25">
      <c r="A1186" s="1">
        <v>44301</v>
      </c>
      <c r="B1186">
        <v>27.834999084472599</v>
      </c>
      <c r="C1186">
        <f>C1187*(1+G1186*3)</f>
        <v>27.261646381698689</v>
      </c>
      <c r="D1186">
        <f t="shared" si="36"/>
        <v>27.896233112935402</v>
      </c>
      <c r="F1186">
        <v>14026.1904296875</v>
      </c>
      <c r="G1186">
        <f t="shared" si="37"/>
        <v>1.610270357612098E-2</v>
      </c>
    </row>
    <row r="1187" spans="1:7" x14ac:dyDescent="0.25">
      <c r="A1187" s="1">
        <v>44300</v>
      </c>
      <c r="B1187">
        <v>26.6574993133544</v>
      </c>
      <c r="C1187">
        <f>C1188*(1+G1187*3)</f>
        <v>26.00537580765004</v>
      </c>
      <c r="D1187">
        <f t="shared" si="36"/>
        <v>26.610863310288892</v>
      </c>
      <c r="F1187">
        <v>13803.91015625</v>
      </c>
      <c r="G1187">
        <f t="shared" si="37"/>
        <v>-1.3054031073232886E-2</v>
      </c>
    </row>
    <row r="1188" spans="1:7" x14ac:dyDescent="0.25">
      <c r="A1188" s="1">
        <v>44299</v>
      </c>
      <c r="B1188">
        <v>27.627500534057599</v>
      </c>
      <c r="C1188">
        <f>C1189*(1+G1188*3)</f>
        <v>27.06531000092636</v>
      </c>
      <c r="D1188">
        <f t="shared" si="36"/>
        <v>27.695639395152455</v>
      </c>
      <c r="F1188">
        <v>13986.490234375</v>
      </c>
      <c r="G1188">
        <f t="shared" si="37"/>
        <v>1.20946809889384E-2</v>
      </c>
    </row>
    <row r="1189" spans="1:7" x14ac:dyDescent="0.25">
      <c r="A1189" s="1">
        <v>44298</v>
      </c>
      <c r="B1189">
        <v>26.712499618530199</v>
      </c>
      <c r="C1189">
        <f>C1190*(1+G1189*3)</f>
        <v>26.117655853736878</v>
      </c>
      <c r="D1189">
        <f t="shared" si="36"/>
        <v>26.726061222642354</v>
      </c>
      <c r="F1189">
        <v>13819.349609375</v>
      </c>
      <c r="G1189">
        <f t="shared" si="37"/>
        <v>-1.8569772709847721E-3</v>
      </c>
    </row>
    <row r="1190" spans="1:7" x14ac:dyDescent="0.25">
      <c r="A1190" s="1">
        <v>44295</v>
      </c>
      <c r="B1190">
        <v>26.817499160766602</v>
      </c>
      <c r="C1190">
        <f>C1191*(1+G1190*3)</f>
        <v>26.263970643328292</v>
      </c>
      <c r="D1190">
        <f t="shared" si="36"/>
        <v>26.875937467836938</v>
      </c>
      <c r="F1190">
        <v>13845.0595703125</v>
      </c>
      <c r="G1190">
        <f t="shared" si="37"/>
        <v>6.2906380241660731E-3</v>
      </c>
    </row>
    <row r="1191" spans="1:7" x14ac:dyDescent="0.25">
      <c r="A1191" s="1">
        <v>44294</v>
      </c>
      <c r="B1191">
        <v>26.340000152587798</v>
      </c>
      <c r="C1191">
        <f>C1192*(1+G1191*3)</f>
        <v>25.777499880578187</v>
      </c>
      <c r="D1191">
        <f t="shared" si="36"/>
        <v>26.378278278112678</v>
      </c>
      <c r="F1191">
        <v>13758.509765625</v>
      </c>
      <c r="G1191">
        <f t="shared" si="37"/>
        <v>1.0414385884864874E-2</v>
      </c>
    </row>
    <row r="1192" spans="1:7" x14ac:dyDescent="0.25">
      <c r="A1192" s="1">
        <v>44293</v>
      </c>
      <c r="B1192">
        <v>25.5424995422363</v>
      </c>
      <c r="C1192">
        <f>C1193*(1+G1192*3)</f>
        <v>24.996529372573178</v>
      </c>
      <c r="D1192">
        <f t="shared" si="36"/>
        <v>25.579246725445856</v>
      </c>
      <c r="F1192">
        <v>13616.7001953125</v>
      </c>
      <c r="G1192">
        <f t="shared" si="37"/>
        <v>2.816242378370637E-3</v>
      </c>
    </row>
    <row r="1193" spans="1:7" x14ac:dyDescent="0.25">
      <c r="A1193" s="1">
        <v>44292</v>
      </c>
      <c r="B1193">
        <v>25.3549995422363</v>
      </c>
      <c r="C1193">
        <f>C1194*(1+G1193*3)</f>
        <v>24.787109845024521</v>
      </c>
      <c r="D1193">
        <f t="shared" si="36"/>
        <v>25.365087693194582</v>
      </c>
      <c r="F1193">
        <v>13578.4599609375</v>
      </c>
      <c r="G1193">
        <f t="shared" si="37"/>
        <v>-1.4487397623011988E-3</v>
      </c>
    </row>
    <row r="1194" spans="1:7" x14ac:dyDescent="0.25">
      <c r="A1194" s="1">
        <v>44291</v>
      </c>
      <c r="B1194">
        <v>25.415000915527301</v>
      </c>
      <c r="C1194">
        <f>C1195*(1+G1194*3)</f>
        <v>24.895310322903374</v>
      </c>
      <c r="D1194">
        <f t="shared" si="36"/>
        <v>25.475956085290033</v>
      </c>
      <c r="F1194">
        <v>13598.16015625</v>
      </c>
      <c r="G1194">
        <f t="shared" si="37"/>
        <v>2.0153811573642599E-2</v>
      </c>
    </row>
    <row r="1195" spans="1:7" x14ac:dyDescent="0.25">
      <c r="A1195" s="1">
        <v>44287</v>
      </c>
      <c r="B1195">
        <v>23.975000381469702</v>
      </c>
      <c r="C1195">
        <f>C1196*(1+G1195*3)</f>
        <v>23.475922374730064</v>
      </c>
      <c r="D1195">
        <f t="shared" si="36"/>
        <v>24.023591358552444</v>
      </c>
      <c r="F1195">
        <v>13329.51953125</v>
      </c>
      <c r="G1195">
        <f t="shared" si="37"/>
        <v>1.818585990145194E-2</v>
      </c>
    </row>
    <row r="1196" spans="1:7" x14ac:dyDescent="0.25">
      <c r="A1196" s="1">
        <v>44286</v>
      </c>
      <c r="B1196">
        <v>22.815000534057599</v>
      </c>
      <c r="C1196">
        <f>C1197*(1+G1196*3)</f>
        <v>22.261394566346503</v>
      </c>
      <c r="D1196">
        <f t="shared" si="36"/>
        <v>22.780852232022198</v>
      </c>
      <c r="F1196">
        <v>13091.4404296875</v>
      </c>
      <c r="G1196">
        <f t="shared" si="37"/>
        <v>1.5113379499557933E-2</v>
      </c>
    </row>
    <row r="1197" spans="1:7" x14ac:dyDescent="0.25">
      <c r="A1197" s="1">
        <v>44285</v>
      </c>
      <c r="B1197">
        <v>21.834999084472599</v>
      </c>
      <c r="C1197">
        <f>C1198*(1+G1197*3)</f>
        <v>21.295838308015707</v>
      </c>
      <c r="D1197">
        <f t="shared" ref="D1197:D1254" si="38">D1198*(1+3*G1197-0.0000056641801694586)</f>
        <v>21.792883322702963</v>
      </c>
      <c r="F1197">
        <v>12896.5302734375</v>
      </c>
      <c r="G1197">
        <f t="shared" si="37"/>
        <v>-5.3379105000120886E-3</v>
      </c>
    </row>
    <row r="1198" spans="1:7" x14ac:dyDescent="0.25">
      <c r="A1198" s="1">
        <v>44284</v>
      </c>
      <c r="B1198">
        <v>22.149999618530199</v>
      </c>
      <c r="C1198">
        <f>C1199*(1+G1198*3)</f>
        <v>21.642414116693022</v>
      </c>
      <c r="D1198">
        <f t="shared" si="38"/>
        <v>22.147675703189229</v>
      </c>
      <c r="F1198">
        <v>12965.740234375</v>
      </c>
      <c r="G1198">
        <f t="shared" si="37"/>
        <v>-1.0308774933658338E-3</v>
      </c>
    </row>
    <row r="1199" spans="1:7" x14ac:dyDescent="0.25">
      <c r="A1199" s="1">
        <v>44281</v>
      </c>
      <c r="B1199">
        <v>22.162500381469702</v>
      </c>
      <c r="C1199">
        <f>C1200*(1+G1199*3)</f>
        <v>21.709553787865801</v>
      </c>
      <c r="D1199">
        <f t="shared" si="38"/>
        <v>22.21650903894739</v>
      </c>
      <c r="F1199">
        <v>12979.1201171875</v>
      </c>
      <c r="G1199">
        <f t="shared" si="37"/>
        <v>1.5540096225010513E-2</v>
      </c>
    </row>
    <row r="1200" spans="1:7" x14ac:dyDescent="0.25">
      <c r="A1200" s="1">
        <v>44280</v>
      </c>
      <c r="B1200">
        <v>21.225000381469702</v>
      </c>
      <c r="C1200">
        <f>C1201*(1+G1200*3)</f>
        <v>20.742531004581423</v>
      </c>
      <c r="D1200">
        <f t="shared" si="38"/>
        <v>21.227019495996402</v>
      </c>
      <c r="F1200">
        <v>12780.509765625</v>
      </c>
      <c r="G1200">
        <f t="shared" si="37"/>
        <v>-1.4352910063769597E-3</v>
      </c>
    </row>
    <row r="1201" spans="1:7" x14ac:dyDescent="0.25">
      <c r="A1201" s="1">
        <v>44279</v>
      </c>
      <c r="B1201">
        <v>21.340000152587798</v>
      </c>
      <c r="C1201">
        <f>C1202*(1+G1201*3)</f>
        <v>20.832231950063477</v>
      </c>
      <c r="D1201">
        <f t="shared" si="38"/>
        <v>21.318936885427458</v>
      </c>
      <c r="F1201">
        <v>12798.8798828125</v>
      </c>
      <c r="G1201">
        <f t="shared" si="37"/>
        <v>-1.6816230373444041E-2</v>
      </c>
    </row>
    <row r="1202" spans="1:7" x14ac:dyDescent="0.25">
      <c r="A1202" s="1">
        <v>44278</v>
      </c>
      <c r="B1202">
        <v>22.475000381469702</v>
      </c>
      <c r="C1202">
        <f>C1203*(1+G1202*3)</f>
        <v>21.939027154459378</v>
      </c>
      <c r="D1202">
        <f t="shared" si="38"/>
        <v>22.451724152949211</v>
      </c>
      <c r="F1202">
        <v>13017.7900390625</v>
      </c>
      <c r="G1202">
        <f t="shared" si="37"/>
        <v>-5.2511882689308953E-3</v>
      </c>
    </row>
    <row r="1203" spans="1:7" x14ac:dyDescent="0.25">
      <c r="A1203" s="1">
        <v>44277</v>
      </c>
      <c r="B1203">
        <v>22.772499084472599</v>
      </c>
      <c r="C1203">
        <f>C1204*(1+G1203*3)</f>
        <v>22.29017690082134</v>
      </c>
      <c r="D1203">
        <f t="shared" si="38"/>
        <v>22.811211254580108</v>
      </c>
      <c r="F1203">
        <v>13086.509765625</v>
      </c>
      <c r="G1203">
        <f t="shared" si="37"/>
        <v>1.7060674427461731E-2</v>
      </c>
    </row>
    <row r="1204" spans="1:7" x14ac:dyDescent="0.25">
      <c r="A1204" s="1">
        <v>44274</v>
      </c>
      <c r="B1204">
        <v>21.620000839233398</v>
      </c>
      <c r="C1204">
        <f>C1205*(1+G1204*3)</f>
        <v>21.204868811605809</v>
      </c>
      <c r="D1204">
        <f t="shared" si="38"/>
        <v>21.700650948868955</v>
      </c>
      <c r="F1204">
        <v>12866.990234375</v>
      </c>
      <c r="G1204">
        <f t="shared" si="37"/>
        <v>6.0872418378050686E-3</v>
      </c>
    </row>
    <row r="1205" spans="1:7" x14ac:dyDescent="0.25">
      <c r="A1205" s="1">
        <v>44273</v>
      </c>
      <c r="B1205">
        <v>21.347499847412099</v>
      </c>
      <c r="C1205">
        <f>C1206*(1+G1205*3)</f>
        <v>20.824576118594809</v>
      </c>
      <c r="D1205">
        <f t="shared" si="38"/>
        <v>21.311585339796924</v>
      </c>
      <c r="F1205">
        <v>12789.1396484375</v>
      </c>
      <c r="G1205">
        <f t="shared" si="37"/>
        <v>-3.1300435076328625E-2</v>
      </c>
    </row>
    <row r="1206" spans="1:7" x14ac:dyDescent="0.25">
      <c r="A1206" s="1">
        <v>44272</v>
      </c>
      <c r="B1206">
        <v>23.504999160766602</v>
      </c>
      <c r="C1206">
        <f>C1207*(1+G1206*3)</f>
        <v>22.982679744238588</v>
      </c>
      <c r="D1206">
        <f t="shared" si="38"/>
        <v>23.520305995401021</v>
      </c>
      <c r="F1206">
        <v>13202.3798828125</v>
      </c>
      <c r="G1206">
        <f t="shared" si="37"/>
        <v>3.8091956933263837E-3</v>
      </c>
    </row>
    <row r="1207" spans="1:7" x14ac:dyDescent="0.25">
      <c r="A1207" s="1">
        <v>44271</v>
      </c>
      <c r="B1207">
        <v>23.212499618530199</v>
      </c>
      <c r="C1207">
        <f>C1208*(1+G1207*3)</f>
        <v>22.723010562318407</v>
      </c>
      <c r="D1207">
        <f t="shared" si="38"/>
        <v>23.254692688454725</v>
      </c>
      <c r="F1207">
        <v>13152.2802734375</v>
      </c>
      <c r="G1207">
        <f t="shared" si="37"/>
        <v>5.3307870005951941E-3</v>
      </c>
    </row>
    <row r="1208" spans="1:7" x14ac:dyDescent="0.25">
      <c r="A1208" s="1">
        <v>44270</v>
      </c>
      <c r="B1208">
        <v>22.837499618530199</v>
      </c>
      <c r="C1208">
        <f>C1209*(1+G1208*3)</f>
        <v>22.365336034527992</v>
      </c>
      <c r="D1208">
        <f t="shared" si="38"/>
        <v>22.888776753872907</v>
      </c>
      <c r="F1208">
        <v>13082.5400390625</v>
      </c>
      <c r="G1208">
        <f t="shared" si="37"/>
        <v>1.1227235345380393E-2</v>
      </c>
    </row>
    <row r="1209" spans="1:7" x14ac:dyDescent="0.25">
      <c r="A1209" s="1">
        <v>44267</v>
      </c>
      <c r="B1209">
        <v>22.129999160766602</v>
      </c>
      <c r="C1209">
        <f>C1210*(1+G1209*3)</f>
        <v>21.636579136427148</v>
      </c>
      <c r="D1209">
        <f t="shared" si="38"/>
        <v>22.143085286929907</v>
      </c>
      <c r="F1209">
        <v>12937.2900390625</v>
      </c>
      <c r="G1209">
        <f t="shared" si="37"/>
        <v>-8.8570622698947998E-3</v>
      </c>
    </row>
    <row r="1210" spans="1:7" x14ac:dyDescent="0.25">
      <c r="A1210" s="1">
        <v>44266</v>
      </c>
      <c r="B1210">
        <v>22.694999694824201</v>
      </c>
      <c r="C1210">
        <f>C1211*(1+G1210*3)</f>
        <v>22.227181734548644</v>
      </c>
      <c r="D1210">
        <f t="shared" si="38"/>
        <v>22.747646087363705</v>
      </c>
      <c r="F1210">
        <v>13052.900390625</v>
      </c>
      <c r="G1210">
        <f t="shared" si="37"/>
        <v>2.3590685336020822E-2</v>
      </c>
    </row>
    <row r="1211" spans="1:7" x14ac:dyDescent="0.25">
      <c r="A1211" s="1">
        <v>44265</v>
      </c>
      <c r="B1211">
        <v>21.222499847412099</v>
      </c>
      <c r="C1211">
        <f>C1212*(1+G1211*3)</f>
        <v>20.758089090794581</v>
      </c>
      <c r="D1211">
        <f t="shared" si="38"/>
        <v>21.24426603316477</v>
      </c>
      <c r="F1211">
        <v>12752.0703125</v>
      </c>
      <c r="G1211">
        <f t="shared" si="37"/>
        <v>-3.3154835478345079E-3</v>
      </c>
    </row>
    <row r="1212" spans="1:7" x14ac:dyDescent="0.25">
      <c r="A1212" s="1">
        <v>44264</v>
      </c>
      <c r="B1212">
        <v>21.405000686645501</v>
      </c>
      <c r="C1212">
        <f>C1213*(1+G1212*3)</f>
        <v>20.966632667785174</v>
      </c>
      <c r="D1212">
        <f t="shared" si="38"/>
        <v>21.4578166887162</v>
      </c>
      <c r="F1212">
        <v>12794.490234375</v>
      </c>
      <c r="G1212">
        <f t="shared" si="37"/>
        <v>4.0280261052298538E-2</v>
      </c>
    </row>
    <row r="1213" spans="1:7" x14ac:dyDescent="0.25">
      <c r="A1213" s="1">
        <v>44263</v>
      </c>
      <c r="B1213">
        <v>19.149999618530199</v>
      </c>
      <c r="C1213">
        <f>C1214*(1+G1213*3)</f>
        <v>18.70616503508354</v>
      </c>
      <c r="D1213">
        <f t="shared" si="38"/>
        <v>19.144489965933847</v>
      </c>
      <c r="F1213">
        <v>12299.080078125</v>
      </c>
      <c r="G1213">
        <f t="shared" si="37"/>
        <v>-2.9161258453809458E-2</v>
      </c>
    </row>
    <row r="1214" spans="1:7" x14ac:dyDescent="0.25">
      <c r="A1214" s="1">
        <v>44260</v>
      </c>
      <c r="B1214">
        <v>20.940000534057599</v>
      </c>
      <c r="C1214">
        <f>C1215*(1+G1214*3)</f>
        <v>20.499542397169602</v>
      </c>
      <c r="D1214">
        <f t="shared" si="38"/>
        <v>20.980020172387441</v>
      </c>
      <c r="F1214">
        <v>12668.509765625</v>
      </c>
      <c r="G1214">
        <f t="shared" si="37"/>
        <v>1.6408036394817138E-2</v>
      </c>
    </row>
    <row r="1215" spans="1:7" x14ac:dyDescent="0.25">
      <c r="A1215" s="1">
        <v>44259</v>
      </c>
      <c r="B1215">
        <v>20.0424995422363</v>
      </c>
      <c r="C1215">
        <f>C1216*(1+G1215*3)</f>
        <v>19.537811052686958</v>
      </c>
      <c r="D1215">
        <f t="shared" si="38"/>
        <v>19.995855269492353</v>
      </c>
      <c r="F1215">
        <v>12464</v>
      </c>
      <c r="G1215">
        <f t="shared" si="37"/>
        <v>-1.7292783265435929E-2</v>
      </c>
    </row>
    <row r="1216" spans="1:7" x14ac:dyDescent="0.25">
      <c r="A1216" s="1">
        <v>44258</v>
      </c>
      <c r="B1216">
        <v>21.084999084472599</v>
      </c>
      <c r="C1216">
        <f>C1217*(1+G1216*3)</f>
        <v>20.606860995621712</v>
      </c>
      <c r="D1216">
        <f t="shared" si="38"/>
        <v>21.090094001427644</v>
      </c>
      <c r="F1216">
        <v>12683.330078125</v>
      </c>
      <c r="G1216">
        <f t="shared" si="37"/>
        <v>-2.8837791228536025E-2</v>
      </c>
    </row>
    <row r="1217" spans="1:7" x14ac:dyDescent="0.25">
      <c r="A1217" s="1">
        <v>44257</v>
      </c>
      <c r="B1217">
        <v>23.087499618530199</v>
      </c>
      <c r="C1217">
        <f>C1218*(1+G1217*3)</f>
        <v>22.558470372755639</v>
      </c>
      <c r="D1217">
        <f t="shared" si="38"/>
        <v>23.087611976229415</v>
      </c>
      <c r="F1217">
        <v>13059.9501953125</v>
      </c>
      <c r="G1217">
        <f t="shared" si="37"/>
        <v>-1.6788439068204597E-2</v>
      </c>
    </row>
    <row r="1218" spans="1:7" x14ac:dyDescent="0.25">
      <c r="A1218" s="1">
        <v>44256</v>
      </c>
      <c r="B1218">
        <v>24.25</v>
      </c>
      <c r="C1218">
        <f>C1219*(1+G1218*3)</f>
        <v>23.75489309884043</v>
      </c>
      <c r="D1218">
        <f t="shared" si="38"/>
        <v>24.31224354316447</v>
      </c>
      <c r="F1218">
        <v>13282.9501953125</v>
      </c>
      <c r="G1218">
        <f t="shared" ref="G1218:G1281" si="39">F1218/F1219-1</f>
        <v>2.8933071705110391E-2</v>
      </c>
    </row>
    <row r="1219" spans="1:7" x14ac:dyDescent="0.25">
      <c r="A1219" s="1">
        <v>44253</v>
      </c>
      <c r="B1219">
        <v>22.3050003051757</v>
      </c>
      <c r="C1219">
        <f>C1220*(1+G1219*3)</f>
        <v>21.857664937970682</v>
      </c>
      <c r="D1219">
        <f t="shared" si="38"/>
        <v>22.370618156727492</v>
      </c>
      <c r="F1219">
        <v>12909.4404296875</v>
      </c>
      <c r="G1219">
        <f t="shared" si="39"/>
        <v>6.3243608934067108E-3</v>
      </c>
    </row>
    <row r="1220" spans="1:7" x14ac:dyDescent="0.25">
      <c r="A1220" s="1">
        <v>44252</v>
      </c>
      <c r="B1220">
        <v>21.975000381469702</v>
      </c>
      <c r="C1220">
        <f>C1221*(1+G1220*3)</f>
        <v>21.450679423717592</v>
      </c>
      <c r="D1220">
        <f t="shared" si="38"/>
        <v>21.954203589411804</v>
      </c>
      <c r="F1220">
        <v>12828.3095703125</v>
      </c>
      <c r="G1220">
        <f t="shared" si="39"/>
        <v>-3.5624272700036208E-2</v>
      </c>
    </row>
    <row r="1221" spans="1:7" x14ac:dyDescent="0.25">
      <c r="A1221" s="1">
        <v>44251</v>
      </c>
      <c r="B1221">
        <v>24.537500381469702</v>
      </c>
      <c r="C1221">
        <f>C1222*(1+G1221*3)</f>
        <v>24.017497013232713</v>
      </c>
      <c r="D1221">
        <f t="shared" si="38"/>
        <v>24.58142946266069</v>
      </c>
      <c r="F1221">
        <v>13302.1904296875</v>
      </c>
      <c r="G1221">
        <f t="shared" si="39"/>
        <v>8.1457242385920559E-3</v>
      </c>
    </row>
    <row r="1222" spans="1:7" x14ac:dyDescent="0.25">
      <c r="A1222" s="1">
        <v>44250</v>
      </c>
      <c r="B1222">
        <v>23.959999084472599</v>
      </c>
      <c r="C1222">
        <f>C1223*(1+G1222*3)</f>
        <v>23.44457781589718</v>
      </c>
      <c r="D1222">
        <f t="shared" si="38"/>
        <v>23.995190754918394</v>
      </c>
      <c r="F1222">
        <v>13194.7099609375</v>
      </c>
      <c r="G1222">
        <f t="shared" si="39"/>
        <v>-2.1953148597123606E-3</v>
      </c>
    </row>
    <row r="1223" spans="1:7" x14ac:dyDescent="0.25">
      <c r="A1223" s="1">
        <v>44249</v>
      </c>
      <c r="B1223">
        <v>24.174999237060501</v>
      </c>
      <c r="C1223">
        <f>C1224*(1+G1223*3)</f>
        <v>23.60000614845822</v>
      </c>
      <c r="D1223">
        <f t="shared" si="38"/>
        <v>24.154407156708409</v>
      </c>
      <c r="F1223">
        <v>13223.740234375</v>
      </c>
      <c r="G1223">
        <f t="shared" si="39"/>
        <v>-2.6290097613966279E-2</v>
      </c>
    </row>
    <row r="1224" spans="1:7" x14ac:dyDescent="0.25">
      <c r="A1224" s="1">
        <v>44246</v>
      </c>
      <c r="B1224">
        <v>26.204999923706001</v>
      </c>
      <c r="C1224">
        <f>C1225*(1+G1224*3)</f>
        <v>25.620719823779993</v>
      </c>
      <c r="D1224">
        <f t="shared" si="38"/>
        <v>26.222751800744277</v>
      </c>
      <c r="F1224">
        <v>13580.7802734375</v>
      </c>
      <c r="G1224">
        <f t="shared" si="39"/>
        <v>-4.1598131302896801E-3</v>
      </c>
    </row>
    <row r="1225" spans="1:7" x14ac:dyDescent="0.25">
      <c r="A1225" s="1">
        <v>44245</v>
      </c>
      <c r="B1225">
        <v>26.5550003051757</v>
      </c>
      <c r="C1225">
        <f>C1226*(1+G1225*3)</f>
        <v>25.944492546035093</v>
      </c>
      <c r="D1225">
        <f t="shared" si="38"/>
        <v>26.554284796685753</v>
      </c>
      <c r="F1225">
        <v>13637.509765625</v>
      </c>
      <c r="G1225">
        <f t="shared" si="39"/>
        <v>-4.5402563623502257E-3</v>
      </c>
    </row>
    <row r="1226" spans="1:7" x14ac:dyDescent="0.25">
      <c r="A1226" s="1">
        <v>44244</v>
      </c>
      <c r="B1226">
        <v>26.9174995422363</v>
      </c>
      <c r="C1226">
        <f>C1227*(1+G1226*3)</f>
        <v>26.302756316170615</v>
      </c>
      <c r="D1226">
        <f t="shared" si="38"/>
        <v>26.92112369215549</v>
      </c>
      <c r="F1226">
        <v>13699.7099609375</v>
      </c>
      <c r="G1226">
        <f t="shared" si="39"/>
        <v>-5.3768556345068497E-3</v>
      </c>
    </row>
    <row r="1227" spans="1:7" x14ac:dyDescent="0.25">
      <c r="A1227" s="1">
        <v>44243</v>
      </c>
      <c r="B1227">
        <v>27.297500610351499</v>
      </c>
      <c r="C1227">
        <f>C1228*(1+G1227*3)</f>
        <v>26.733990742439637</v>
      </c>
      <c r="D1227">
        <f t="shared" si="38"/>
        <v>27.362653796885034</v>
      </c>
      <c r="F1227">
        <v>13773.76953125</v>
      </c>
      <c r="G1227">
        <f t="shared" si="39"/>
        <v>-2.4573725951856362E-3</v>
      </c>
    </row>
    <row r="1228" spans="1:7" x14ac:dyDescent="0.25">
      <c r="A1228" s="1">
        <v>44239</v>
      </c>
      <c r="B1228">
        <v>27.527500152587798</v>
      </c>
      <c r="C1228">
        <f>C1229*(1+G1228*3)</f>
        <v>26.932540604036891</v>
      </c>
      <c r="D1228">
        <f t="shared" si="38"/>
        <v>27.56602995555782</v>
      </c>
      <c r="F1228">
        <v>13807.7001953125</v>
      </c>
      <c r="G1228">
        <f t="shared" si="39"/>
        <v>5.3406668698334769E-3</v>
      </c>
    </row>
    <row r="1229" spans="1:7" x14ac:dyDescent="0.25">
      <c r="A1229" s="1">
        <v>44238</v>
      </c>
      <c r="B1229">
        <v>27.067499160766602</v>
      </c>
      <c r="C1229">
        <f>C1230*(1+G1229*3)</f>
        <v>26.507832101943023</v>
      </c>
      <c r="D1229">
        <f t="shared" si="38"/>
        <v>27.131482996066154</v>
      </c>
      <c r="F1229">
        <v>13734.349609375</v>
      </c>
      <c r="G1229">
        <f t="shared" si="39"/>
        <v>5.7911766548457422E-3</v>
      </c>
    </row>
    <row r="1230" spans="1:7" x14ac:dyDescent="0.25">
      <c r="A1230" s="1">
        <v>44237</v>
      </c>
      <c r="B1230">
        <v>26.6375007629394</v>
      </c>
      <c r="C1230">
        <f>C1231*(1+G1230*3)</f>
        <v>26.055161964816413</v>
      </c>
      <c r="D1230">
        <f t="shared" si="38"/>
        <v>26.668311343948723</v>
      </c>
      <c r="F1230">
        <v>13655.26953125</v>
      </c>
      <c r="G1230">
        <f t="shared" si="39"/>
        <v>-2.3241295216677171E-3</v>
      </c>
    </row>
    <row r="1231" spans="1:7" x14ac:dyDescent="0.25">
      <c r="A1231" s="1">
        <v>44236</v>
      </c>
      <c r="B1231">
        <v>26.827499389648398</v>
      </c>
      <c r="C1231">
        <f>C1232*(1+G1231*3)</f>
        <v>26.238104222665889</v>
      </c>
      <c r="D1231">
        <f t="shared" si="38"/>
        <v>26.855711918223246</v>
      </c>
      <c r="F1231">
        <v>13687.080078125</v>
      </c>
      <c r="G1231">
        <f t="shared" si="39"/>
        <v>-5.7973288076618168E-4</v>
      </c>
    </row>
    <row r="1232" spans="1:7" x14ac:dyDescent="0.25">
      <c r="A1232" s="1">
        <v>44235</v>
      </c>
      <c r="B1232">
        <v>26.840000152587798</v>
      </c>
      <c r="C1232">
        <f>C1233*(1+G1232*3)</f>
        <v>26.283817001509338</v>
      </c>
      <c r="D1232">
        <f t="shared" si="38"/>
        <v>26.902653357893179</v>
      </c>
      <c r="F1232">
        <v>13695.01953125</v>
      </c>
      <c r="G1232">
        <f t="shared" si="39"/>
        <v>6.6936076388028898E-3</v>
      </c>
    </row>
    <row r="1233" spans="1:7" x14ac:dyDescent="0.25">
      <c r="A1233" s="1">
        <v>44232</v>
      </c>
      <c r="B1233">
        <v>26.3250007629394</v>
      </c>
      <c r="C1233">
        <f>C1234*(1+G1233*3)</f>
        <v>25.766406358237347</v>
      </c>
      <c r="D1233">
        <f t="shared" si="38"/>
        <v>26.37320704017791</v>
      </c>
      <c r="F1233">
        <v>13603.9599609375</v>
      </c>
      <c r="G1233">
        <f t="shared" si="39"/>
        <v>3.1760683566186554E-3</v>
      </c>
    </row>
    <row r="1234" spans="1:7" x14ac:dyDescent="0.25">
      <c r="A1234" s="1">
        <v>44231</v>
      </c>
      <c r="B1234">
        <v>26.0524997711181</v>
      </c>
      <c r="C1234">
        <f>C1235*(1+G1234*3)</f>
        <v>25.523215922881914</v>
      </c>
      <c r="D1234">
        <f t="shared" si="38"/>
        <v>26.124436029863539</v>
      </c>
      <c r="F1234">
        <v>13560.8896484375</v>
      </c>
      <c r="G1234">
        <f t="shared" si="39"/>
        <v>1.1827723743184082E-2</v>
      </c>
    </row>
    <row r="1235" spans="1:7" x14ac:dyDescent="0.25">
      <c r="A1235" s="1">
        <v>44230</v>
      </c>
      <c r="B1235">
        <v>25.162500381469702</v>
      </c>
      <c r="C1235">
        <f>C1236*(1+G1235*3)</f>
        <v>24.648605242492899</v>
      </c>
      <c r="D1235">
        <f t="shared" si="38"/>
        <v>25.229361190380395</v>
      </c>
      <c r="F1235">
        <v>13402.3701171875</v>
      </c>
      <c r="G1235">
        <f t="shared" si="39"/>
        <v>-3.9944649372849472E-3</v>
      </c>
    </row>
    <row r="1236" spans="1:7" x14ac:dyDescent="0.25">
      <c r="A1236" s="1">
        <v>44229</v>
      </c>
      <c r="B1236">
        <v>25.454999923706001</v>
      </c>
      <c r="C1236">
        <f>C1237*(1+G1236*3)</f>
        <v>24.947561724227434</v>
      </c>
      <c r="D1236">
        <f t="shared" si="38"/>
        <v>25.535507900996748</v>
      </c>
      <c r="F1236">
        <v>13456.1201171875</v>
      </c>
      <c r="G1236">
        <f t="shared" si="39"/>
        <v>1.5640522643609822E-2</v>
      </c>
    </row>
    <row r="1237" spans="1:7" x14ac:dyDescent="0.25">
      <c r="A1237" s="1">
        <v>44228</v>
      </c>
      <c r="B1237">
        <v>24.280000686645501</v>
      </c>
      <c r="C1237">
        <f>C1238*(1+G1237*3)</f>
        <v>23.82944672114705</v>
      </c>
      <c r="D1237">
        <f t="shared" si="38"/>
        <v>24.391173932417828</v>
      </c>
      <c r="F1237">
        <v>13248.900390625</v>
      </c>
      <c r="G1237">
        <f t="shared" si="39"/>
        <v>2.5029864556839865E-2</v>
      </c>
    </row>
    <row r="1238" spans="1:7" x14ac:dyDescent="0.25">
      <c r="A1238" s="1">
        <v>44225</v>
      </c>
      <c r="B1238">
        <v>22.6175003051757</v>
      </c>
      <c r="C1238">
        <f>C1239*(1+G1238*3)</f>
        <v>22.165079879333302</v>
      </c>
      <c r="D1238">
        <f t="shared" si="38"/>
        <v>22.687692805510181</v>
      </c>
      <c r="F1238">
        <v>12925.3798828125</v>
      </c>
      <c r="G1238">
        <f t="shared" si="39"/>
        <v>-2.0918059111725507E-2</v>
      </c>
    </row>
    <row r="1239" spans="1:7" x14ac:dyDescent="0.25">
      <c r="A1239" s="1">
        <v>44224</v>
      </c>
      <c r="B1239">
        <v>24.120000839233398</v>
      </c>
      <c r="C1239">
        <f>C1240*(1+G1239*3)</f>
        <v>23.64916369145552</v>
      </c>
      <c r="D1239">
        <f t="shared" si="38"/>
        <v>24.206914951437881</v>
      </c>
      <c r="F1239">
        <v>13201.5302734375</v>
      </c>
      <c r="G1239">
        <f t="shared" si="39"/>
        <v>6.7781783365508108E-3</v>
      </c>
    </row>
    <row r="1240" spans="1:7" x14ac:dyDescent="0.25">
      <c r="A1240" s="1">
        <v>44223</v>
      </c>
      <c r="B1240">
        <v>23.770000457763601</v>
      </c>
      <c r="C1240">
        <f>C1241*(1+G1240*3)</f>
        <v>23.177852831602724</v>
      </c>
      <c r="D1240">
        <f t="shared" si="38"/>
        <v>23.724620211676179</v>
      </c>
      <c r="F1240">
        <v>13112.650390625</v>
      </c>
      <c r="G1240">
        <f t="shared" si="39"/>
        <v>-2.7986264614297651E-2</v>
      </c>
    </row>
    <row r="1241" spans="1:7" x14ac:dyDescent="0.25">
      <c r="A1241" s="1">
        <v>44222</v>
      </c>
      <c r="B1241">
        <v>25.8549995422363</v>
      </c>
      <c r="C1241">
        <f>C1242*(1+G1241*3)</f>
        <v>25.302194569211956</v>
      </c>
      <c r="D1241">
        <f t="shared" si="38"/>
        <v>25.899235482146256</v>
      </c>
      <c r="F1241">
        <v>13490.1904296875</v>
      </c>
      <c r="G1241">
        <f t="shared" si="39"/>
        <v>5.1177350668929478E-4</v>
      </c>
    </row>
    <row r="1242" spans="1:7" x14ac:dyDescent="0.25">
      <c r="A1242" s="1">
        <v>44221</v>
      </c>
      <c r="B1242">
        <v>25.827499389648398</v>
      </c>
      <c r="C1242">
        <f>C1243*(1+G1242*3)</f>
        <v>25.263407141820288</v>
      </c>
      <c r="D1242">
        <f t="shared" si="38"/>
        <v>25.859679060124201</v>
      </c>
      <c r="F1242">
        <v>13483.2900390625</v>
      </c>
      <c r="G1242">
        <f t="shared" si="39"/>
        <v>8.7450356881038083E-3</v>
      </c>
    </row>
    <row r="1243" spans="1:7" x14ac:dyDescent="0.25">
      <c r="A1243" s="1">
        <v>44218</v>
      </c>
      <c r="B1243">
        <v>25.129999160766602</v>
      </c>
      <c r="C1243">
        <f>C1244*(1+G1243*3)</f>
        <v>24.617562747477802</v>
      </c>
      <c r="D1243">
        <f t="shared" si="38"/>
        <v>25.198730400335705</v>
      </c>
      <c r="F1243">
        <v>13366.400390625</v>
      </c>
      <c r="G1243">
        <f t="shared" si="39"/>
        <v>-2.8787670170055124E-3</v>
      </c>
    </row>
    <row r="1244" spans="1:7" x14ac:dyDescent="0.25">
      <c r="A1244" s="1">
        <v>44217</v>
      </c>
      <c r="B1244">
        <v>25.360000610351499</v>
      </c>
      <c r="C1244">
        <f>C1245*(1+G1244*3)</f>
        <v>24.832019543964204</v>
      </c>
      <c r="D1244">
        <f t="shared" si="38"/>
        <v>25.418395288652786</v>
      </c>
      <c r="F1244">
        <v>13404.990234375</v>
      </c>
      <c r="G1244">
        <f t="shared" si="39"/>
        <v>8.1630839410631317E-3</v>
      </c>
    </row>
    <row r="1245" spans="1:7" x14ac:dyDescent="0.25">
      <c r="A1245" s="1">
        <v>44216</v>
      </c>
      <c r="B1245">
        <v>24.745000839233398</v>
      </c>
      <c r="C1245">
        <f>C1246*(1+G1245*3)</f>
        <v>24.238438324045802</v>
      </c>
      <c r="D1245">
        <f t="shared" si="38"/>
        <v>24.810934596943291</v>
      </c>
      <c r="F1245">
        <v>13296.4501953125</v>
      </c>
      <c r="G1245">
        <f t="shared" si="39"/>
        <v>2.3076153756968143E-2</v>
      </c>
    </row>
    <row r="1246" spans="1:7" x14ac:dyDescent="0.25">
      <c r="A1246" s="1">
        <v>44215</v>
      </c>
      <c r="B1246">
        <v>23.132499694824201</v>
      </c>
      <c r="C1246">
        <f>C1247*(1+G1246*3)</f>
        <v>22.669091968647702</v>
      </c>
      <c r="D1246">
        <f t="shared" si="38"/>
        <v>23.20464421863409</v>
      </c>
      <c r="F1246">
        <v>12996.5400390625</v>
      </c>
      <c r="G1246">
        <f t="shared" si="39"/>
        <v>1.5043065391911581E-2</v>
      </c>
    </row>
    <row r="1247" spans="1:7" x14ac:dyDescent="0.25">
      <c r="A1247" s="1">
        <v>44211</v>
      </c>
      <c r="B1247">
        <v>22.171249389648398</v>
      </c>
      <c r="C1247">
        <f>C1248*(1+G1247*3)</f>
        <v>21.690229353076052</v>
      </c>
      <c r="D1247">
        <f t="shared" si="38"/>
        <v>22.202776521859576</v>
      </c>
      <c r="F1247">
        <v>12803.9296875</v>
      </c>
      <c r="G1247">
        <f t="shared" si="39"/>
        <v>-7.3465397672773936E-3</v>
      </c>
    </row>
    <row r="1248" spans="1:7" x14ac:dyDescent="0.25">
      <c r="A1248" s="1">
        <v>44210</v>
      </c>
      <c r="B1248">
        <v>22.723749160766602</v>
      </c>
      <c r="C1248">
        <f>C1249*(1+G1248*3)</f>
        <v>22.179047107809577</v>
      </c>
      <c r="D1248">
        <f t="shared" si="38"/>
        <v>22.703276692516422</v>
      </c>
      <c r="F1248">
        <v>12898.6904296875</v>
      </c>
      <c r="G1248">
        <f t="shared" si="39"/>
        <v>-5.7762903521920705E-3</v>
      </c>
    </row>
    <row r="1249" spans="1:7" x14ac:dyDescent="0.25">
      <c r="A1249" s="1">
        <v>44209</v>
      </c>
      <c r="B1249">
        <v>23.0750007629394</v>
      </c>
      <c r="C1249">
        <f>C1250*(1+G1249*3)</f>
        <v>22.570162544265113</v>
      </c>
      <c r="D1249">
        <f t="shared" si="38"/>
        <v>23.103769804290557</v>
      </c>
      <c r="F1249">
        <v>12973.6298828125</v>
      </c>
      <c r="G1249">
        <f t="shared" si="39"/>
        <v>6.3248115744423128E-3</v>
      </c>
    </row>
    <row r="1250" spans="1:7" x14ac:dyDescent="0.25">
      <c r="A1250" s="1">
        <v>44208</v>
      </c>
      <c r="B1250">
        <v>22.6350002288818</v>
      </c>
      <c r="C1250">
        <f>C1251*(1+G1250*3)</f>
        <v>22.14988107173993</v>
      </c>
      <c r="D1250">
        <f t="shared" si="38"/>
        <v>22.673678008772715</v>
      </c>
      <c r="F1250">
        <v>12892.08984375</v>
      </c>
      <c r="G1250">
        <f t="shared" si="39"/>
        <v>-8.0607622529260681E-4</v>
      </c>
    </row>
    <row r="1251" spans="1:7" x14ac:dyDescent="0.25">
      <c r="A1251" s="1">
        <v>44207</v>
      </c>
      <c r="B1251">
        <v>22.733749389648398</v>
      </c>
      <c r="C1251">
        <f>C1252*(1+G1251*3)</f>
        <v>22.203574392041752</v>
      </c>
      <c r="D1251">
        <f t="shared" si="38"/>
        <v>22.728770112274599</v>
      </c>
      <c r="F1251">
        <v>12902.490234375</v>
      </c>
      <c r="G1251">
        <f t="shared" si="39"/>
        <v>-1.5467902658213961E-2</v>
      </c>
    </row>
    <row r="1252" spans="1:7" x14ac:dyDescent="0.25">
      <c r="A1252" s="1">
        <v>44204</v>
      </c>
      <c r="B1252">
        <v>23.784999847412099</v>
      </c>
      <c r="C1252">
        <f>C1253*(1+G1252*3)</f>
        <v>23.284040193658086</v>
      </c>
      <c r="D1252">
        <f t="shared" si="38"/>
        <v>23.834934455715434</v>
      </c>
      <c r="F1252">
        <v>13105.2001953125</v>
      </c>
      <c r="G1252">
        <f t="shared" si="39"/>
        <v>1.2800261431594517E-2</v>
      </c>
    </row>
    <row r="1253" spans="1:7" x14ac:dyDescent="0.25">
      <c r="A1253" s="1">
        <v>44203</v>
      </c>
      <c r="B1253">
        <v>22.897499084472599</v>
      </c>
      <c r="C1253">
        <f>C1254*(1+G1253*3)</f>
        <v>22.42298016894425</v>
      </c>
      <c r="D1253">
        <f t="shared" si="38"/>
        <v>22.953627182959629</v>
      </c>
      <c r="F1253">
        <v>12939.5703125</v>
      </c>
      <c r="G1253">
        <f t="shared" si="39"/>
        <v>2.5050459102404332E-2</v>
      </c>
    </row>
    <row r="1254" spans="1:7" x14ac:dyDescent="0.25">
      <c r="A1254" s="1">
        <v>44202</v>
      </c>
      <c r="B1254">
        <v>21.3549995422363</v>
      </c>
      <c r="C1254">
        <f>C1255*(1+G1254*3)</f>
        <v>20.855649392464223</v>
      </c>
      <c r="D1254">
        <f t="shared" si="38"/>
        <v>21.349317495020639</v>
      </c>
      <c r="F1254">
        <v>12623.349609375</v>
      </c>
      <c r="G1254">
        <f t="shared" si="39"/>
        <v>-1.3984140064290163E-2</v>
      </c>
    </row>
    <row r="1255" spans="1:7" x14ac:dyDescent="0.25">
      <c r="A1255" s="1">
        <v>44201</v>
      </c>
      <c r="B1255">
        <v>22.276250839233398</v>
      </c>
      <c r="C1255">
        <f>C1256*(1+G1255*3)</f>
        <v>21.768907757861882</v>
      </c>
      <c r="D1255">
        <f>D1256*(1+3*G1255-0.0000056641801694586)</f>
        <v>22.284325087226748</v>
      </c>
      <c r="F1255">
        <v>12802.3798828125</v>
      </c>
      <c r="G1255">
        <f t="shared" si="39"/>
        <v>8.485436020866377E-3</v>
      </c>
    </row>
    <row r="1256" spans="1:7" x14ac:dyDescent="0.25">
      <c r="A1256" s="1">
        <v>44200</v>
      </c>
      <c r="B1256">
        <v>21.7312507629394</v>
      </c>
      <c r="C1256">
        <f>C1257*(1+G1256*3)</f>
        <v>21.228508310597856</v>
      </c>
      <c r="D1256">
        <v>21.7312507629394</v>
      </c>
      <c r="E1256" s="2">
        <v>5.6641801694586E-6</v>
      </c>
      <c r="F1256">
        <v>12694.66015625</v>
      </c>
      <c r="G1256">
        <f t="shared" si="39"/>
        <v>-1.5022959858077223E-2</v>
      </c>
    </row>
    <row r="1257" spans="1:7" x14ac:dyDescent="0.25">
      <c r="A1257" s="1">
        <v>44196</v>
      </c>
      <c r="B1257">
        <v>22.725000381469702</v>
      </c>
      <c r="C1257">
        <f>C1258*(1+G1257*3)</f>
        <v>22.230407886521547</v>
      </c>
      <c r="D1257">
        <f t="shared" ref="D1257:D1320" si="40">D1258*(1+3*G1257-0.000027781779603679)</f>
        <v>22.725000381476899</v>
      </c>
      <c r="F1257">
        <v>12888.2802734375</v>
      </c>
      <c r="G1257">
        <f t="shared" si="39"/>
        <v>3.3412781502684119E-3</v>
      </c>
    </row>
    <row r="1258" spans="1:7" x14ac:dyDescent="0.25">
      <c r="A1258" s="1">
        <v>44195</v>
      </c>
      <c r="B1258">
        <v>22.548749923706001</v>
      </c>
      <c r="C1258">
        <f>C1259*(1+G1258*3)</f>
        <v>22.009785440963586</v>
      </c>
      <c r="D1258">
        <f t="shared" si="40"/>
        <v>22.500088313587593</v>
      </c>
      <c r="F1258">
        <v>12845.3603515625</v>
      </c>
      <c r="G1258">
        <f t="shared" si="39"/>
        <v>1.4560817607778276E-4</v>
      </c>
    </row>
    <row r="1259" spans="1:7" x14ac:dyDescent="0.25">
      <c r="A1259" s="1">
        <v>44194</v>
      </c>
      <c r="B1259">
        <v>22.5524997711181</v>
      </c>
      <c r="C1259">
        <f>C1260*(1+G1259*3)</f>
        <v>22.00017522479996</v>
      </c>
      <c r="D1259">
        <f t="shared" si="40"/>
        <v>22.490888578704237</v>
      </c>
      <c r="F1259">
        <v>12843.490234375</v>
      </c>
      <c r="G1259">
        <f t="shared" si="39"/>
        <v>3.6061478088567078E-4</v>
      </c>
    </row>
    <row r="1260" spans="1:7" x14ac:dyDescent="0.25">
      <c r="A1260" s="1">
        <v>44193</v>
      </c>
      <c r="B1260">
        <v>22.486249923706001</v>
      </c>
      <c r="C1260">
        <f>C1261*(1+G1260*3)</f>
        <v>21.97640018059262</v>
      </c>
      <c r="D1260">
        <f t="shared" si="40"/>
        <v>22.467206737186189</v>
      </c>
      <c r="F1260">
        <v>12838.8603515625</v>
      </c>
      <c r="G1260">
        <f t="shared" si="39"/>
        <v>1.0058255661423043E-2</v>
      </c>
    </row>
    <row r="1261" spans="1:7" x14ac:dyDescent="0.25">
      <c r="A1261" s="1">
        <v>44189</v>
      </c>
      <c r="B1261">
        <v>21.831249237060501</v>
      </c>
      <c r="C1261">
        <f>C1262*(1+G1261*3)</f>
        <v>21.332691194646785</v>
      </c>
      <c r="D1261">
        <f t="shared" si="40"/>
        <v>21.809709740326518</v>
      </c>
      <c r="F1261">
        <v>12711.009765625</v>
      </c>
      <c r="G1261">
        <f t="shared" si="39"/>
        <v>4.5735776886526303E-3</v>
      </c>
    </row>
    <row r="1262" spans="1:7" x14ac:dyDescent="0.25">
      <c r="A1262" s="1">
        <v>44188</v>
      </c>
      <c r="B1262">
        <v>21.551250457763601</v>
      </c>
      <c r="C1262">
        <f>C1263*(1+G1262*3)</f>
        <v>21.043952736496678</v>
      </c>
      <c r="D1262">
        <f t="shared" si="40"/>
        <v>21.515104462993921</v>
      </c>
      <c r="F1262">
        <v>12653.1396484375</v>
      </c>
      <c r="G1262">
        <f t="shared" si="39"/>
        <v>-5.0654311087624526E-3</v>
      </c>
    </row>
    <row r="1263" spans="1:7" x14ac:dyDescent="0.25">
      <c r="A1263" s="1">
        <v>44187</v>
      </c>
      <c r="B1263">
        <v>21.881250381469702</v>
      </c>
      <c r="C1263">
        <f>C1264*(1+G1263*3)</f>
        <v>21.368677426667126</v>
      </c>
      <c r="D1263">
        <f t="shared" si="40"/>
        <v>21.847715728131149</v>
      </c>
      <c r="F1263">
        <v>12717.5595703125</v>
      </c>
      <c r="G1263">
        <f t="shared" si="39"/>
        <v>2.1512408092267954E-3</v>
      </c>
    </row>
    <row r="1264" spans="1:7" x14ac:dyDescent="0.25">
      <c r="A1264" s="1">
        <v>44186</v>
      </c>
      <c r="B1264">
        <v>21.709999084472599</v>
      </c>
      <c r="C1264">
        <f>C1265*(1+G1264*3)</f>
        <v>21.231654223627348</v>
      </c>
      <c r="D1264">
        <f t="shared" si="40"/>
        <v>21.708219994868731</v>
      </c>
      <c r="F1264">
        <v>12690.259765625</v>
      </c>
      <c r="G1264">
        <f t="shared" si="39"/>
        <v>-3.7619128518043832E-3</v>
      </c>
    </row>
    <row r="1265" spans="1:7" x14ac:dyDescent="0.25">
      <c r="A1265" s="1">
        <v>44183</v>
      </c>
      <c r="B1265">
        <v>21.7912502288818</v>
      </c>
      <c r="C1265">
        <f>C1266*(1+G1265*3)</f>
        <v>21.474004221003433</v>
      </c>
      <c r="D1265">
        <f t="shared" si="40"/>
        <v>21.956626737956981</v>
      </c>
      <c r="F1265">
        <v>12738.1796875</v>
      </c>
      <c r="G1265">
        <f t="shared" si="39"/>
        <v>-1.0884424383347246E-3</v>
      </c>
    </row>
    <row r="1266" spans="1:7" x14ac:dyDescent="0.25">
      <c r="A1266" s="1">
        <v>44182</v>
      </c>
      <c r="B1266">
        <v>22.03125</v>
      </c>
      <c r="C1266">
        <f>C1267*(1+G1266*3)</f>
        <v>21.544353587256008</v>
      </c>
      <c r="D1266">
        <f t="shared" si="40"/>
        <v>22.029171201988923</v>
      </c>
      <c r="F1266">
        <v>12752.0595703125</v>
      </c>
      <c r="G1266">
        <f t="shared" si="39"/>
        <v>6.6228570706148293E-3</v>
      </c>
    </row>
    <row r="1267" spans="1:7" x14ac:dyDescent="0.25">
      <c r="A1267" s="1">
        <v>44181</v>
      </c>
      <c r="B1267">
        <v>21.588750839233398</v>
      </c>
      <c r="C1267">
        <f>C1268*(1+G1267*3)</f>
        <v>21.124637228163852</v>
      </c>
      <c r="D1267">
        <f t="shared" si="40"/>
        <v>21.600598279906869</v>
      </c>
      <c r="F1267">
        <v>12668.16015625</v>
      </c>
      <c r="G1267">
        <f t="shared" si="39"/>
        <v>5.7352090854072557E-3</v>
      </c>
    </row>
    <row r="1268" spans="1:7" x14ac:dyDescent="0.25">
      <c r="A1268" s="1">
        <v>44180</v>
      </c>
      <c r="B1268">
        <v>21.232500076293899</v>
      </c>
      <c r="C1268">
        <f>C1269*(1+G1268*3)</f>
        <v>20.767322419504087</v>
      </c>
      <c r="D1268">
        <f t="shared" si="40"/>
        <v>21.235812769580622</v>
      </c>
      <c r="F1268">
        <v>12595.919921875</v>
      </c>
      <c r="G1268">
        <f t="shared" si="39"/>
        <v>1.0729233527328574E-2</v>
      </c>
    </row>
    <row r="1269" spans="1:7" x14ac:dyDescent="0.25">
      <c r="A1269" s="1">
        <v>44179</v>
      </c>
      <c r="B1269">
        <v>20.592500686645501</v>
      </c>
      <c r="C1269">
        <f>C1270*(1+G1269*3)</f>
        <v>20.119715055502695</v>
      </c>
      <c r="D1269">
        <f t="shared" si="40"/>
        <v>20.574149783127208</v>
      </c>
      <c r="F1269">
        <v>12462.2099609375</v>
      </c>
      <c r="G1269">
        <f t="shared" si="39"/>
        <v>7.013893163263285E-3</v>
      </c>
    </row>
    <row r="1270" spans="1:7" x14ac:dyDescent="0.25">
      <c r="A1270" s="1">
        <v>44176</v>
      </c>
      <c r="B1270">
        <v>20.162500381469702</v>
      </c>
      <c r="C1270">
        <f>C1271*(1+G1270*3)</f>
        <v>19.705086931961905</v>
      </c>
      <c r="D1270">
        <f t="shared" si="40"/>
        <v>20.150704930920696</v>
      </c>
      <c r="F1270">
        <v>12375.41015625</v>
      </c>
      <c r="G1270">
        <f t="shared" si="39"/>
        <v>-2.1230954388173906E-3</v>
      </c>
    </row>
    <row r="1271" spans="1:7" x14ac:dyDescent="0.25">
      <c r="A1271" s="1">
        <v>44175</v>
      </c>
      <c r="B1271">
        <v>20.3050003051757</v>
      </c>
      <c r="C1271">
        <f>C1272*(1+G1271*3)</f>
        <v>19.831398788904178</v>
      </c>
      <c r="D1271">
        <f t="shared" si="40"/>
        <v>20.280440288463996</v>
      </c>
      <c r="F1271">
        <v>12401.740234375</v>
      </c>
      <c r="G1271">
        <f t="shared" si="39"/>
        <v>3.0005391982603768E-3</v>
      </c>
    </row>
    <row r="1272" spans="1:7" x14ac:dyDescent="0.25">
      <c r="A1272" s="1">
        <v>44174</v>
      </c>
      <c r="B1272">
        <v>20.058750152587798</v>
      </c>
      <c r="C1272">
        <f>C1273*(1+G1272*3)</f>
        <v>19.654476705575057</v>
      </c>
      <c r="D1272">
        <f t="shared" si="40"/>
        <v>20.100065599896233</v>
      </c>
      <c r="F1272">
        <v>12364.6396484375</v>
      </c>
      <c r="G1272">
        <f t="shared" si="39"/>
        <v>-2.145347348557769E-2</v>
      </c>
    </row>
    <row r="1273" spans="1:7" x14ac:dyDescent="0.25">
      <c r="A1273" s="1">
        <v>44173</v>
      </c>
      <c r="B1273">
        <v>21.498750686645501</v>
      </c>
      <c r="C1273">
        <f>C1274*(1+G1273*3)</f>
        <v>21.006461393146068</v>
      </c>
      <c r="D1273">
        <f t="shared" si="40"/>
        <v>21.483339188261859</v>
      </c>
      <c r="F1273">
        <v>12635.7197265625</v>
      </c>
      <c r="G1273">
        <f t="shared" si="39"/>
        <v>3.1159523939658929E-3</v>
      </c>
    </row>
    <row r="1274" spans="1:7" x14ac:dyDescent="0.25">
      <c r="A1274" s="1">
        <v>44172</v>
      </c>
      <c r="B1274">
        <v>21.303749084472599</v>
      </c>
      <c r="C1274">
        <f>C1275*(1+G1274*3)</f>
        <v>20.81191458789656</v>
      </c>
      <c r="D1274">
        <f t="shared" si="40"/>
        <v>21.284961739910948</v>
      </c>
      <c r="F1274">
        <v>12596.4697265625</v>
      </c>
      <c r="G1274">
        <f t="shared" si="39"/>
        <v>5.4267760549322475E-3</v>
      </c>
    </row>
    <row r="1275" spans="1:7" x14ac:dyDescent="0.25">
      <c r="A1275" s="1">
        <v>44169</v>
      </c>
      <c r="B1275">
        <v>20.9487495422363</v>
      </c>
      <c r="C1275">
        <f>C1276*(1+G1275*3)</f>
        <v>20.478517601023334</v>
      </c>
      <c r="D1275">
        <f t="shared" si="40"/>
        <v>20.944559318076482</v>
      </c>
      <c r="F1275">
        <v>12528.48046875</v>
      </c>
      <c r="G1275">
        <f t="shared" si="39"/>
        <v>4.9209871489410695E-3</v>
      </c>
    </row>
    <row r="1276" spans="1:7" x14ac:dyDescent="0.25">
      <c r="A1276" s="1">
        <v>44168</v>
      </c>
      <c r="B1276">
        <v>20.694999694824201</v>
      </c>
      <c r="C1276">
        <f>C1277*(1+G1276*3)</f>
        <v>20.180592294998217</v>
      </c>
      <c r="D1276">
        <f t="shared" si="40"/>
        <v>20.640419035186316</v>
      </c>
      <c r="F1276">
        <v>12467.1298828125</v>
      </c>
      <c r="G1276">
        <f t="shared" si="39"/>
        <v>8.6057912577008899E-4</v>
      </c>
    </row>
    <row r="1277" spans="1:7" x14ac:dyDescent="0.25">
      <c r="A1277" s="1">
        <v>44167</v>
      </c>
      <c r="B1277">
        <v>20.611249923706001</v>
      </c>
      <c r="C1277">
        <f>C1278*(1+G1277*3)</f>
        <v>20.128625470267746</v>
      </c>
      <c r="D1277">
        <f t="shared" si="40"/>
        <v>20.587838609524841</v>
      </c>
      <c r="F1277">
        <v>12456.41015625</v>
      </c>
      <c r="G1277">
        <f t="shared" si="39"/>
        <v>8.6716138249620656E-5</v>
      </c>
    </row>
    <row r="1278" spans="1:7" x14ac:dyDescent="0.25">
      <c r="A1278" s="1">
        <v>44166</v>
      </c>
      <c r="B1278">
        <v>20.528749465942301</v>
      </c>
      <c r="C1278">
        <f>C1279*(1+G1278*3)</f>
        <v>20.123390402155252</v>
      </c>
      <c r="D1278">
        <f t="shared" si="40"/>
        <v>20.583055794108958</v>
      </c>
      <c r="F1278">
        <v>12455.330078125</v>
      </c>
      <c r="G1278">
        <f t="shared" si="39"/>
        <v>1.5243306407190849E-2</v>
      </c>
    </row>
    <row r="1279" spans="1:7" x14ac:dyDescent="0.25">
      <c r="A1279" s="1">
        <v>44165</v>
      </c>
      <c r="B1279">
        <v>19.752500534057599</v>
      </c>
      <c r="C1279">
        <f>C1280*(1+G1279*3)</f>
        <v>19.243391656169536</v>
      </c>
      <c r="D1279">
        <f t="shared" si="40"/>
        <v>19.683478743248923</v>
      </c>
      <c r="F1279">
        <v>12268.3203125</v>
      </c>
      <c r="G1279">
        <f t="shared" si="39"/>
        <v>8.2478205176106378E-4</v>
      </c>
    </row>
    <row r="1280" spans="1:7" x14ac:dyDescent="0.25">
      <c r="A1280" s="1">
        <v>44162</v>
      </c>
      <c r="B1280">
        <v>19.651250839233398</v>
      </c>
      <c r="C1280">
        <f>C1281*(1+G1280*3)</f>
        <v>19.195894368741019</v>
      </c>
      <c r="D1280">
        <f t="shared" si="40"/>
        <v>19.635439376768907</v>
      </c>
      <c r="F1280">
        <v>12258.2099609375</v>
      </c>
      <c r="G1280">
        <f t="shared" si="39"/>
        <v>8.7218826485933043E-3</v>
      </c>
    </row>
    <row r="1281" spans="1:7" x14ac:dyDescent="0.25">
      <c r="A1281" s="1">
        <v>44160</v>
      </c>
      <c r="B1281">
        <v>19.128749847412099</v>
      </c>
      <c r="C1281">
        <f>C1282*(1+G1281*3)</f>
        <v>18.706428545106863</v>
      </c>
      <c r="D1281">
        <f t="shared" si="40"/>
        <v>19.135283887466521</v>
      </c>
      <c r="F1281">
        <v>12152.2197265625</v>
      </c>
      <c r="G1281">
        <f t="shared" si="39"/>
        <v>5.9943127272432672E-3</v>
      </c>
    </row>
    <row r="1282" spans="1:7" x14ac:dyDescent="0.25">
      <c r="A1282" s="1">
        <v>44159</v>
      </c>
      <c r="B1282">
        <v>18.774999618530199</v>
      </c>
      <c r="C1282">
        <f>C1283*(1+G1282*3)</f>
        <v>18.375974531085316</v>
      </c>
      <c r="D1282">
        <f t="shared" si="40"/>
        <v>18.797767040248136</v>
      </c>
      <c r="F1282">
        <v>12079.8095703125</v>
      </c>
      <c r="G1282">
        <f t="shared" ref="G1282:G1345" si="41">F1282/F1283-1</f>
        <v>1.4603562116895619E-2</v>
      </c>
    </row>
    <row r="1283" spans="1:7" x14ac:dyDescent="0.25">
      <c r="A1283" s="1">
        <v>44158</v>
      </c>
      <c r="B1283">
        <v>18.037500381469702</v>
      </c>
      <c r="C1283">
        <f>C1284*(1+G1283*3)</f>
        <v>17.60470051837693</v>
      </c>
      <c r="D1283">
        <f t="shared" si="40"/>
        <v>18.009268936985144</v>
      </c>
      <c r="F1283">
        <v>11905.9404296875</v>
      </c>
      <c r="G1283">
        <f t="shared" si="41"/>
        <v>-4.1994078998852657E-5</v>
      </c>
    </row>
    <row r="1284" spans="1:7" x14ac:dyDescent="0.25">
      <c r="A1284" s="1">
        <v>44155</v>
      </c>
      <c r="B1284">
        <v>18.033750534057599</v>
      </c>
      <c r="C1284">
        <f>C1285*(1+G1284*3)</f>
        <v>17.606918677378523</v>
      </c>
      <c r="D1284">
        <f t="shared" si="40"/>
        <v>18.012038540378271</v>
      </c>
      <c r="F1284">
        <v>11906.4404296875</v>
      </c>
      <c r="G1284">
        <f t="shared" si="41"/>
        <v>-6.5904402154960406E-3</v>
      </c>
    </row>
    <row r="1285" spans="1:7" x14ac:dyDescent="0.25">
      <c r="A1285" s="1">
        <v>44154</v>
      </c>
      <c r="B1285">
        <v>18.4074993133544</v>
      </c>
      <c r="C1285">
        <f>C1286*(1+G1285*3)</f>
        <v>17.962052170306603</v>
      </c>
      <c r="D1285">
        <f t="shared" si="40"/>
        <v>18.375864156990474</v>
      </c>
      <c r="F1285">
        <v>11985.4296875</v>
      </c>
      <c r="G1285">
        <f t="shared" si="41"/>
        <v>7.6268969029447131E-3</v>
      </c>
    </row>
    <row r="1286" spans="1:7" x14ac:dyDescent="0.25">
      <c r="A1286" s="1">
        <v>44153</v>
      </c>
      <c r="B1286">
        <v>17.962499618530199</v>
      </c>
      <c r="C1286">
        <f>C1287*(1+G1286*3)</f>
        <v>17.56026126356857</v>
      </c>
      <c r="D1286">
        <f t="shared" si="40"/>
        <v>17.965304685135202</v>
      </c>
      <c r="F1286">
        <v>11894.7099609375</v>
      </c>
      <c r="G1286">
        <f t="shared" si="41"/>
        <v>-6.9113204701201081E-3</v>
      </c>
    </row>
    <row r="1287" spans="1:7" x14ac:dyDescent="0.25">
      <c r="A1287" s="1">
        <v>44152</v>
      </c>
      <c r="B1287">
        <v>18.388750076293899</v>
      </c>
      <c r="C1287">
        <f>C1288*(1+G1287*3)</f>
        <v>17.932063986267963</v>
      </c>
      <c r="D1287">
        <f t="shared" si="40"/>
        <v>18.346203858148815</v>
      </c>
      <c r="F1287">
        <v>11977.490234375</v>
      </c>
      <c r="G1287">
        <f t="shared" si="41"/>
        <v>-2.9874730332009047E-3</v>
      </c>
    </row>
    <row r="1288" spans="1:7" x14ac:dyDescent="0.25">
      <c r="A1288" s="1">
        <v>44151</v>
      </c>
      <c r="B1288">
        <v>18.559999465942301</v>
      </c>
      <c r="C1288">
        <f>C1289*(1+G1288*3)</f>
        <v>18.094232077431379</v>
      </c>
      <c r="D1288">
        <f t="shared" si="40"/>
        <v>18.512636176176304</v>
      </c>
      <c r="F1288">
        <v>12013.3798828125</v>
      </c>
      <c r="G1288">
        <f t="shared" si="41"/>
        <v>6.3277812444475501E-3</v>
      </c>
    </row>
    <row r="1289" spans="1:7" x14ac:dyDescent="0.25">
      <c r="A1289" s="1">
        <v>44148</v>
      </c>
      <c r="B1289">
        <v>18.142499923706001</v>
      </c>
      <c r="C1289">
        <f>C1290*(1+G1289*3)</f>
        <v>17.757142144382737</v>
      </c>
      <c r="D1289">
        <f t="shared" si="40"/>
        <v>18.168246847468296</v>
      </c>
      <c r="F1289">
        <v>11937.83984375</v>
      </c>
      <c r="G1289">
        <f t="shared" si="41"/>
        <v>9.3598451191978516E-3</v>
      </c>
    </row>
    <row r="1290" spans="1:7" x14ac:dyDescent="0.25">
      <c r="A1290" s="1">
        <v>44147</v>
      </c>
      <c r="B1290">
        <v>17.678749084472599</v>
      </c>
      <c r="C1290">
        <f>C1291*(1+G1290*3)</f>
        <v>17.272148246980063</v>
      </c>
      <c r="D1290">
        <f t="shared" si="40"/>
        <v>17.672502171448336</v>
      </c>
      <c r="F1290">
        <v>11827.1396484375</v>
      </c>
      <c r="G1290">
        <f t="shared" si="41"/>
        <v>-5.5318614329022964E-3</v>
      </c>
    </row>
    <row r="1291" spans="1:7" x14ac:dyDescent="0.25">
      <c r="A1291" s="1">
        <v>44146</v>
      </c>
      <c r="B1291">
        <v>17.941249847412099</v>
      </c>
      <c r="C1291">
        <f>C1292*(1+G1291*3)</f>
        <v>17.563626897752755</v>
      </c>
      <c r="D1291">
        <f t="shared" si="40"/>
        <v>17.971244751841109</v>
      </c>
      <c r="F1291">
        <v>11892.9296875</v>
      </c>
      <c r="G1291">
        <f t="shared" si="41"/>
        <v>2.3110198346286692E-2</v>
      </c>
    </row>
    <row r="1292" spans="1:7" x14ac:dyDescent="0.25">
      <c r="A1292" s="1">
        <v>44145</v>
      </c>
      <c r="B1292">
        <v>16.811250686645501</v>
      </c>
      <c r="C1292">
        <f>C1293*(1+G1292*3)</f>
        <v>16.424880181338573</v>
      </c>
      <c r="D1292">
        <f t="shared" si="40"/>
        <v>16.806506565772885</v>
      </c>
      <c r="F1292">
        <v>11624.2900390625</v>
      </c>
      <c r="G1292">
        <f t="shared" si="41"/>
        <v>-1.7421202132781866E-2</v>
      </c>
    </row>
    <row r="1293" spans="1:7" x14ac:dyDescent="0.25">
      <c r="A1293" s="1">
        <v>44144</v>
      </c>
      <c r="B1293">
        <v>17.770000457763601</v>
      </c>
      <c r="C1293">
        <f>C1294*(1+G1293*3)</f>
        <v>17.33064203530223</v>
      </c>
      <c r="D1293">
        <f t="shared" si="40"/>
        <v>17.733833328221998</v>
      </c>
      <c r="F1293">
        <v>11830.3896484375</v>
      </c>
      <c r="G1293">
        <f t="shared" si="41"/>
        <v>-2.1582368335058777E-2</v>
      </c>
    </row>
    <row r="1294" spans="1:7" x14ac:dyDescent="0.25">
      <c r="A1294" s="1">
        <v>44141</v>
      </c>
      <c r="B1294">
        <v>18.924999237060501</v>
      </c>
      <c r="C1294">
        <f>C1295*(1+G1294*3)</f>
        <v>18.530433990688849</v>
      </c>
      <c r="D1294">
        <f t="shared" si="40"/>
        <v>18.962101292655273</v>
      </c>
      <c r="F1294">
        <v>12091.349609375</v>
      </c>
      <c r="G1294">
        <f t="shared" si="41"/>
        <v>1.0994551721774659E-3</v>
      </c>
    </row>
    <row r="1295" spans="1:7" x14ac:dyDescent="0.25">
      <c r="A1295" s="1">
        <v>44140</v>
      </c>
      <c r="B1295">
        <v>18.861249923706001</v>
      </c>
      <c r="C1295">
        <f>C1296*(1+G1295*3)</f>
        <v>18.469514780031307</v>
      </c>
      <c r="D1295">
        <f t="shared" si="40"/>
        <v>18.900286323582069</v>
      </c>
      <c r="F1295">
        <v>12078.0703125</v>
      </c>
      <c r="G1295">
        <f t="shared" si="41"/>
        <v>2.5562561092063341E-2</v>
      </c>
    </row>
    <row r="1296" spans="1:7" x14ac:dyDescent="0.25">
      <c r="A1296" s="1">
        <v>44139</v>
      </c>
      <c r="B1296">
        <v>17.5100002288818</v>
      </c>
      <c r="C1296">
        <f>C1297*(1+G1296*3)</f>
        <v>17.154013245355888</v>
      </c>
      <c r="D1296">
        <f t="shared" si="40"/>
        <v>17.554555804771926</v>
      </c>
      <c r="F1296">
        <v>11777.01953125</v>
      </c>
      <c r="G1296">
        <f t="shared" si="41"/>
        <v>4.4070331067713298E-2</v>
      </c>
    </row>
    <row r="1297" spans="1:7" x14ac:dyDescent="0.25">
      <c r="A1297" s="1">
        <v>44138</v>
      </c>
      <c r="B1297">
        <v>15.425000190734799</v>
      </c>
      <c r="C1297">
        <f>C1298*(1+G1297*3)</f>
        <v>15.150897976026041</v>
      </c>
      <c r="D1297">
        <f t="shared" si="40"/>
        <v>15.505048677324872</v>
      </c>
      <c r="F1297">
        <v>11279.91015625</v>
      </c>
      <c r="G1297">
        <f t="shared" si="41"/>
        <v>1.7605288229175953E-2</v>
      </c>
    </row>
    <row r="1298" spans="1:7" x14ac:dyDescent="0.25">
      <c r="A1298" s="1">
        <v>44137</v>
      </c>
      <c r="B1298">
        <v>14.686249732971101</v>
      </c>
      <c r="C1298">
        <f>C1299*(1+G1298*3)</f>
        <v>14.390833653065036</v>
      </c>
      <c r="D1298">
        <f t="shared" si="40"/>
        <v>14.727606561140121</v>
      </c>
      <c r="F1298">
        <v>11084.759765625</v>
      </c>
      <c r="G1298">
        <f t="shared" si="41"/>
        <v>2.8779257800319868E-3</v>
      </c>
    </row>
    <row r="1299" spans="1:7" x14ac:dyDescent="0.25">
      <c r="A1299" s="1">
        <v>44134</v>
      </c>
      <c r="B1299">
        <v>14.681249618530201</v>
      </c>
      <c r="C1299">
        <f>C1300*(1+G1299*3)</f>
        <v>14.267649940313932</v>
      </c>
      <c r="D1299">
        <f t="shared" si="40"/>
        <v>14.601942310441894</v>
      </c>
      <c r="F1299">
        <v>11052.9501953125</v>
      </c>
      <c r="G1299">
        <f t="shared" si="41"/>
        <v>-2.6235296810040776E-2</v>
      </c>
    </row>
    <row r="1300" spans="1:7" x14ac:dyDescent="0.25">
      <c r="A1300" s="1">
        <v>44133</v>
      </c>
      <c r="B1300">
        <v>15.778750419616699</v>
      </c>
      <c r="C1300">
        <f>C1301*(1+G1300*3)</f>
        <v>15.486531165357212</v>
      </c>
      <c r="D1300">
        <f t="shared" si="40"/>
        <v>15.849859991589774</v>
      </c>
      <c r="F1300">
        <v>11350.740234375</v>
      </c>
      <c r="G1300">
        <f t="shared" si="41"/>
        <v>1.8665076975958206E-2</v>
      </c>
    </row>
    <row r="1301" spans="1:7" x14ac:dyDescent="0.25">
      <c r="A1301" s="1">
        <v>44132</v>
      </c>
      <c r="B1301">
        <v>15.015000343322701</v>
      </c>
      <c r="C1301">
        <f>C1302*(1+G1301*3)</f>
        <v>14.665341955900324</v>
      </c>
      <c r="D1301">
        <f t="shared" si="40"/>
        <v>15.009799785376014</v>
      </c>
      <c r="F1301">
        <v>11142.759765625</v>
      </c>
      <c r="G1301">
        <f t="shared" si="41"/>
        <v>-3.933032058986341E-2</v>
      </c>
    </row>
    <row r="1302" spans="1:7" x14ac:dyDescent="0.25">
      <c r="A1302" s="1">
        <v>44131</v>
      </c>
      <c r="B1302">
        <v>17.0112495422363</v>
      </c>
      <c r="C1302">
        <f>C1303*(1+G1302*3)</f>
        <v>16.627201446057352</v>
      </c>
      <c r="D1302">
        <f t="shared" si="40"/>
        <v>17.018275247455001</v>
      </c>
      <c r="F1302">
        <v>11598.9501953125</v>
      </c>
      <c r="G1302">
        <f t="shared" si="41"/>
        <v>8.2081362725314744E-3</v>
      </c>
    </row>
    <row r="1303" spans="1:7" x14ac:dyDescent="0.25">
      <c r="A1303" s="1">
        <v>44130</v>
      </c>
      <c r="B1303">
        <v>16.618749618530199</v>
      </c>
      <c r="C1303">
        <f>C1304*(1+G1303*3)</f>
        <v>16.227606235971837</v>
      </c>
      <c r="D1303">
        <f t="shared" si="40"/>
        <v>16.609731867508856</v>
      </c>
      <c r="F1303">
        <v>11504.51953125</v>
      </c>
      <c r="G1303">
        <f t="shared" si="41"/>
        <v>-1.6082929263975698E-2</v>
      </c>
    </row>
    <row r="1304" spans="1:7" x14ac:dyDescent="0.25">
      <c r="A1304" s="1">
        <v>44127</v>
      </c>
      <c r="B1304">
        <v>17.412500381469702</v>
      </c>
      <c r="C1304">
        <f>C1305*(1+G1304*3)</f>
        <v>17.050260643560012</v>
      </c>
      <c r="D1304">
        <f t="shared" si="40"/>
        <v>17.452267472317139</v>
      </c>
      <c r="F1304">
        <v>11692.5703125</v>
      </c>
      <c r="G1304">
        <f t="shared" si="41"/>
        <v>2.5431179570654106E-3</v>
      </c>
    </row>
    <row r="1305" spans="1:7" x14ac:dyDescent="0.25">
      <c r="A1305" s="1">
        <v>44126</v>
      </c>
      <c r="B1305">
        <v>17.311250686645501</v>
      </c>
      <c r="C1305">
        <f>C1306*(1+G1305*3)</f>
        <v>16.921163102340032</v>
      </c>
      <c r="D1305">
        <f t="shared" si="40"/>
        <v>17.320603654964028</v>
      </c>
      <c r="F1305">
        <v>11662.91015625</v>
      </c>
      <c r="G1305">
        <f t="shared" si="41"/>
        <v>-2.1087723002255476E-4</v>
      </c>
    </row>
    <row r="1306" spans="1:7" x14ac:dyDescent="0.25">
      <c r="A1306" s="1">
        <v>44125</v>
      </c>
      <c r="B1306">
        <v>17.3024997711181</v>
      </c>
      <c r="C1306">
        <f>C1307*(1+G1306*3)</f>
        <v>16.93187474287463</v>
      </c>
      <c r="D1306">
        <f t="shared" si="40"/>
        <v>17.332049974224024</v>
      </c>
      <c r="F1306">
        <v>11665.3701171875</v>
      </c>
      <c r="G1306">
        <f t="shared" si="41"/>
        <v>-1.0678110617499126E-3</v>
      </c>
    </row>
    <row r="1307" spans="1:7" x14ac:dyDescent="0.25">
      <c r="A1307" s="1">
        <v>44124</v>
      </c>
      <c r="B1307">
        <v>17.347499847412099</v>
      </c>
      <c r="C1307">
        <f>C1308*(1+G1307*3)</f>
        <v>16.986289185345214</v>
      </c>
      <c r="D1307">
        <f t="shared" si="40"/>
        <v>17.388235099690533</v>
      </c>
      <c r="F1307">
        <v>11677.83984375</v>
      </c>
      <c r="G1307">
        <f t="shared" si="41"/>
        <v>3.738089006707801E-3</v>
      </c>
    </row>
    <row r="1308" spans="1:7" x14ac:dyDescent="0.25">
      <c r="A1308" s="1">
        <v>44123</v>
      </c>
      <c r="B1308">
        <v>17.236249923706001</v>
      </c>
      <c r="C1308">
        <f>C1309*(1+G1308*3)</f>
        <v>16.797912904651675</v>
      </c>
      <c r="D1308">
        <f t="shared" si="40"/>
        <v>17.195873712211043</v>
      </c>
      <c r="F1308">
        <v>11634.349609375</v>
      </c>
      <c r="G1308">
        <f t="shared" si="41"/>
        <v>-1.8378095651327087E-2</v>
      </c>
    </row>
    <row r="1309" spans="1:7" x14ac:dyDescent="0.25">
      <c r="A1309" s="1">
        <v>44120</v>
      </c>
      <c r="B1309">
        <v>18.1375007629394</v>
      </c>
      <c r="C1309">
        <f>C1310*(1+G1309*3)</f>
        <v>17.778095524811945</v>
      </c>
      <c r="D1309">
        <f t="shared" si="40"/>
        <v>18.199813050649361</v>
      </c>
      <c r="F1309">
        <v>11852.169921875</v>
      </c>
      <c r="G1309">
        <f t="shared" si="41"/>
        <v>-3.8996610018141586E-3</v>
      </c>
    </row>
    <row r="1310" spans="1:7" x14ac:dyDescent="0.25">
      <c r="A1310" s="1">
        <v>44119</v>
      </c>
      <c r="B1310">
        <v>18.420000076293899</v>
      </c>
      <c r="C1310">
        <f>C1311*(1+G1310*3)</f>
        <v>17.988543185835706</v>
      </c>
      <c r="D1310">
        <f t="shared" si="40"/>
        <v>18.415770459159326</v>
      </c>
      <c r="F1310">
        <v>11898.5703125</v>
      </c>
      <c r="G1310">
        <f t="shared" si="41"/>
        <v>-7.2413374747789527E-3</v>
      </c>
    </row>
    <row r="1311" spans="1:7" x14ac:dyDescent="0.25">
      <c r="A1311" s="1">
        <v>44118</v>
      </c>
      <c r="B1311">
        <v>18.808750152587798</v>
      </c>
      <c r="C1311">
        <f>C1312*(1+G1311*3)</f>
        <v>18.388004422365945</v>
      </c>
      <c r="D1311">
        <f t="shared" si="40"/>
        <v>18.825253499108957</v>
      </c>
      <c r="F1311">
        <v>11985.3603515625</v>
      </c>
      <c r="G1311">
        <f t="shared" si="41"/>
        <v>-8.0946945995875597E-3</v>
      </c>
    </row>
    <row r="1312" spans="1:7" x14ac:dyDescent="0.25">
      <c r="A1312" s="1">
        <v>44117</v>
      </c>
      <c r="B1312">
        <v>19.284999847412099</v>
      </c>
      <c r="C1312">
        <f>C1313*(1+G1312*3)</f>
        <v>18.845653859943283</v>
      </c>
      <c r="D1312">
        <f t="shared" si="40"/>
        <v>19.294334772522525</v>
      </c>
      <c r="F1312">
        <v>12083.169921875</v>
      </c>
      <c r="G1312">
        <f t="shared" si="41"/>
        <v>-4.0870157070183044E-4</v>
      </c>
    </row>
    <row r="1313" spans="1:7" x14ac:dyDescent="0.25">
      <c r="A1313" s="1">
        <v>44116</v>
      </c>
      <c r="B1313">
        <v>19.2824993133544</v>
      </c>
      <c r="C1313">
        <f>C1314*(1+G1313*3)</f>
        <v>18.868788971012364</v>
      </c>
      <c r="D1313">
        <f t="shared" si="40"/>
        <v>19.318558051502606</v>
      </c>
      <c r="F1313">
        <v>12088.1103515625</v>
      </c>
      <c r="G1313">
        <f t="shared" si="41"/>
        <v>3.0894199930542099E-2</v>
      </c>
    </row>
    <row r="1314" spans="1:7" x14ac:dyDescent="0.25">
      <c r="A1314" s="1">
        <v>44113</v>
      </c>
      <c r="B1314">
        <v>17.6375007629394</v>
      </c>
      <c r="C1314">
        <f>C1315*(1+G1314*3)</f>
        <v>17.268316503448144</v>
      </c>
      <c r="D1314">
        <f t="shared" si="40"/>
        <v>17.680385180244585</v>
      </c>
      <c r="F1314">
        <v>11725.849609375</v>
      </c>
      <c r="G1314">
        <f t="shared" si="41"/>
        <v>1.5142418987631467E-2</v>
      </c>
    </row>
    <row r="1315" spans="1:7" x14ac:dyDescent="0.25">
      <c r="A1315" s="1">
        <v>44112</v>
      </c>
      <c r="B1315">
        <v>16.8862495422363</v>
      </c>
      <c r="C1315">
        <f>C1316*(1+G1315*3)</f>
        <v>16.517951285883733</v>
      </c>
      <c r="D1315">
        <f t="shared" si="40"/>
        <v>16.912563665812698</v>
      </c>
      <c r="F1315">
        <v>11550.9404296875</v>
      </c>
      <c r="G1315">
        <f t="shared" si="41"/>
        <v>4.1510223004539437E-3</v>
      </c>
    </row>
    <row r="1316" spans="1:7" x14ac:dyDescent="0.25">
      <c r="A1316" s="1">
        <v>44111</v>
      </c>
      <c r="B1316">
        <v>16.641250610351499</v>
      </c>
      <c r="C1316">
        <f>C1317*(1+G1316*3)</f>
        <v>16.314782211522495</v>
      </c>
      <c r="D1316">
        <f t="shared" si="40"/>
        <v>16.704999286716479</v>
      </c>
      <c r="F1316">
        <v>11503.1904296875</v>
      </c>
      <c r="G1316">
        <f t="shared" si="41"/>
        <v>1.876856254746051E-2</v>
      </c>
    </row>
    <row r="1317" spans="1:7" x14ac:dyDescent="0.25">
      <c r="A1317" s="1">
        <v>44110</v>
      </c>
      <c r="B1317">
        <v>15.810000419616699</v>
      </c>
      <c r="C1317">
        <f>C1318*(1+G1317*3)</f>
        <v>15.445133357121485</v>
      </c>
      <c r="D1317">
        <f t="shared" si="40"/>
        <v>15.814966112608099</v>
      </c>
      <c r="F1317">
        <v>11291.26953125</v>
      </c>
      <c r="G1317">
        <f t="shared" si="41"/>
        <v>-1.8923356659330093E-2</v>
      </c>
    </row>
    <row r="1318" spans="1:7" x14ac:dyDescent="0.25">
      <c r="A1318" s="1">
        <v>44109</v>
      </c>
      <c r="B1318">
        <v>16.707500457763601</v>
      </c>
      <c r="C1318">
        <f>C1319*(1+G1318*3)</f>
        <v>16.374727800209946</v>
      </c>
      <c r="D1318">
        <f t="shared" si="40"/>
        <v>16.76731349910327</v>
      </c>
      <c r="F1318">
        <v>11509.0595703125</v>
      </c>
      <c r="G1318">
        <f t="shared" si="41"/>
        <v>2.2510315311864426E-2</v>
      </c>
    </row>
    <row r="1319" spans="1:7" x14ac:dyDescent="0.25">
      <c r="A1319" s="1">
        <v>44106</v>
      </c>
      <c r="B1319">
        <v>15.716250419616699</v>
      </c>
      <c r="C1319">
        <f>C1320*(1+G1319*3)</f>
        <v>15.338878804922134</v>
      </c>
      <c r="D1319">
        <f t="shared" si="40"/>
        <v>15.707038688133702</v>
      </c>
      <c r="F1319">
        <v>11255.6904296875</v>
      </c>
      <c r="G1319">
        <f t="shared" si="41"/>
        <v>-2.8274549356190559E-2</v>
      </c>
    </row>
    <row r="1320" spans="1:7" x14ac:dyDescent="0.25">
      <c r="A1320" s="1">
        <v>44105</v>
      </c>
      <c r="B1320">
        <v>17.128749847412099</v>
      </c>
      <c r="C1320">
        <f>C1321*(1+G1320*3)</f>
        <v>16.760571634691271</v>
      </c>
      <c r="D1320">
        <f t="shared" si="40"/>
        <v>17.163375653341053</v>
      </c>
      <c r="F1320">
        <v>11583.2001953125</v>
      </c>
      <c r="G1320">
        <f t="shared" si="41"/>
        <v>1.4463107674562714E-2</v>
      </c>
    </row>
    <row r="1321" spans="1:7" x14ac:dyDescent="0.25">
      <c r="A1321" s="1">
        <v>44104</v>
      </c>
      <c r="B1321">
        <v>16.362499237060501</v>
      </c>
      <c r="C1321">
        <f>C1322*(1+G1321*3)</f>
        <v>16.063583616247868</v>
      </c>
      <c r="D1321">
        <f t="shared" ref="D1321:D1384" si="42">D1322*(1+3*G1321-0.000027781779603679)</f>
        <v>16.450075045775378</v>
      </c>
      <c r="F1321">
        <v>11418.0595703125</v>
      </c>
      <c r="G1321">
        <f t="shared" si="41"/>
        <v>8.3996991384254205E-3</v>
      </c>
    </row>
    <row r="1322" spans="1:7" x14ac:dyDescent="0.25">
      <c r="A1322" s="1">
        <v>44103</v>
      </c>
      <c r="B1322">
        <v>16.045000076293899</v>
      </c>
      <c r="C1322">
        <f>C1323*(1+G1322*3)</f>
        <v>15.668745375163951</v>
      </c>
      <c r="D1322">
        <f t="shared" si="42"/>
        <v>16.046171790882841</v>
      </c>
      <c r="F1322">
        <v>11322.9501953125</v>
      </c>
      <c r="G1322">
        <f t="shared" si="41"/>
        <v>-3.6517384727611235E-3</v>
      </c>
    </row>
    <row r="1323" spans="1:7" x14ac:dyDescent="0.25">
      <c r="A1323" s="1">
        <v>44102</v>
      </c>
      <c r="B1323">
        <v>16.215000152587798</v>
      </c>
      <c r="C1323">
        <f>C1324*(1+G1323*3)</f>
        <v>15.842301197503936</v>
      </c>
      <c r="D1323">
        <f t="shared" si="42"/>
        <v>16.2243639345131</v>
      </c>
      <c r="F1323">
        <v>11364.4501953125</v>
      </c>
      <c r="G1323">
        <f t="shared" si="41"/>
        <v>1.912992806484981E-2</v>
      </c>
    </row>
    <row r="1324" spans="1:7" x14ac:dyDescent="0.25">
      <c r="A1324" s="1">
        <v>44099</v>
      </c>
      <c r="B1324">
        <v>15.307499885559</v>
      </c>
      <c r="C1324">
        <f>C1325*(1+G1324*3)</f>
        <v>14.982460994335753</v>
      </c>
      <c r="D1324">
        <f t="shared" si="42"/>
        <v>15.344190445143397</v>
      </c>
      <c r="F1324">
        <v>11151.1298828125</v>
      </c>
      <c r="G1324">
        <f t="shared" si="41"/>
        <v>2.3370886410046365E-2</v>
      </c>
    </row>
    <row r="1325" spans="1:7" x14ac:dyDescent="0.25">
      <c r="A1325" s="1">
        <v>44098</v>
      </c>
      <c r="B1325">
        <v>14.3050003051757</v>
      </c>
      <c r="C1325">
        <f>C1326*(1+G1325*3)</f>
        <v>14.000825861750334</v>
      </c>
      <c r="D1325">
        <f t="shared" si="42"/>
        <v>14.339227446799127</v>
      </c>
      <c r="F1325">
        <v>10896.4697265625</v>
      </c>
      <c r="G1325">
        <f t="shared" si="41"/>
        <v>5.8282769916697674E-3</v>
      </c>
    </row>
    <row r="1326" spans="1:7" x14ac:dyDescent="0.25">
      <c r="A1326" s="1">
        <v>44097</v>
      </c>
      <c r="B1326">
        <v>14.0987501144409</v>
      </c>
      <c r="C1326">
        <f>C1327*(1+G1326*3)</f>
        <v>13.760230556296335</v>
      </c>
      <c r="D1326">
        <f t="shared" si="42"/>
        <v>14.093201730862681</v>
      </c>
      <c r="F1326">
        <v>10833.330078125</v>
      </c>
      <c r="G1326">
        <f t="shared" si="41"/>
        <v>-3.1559838925771411E-2</v>
      </c>
    </row>
    <row r="1327" spans="1:7" x14ac:dyDescent="0.25">
      <c r="A1327" s="1">
        <v>44096</v>
      </c>
      <c r="B1327">
        <v>15.5375003814697</v>
      </c>
      <c r="C1327">
        <f>C1328*(1+G1327*3)</f>
        <v>15.199292196851431</v>
      </c>
      <c r="D1327">
        <f t="shared" si="42"/>
        <v>15.567563627098075</v>
      </c>
      <c r="F1327">
        <v>11186.3701171875</v>
      </c>
      <c r="G1327">
        <f t="shared" si="41"/>
        <v>1.8774705402870628E-2</v>
      </c>
    </row>
    <row r="1328" spans="1:7" x14ac:dyDescent="0.25">
      <c r="A1328" s="1">
        <v>44095</v>
      </c>
      <c r="B1328">
        <v>14.732500076293899</v>
      </c>
      <c r="C1328">
        <f>C1329*(1+G1328*3)</f>
        <v>14.388852780721466</v>
      </c>
      <c r="D1328">
        <f t="shared" si="42"/>
        <v>14.737875272011884</v>
      </c>
      <c r="F1328">
        <v>10980.2197265625</v>
      </c>
      <c r="G1328">
        <f t="shared" si="41"/>
        <v>3.9534913622683021E-3</v>
      </c>
    </row>
    <row r="1329" spans="1:7" x14ac:dyDescent="0.25">
      <c r="A1329" s="1">
        <v>44092</v>
      </c>
      <c r="B1329">
        <v>14.560000419616699</v>
      </c>
      <c r="C1329">
        <f>C1330*(1+G1329*3)</f>
        <v>14.220194531965761</v>
      </c>
      <c r="D1329">
        <f t="shared" si="42"/>
        <v>14.565525885911322</v>
      </c>
      <c r="F1329">
        <v>10936.98046875</v>
      </c>
      <c r="G1329">
        <f t="shared" si="41"/>
        <v>-1.2992543421357694E-2</v>
      </c>
    </row>
    <row r="1330" spans="1:7" x14ac:dyDescent="0.25">
      <c r="A1330" s="1">
        <v>44091</v>
      </c>
      <c r="B1330">
        <v>15.145000457763601</v>
      </c>
      <c r="C1330">
        <f>C1331*(1+G1330*3)</f>
        <v>14.796944358197651</v>
      </c>
      <c r="D1330">
        <f t="shared" si="42"/>
        <v>15.156719994528542</v>
      </c>
      <c r="F1330">
        <v>11080.9501953125</v>
      </c>
      <c r="G1330">
        <f t="shared" si="41"/>
        <v>-1.4816442605549041E-2</v>
      </c>
    </row>
    <row r="1331" spans="1:7" x14ac:dyDescent="0.25">
      <c r="A1331" s="1">
        <v>44090</v>
      </c>
      <c r="B1331">
        <v>15.8762502670288</v>
      </c>
      <c r="C1331">
        <f>C1332*(1+G1331*3)</f>
        <v>15.485253465823931</v>
      </c>
      <c r="D1331">
        <f t="shared" si="42"/>
        <v>15.86222595685194</v>
      </c>
      <c r="F1331">
        <v>11247.599609375</v>
      </c>
      <c r="G1331">
        <f t="shared" si="41"/>
        <v>-1.6721101459584387E-2</v>
      </c>
    </row>
    <row r="1332" spans="1:7" x14ac:dyDescent="0.25">
      <c r="A1332" s="1">
        <v>44089</v>
      </c>
      <c r="B1332">
        <v>16.6774997711181</v>
      </c>
      <c r="C1332">
        <f>C1333*(1+G1332*3)</f>
        <v>16.30306929308064</v>
      </c>
      <c r="D1332">
        <f t="shared" si="42"/>
        <v>16.700439136430941</v>
      </c>
      <c r="F1332">
        <v>11438.8701171875</v>
      </c>
      <c r="G1332">
        <f t="shared" si="41"/>
        <v>1.4285669752743813E-2</v>
      </c>
    </row>
    <row r="1333" spans="1:7" x14ac:dyDescent="0.25">
      <c r="A1333" s="1">
        <v>44088</v>
      </c>
      <c r="B1333">
        <v>15.997500419616699</v>
      </c>
      <c r="C1333">
        <f>C1334*(1+G1333*3)</f>
        <v>15.633082146781339</v>
      </c>
      <c r="D1333">
        <f t="shared" si="42"/>
        <v>16.014548400038212</v>
      </c>
      <c r="F1333">
        <v>11277.759765625</v>
      </c>
      <c r="G1333">
        <f t="shared" si="41"/>
        <v>1.7168981753464818E-2</v>
      </c>
    </row>
    <row r="1334" spans="1:7" x14ac:dyDescent="0.25">
      <c r="A1334" s="1">
        <v>44085</v>
      </c>
      <c r="B1334">
        <v>15.213749885559</v>
      </c>
      <c r="C1334">
        <f>C1335*(1+G1334*3)</f>
        <v>14.867312305683319</v>
      </c>
      <c r="D1334">
        <f t="shared" si="42"/>
        <v>15.230495245406525</v>
      </c>
      <c r="F1334">
        <v>11087.400390625</v>
      </c>
      <c r="G1334">
        <f t="shared" si="41"/>
        <v>-5.981621666391268E-3</v>
      </c>
    </row>
    <row r="1335" spans="1:7" x14ac:dyDescent="0.25">
      <c r="A1335" s="1">
        <v>44084</v>
      </c>
      <c r="B1335">
        <v>15.5537500381469</v>
      </c>
      <c r="C1335">
        <f>C1336*(1+G1335*3)</f>
        <v>15.138979244450272</v>
      </c>
      <c r="D1335">
        <f t="shared" si="42"/>
        <v>15.50923728901015</v>
      </c>
      <c r="F1335">
        <v>11154.1201171875</v>
      </c>
      <c r="G1335">
        <f t="shared" si="41"/>
        <v>-2.1212064082403947E-2</v>
      </c>
    </row>
    <row r="1336" spans="1:7" x14ac:dyDescent="0.25">
      <c r="A1336" s="1">
        <v>44083</v>
      </c>
      <c r="B1336">
        <v>16.508750915527301</v>
      </c>
      <c r="C1336">
        <f>C1337*(1+G1336*3)</f>
        <v>16.167838952236771</v>
      </c>
      <c r="D1336">
        <f t="shared" si="42"/>
        <v>16.563751536624434</v>
      </c>
      <c r="F1336">
        <v>11395.849609375</v>
      </c>
      <c r="G1336">
        <f t="shared" si="41"/>
        <v>2.9597231243831512E-2</v>
      </c>
    </row>
    <row r="1337" spans="1:7" x14ac:dyDescent="0.25">
      <c r="A1337" s="1">
        <v>44082</v>
      </c>
      <c r="B1337">
        <v>15.202500343322701</v>
      </c>
      <c r="C1337">
        <f>C1338*(1+G1337*3)</f>
        <v>14.849340829214572</v>
      </c>
      <c r="D1337">
        <f t="shared" si="42"/>
        <v>15.213354662839279</v>
      </c>
      <c r="F1337">
        <v>11068.259765625</v>
      </c>
      <c r="G1337">
        <f t="shared" si="41"/>
        <v>-4.7656507264352332E-2</v>
      </c>
    </row>
    <row r="1338" spans="1:7" x14ac:dyDescent="0.25">
      <c r="A1338" s="1">
        <v>44078</v>
      </c>
      <c r="B1338">
        <v>17.704999923706001</v>
      </c>
      <c r="C1338">
        <f>C1339*(1+G1338*3)</f>
        <v>17.32650262366629</v>
      </c>
      <c r="D1338">
        <f t="shared" si="42"/>
        <v>17.751816565175929</v>
      </c>
      <c r="F1338">
        <v>11622.1298828125</v>
      </c>
      <c r="G1338">
        <f t="shared" si="41"/>
        <v>-1.2678238207555204E-2</v>
      </c>
    </row>
    <row r="1339" spans="1:7" x14ac:dyDescent="0.25">
      <c r="A1339" s="1">
        <v>44077</v>
      </c>
      <c r="B1339">
        <v>18.466249465942301</v>
      </c>
      <c r="C1339">
        <f>C1340*(1+G1339*3)</f>
        <v>18.011567451594583</v>
      </c>
      <c r="D1339">
        <f t="shared" si="42"/>
        <v>18.454230653012882</v>
      </c>
      <c r="F1339">
        <v>11771.3701171875</v>
      </c>
      <c r="G1339">
        <f t="shared" si="41"/>
        <v>-5.2265837059690345E-2</v>
      </c>
    </row>
    <row r="1340" spans="1:7" x14ac:dyDescent="0.25">
      <c r="A1340" s="1">
        <v>44076</v>
      </c>
      <c r="B1340">
        <v>21.816249847412099</v>
      </c>
      <c r="C1340">
        <f>C1341*(1+G1340*3)</f>
        <v>21.360904041899364</v>
      </c>
      <c r="D1340">
        <f t="shared" si="42"/>
        <v>21.886603688301115</v>
      </c>
      <c r="F1340">
        <v>12420.5400390625</v>
      </c>
      <c r="G1340">
        <f t="shared" si="41"/>
        <v>1.0386491333058245E-2</v>
      </c>
    </row>
    <row r="1341" spans="1:7" x14ac:dyDescent="0.25">
      <c r="A1341" s="1">
        <v>44075</v>
      </c>
      <c r="B1341">
        <v>21.217500686645501</v>
      </c>
      <c r="C1341">
        <f>C1342*(1+G1341*3)</f>
        <v>20.715422376962479</v>
      </c>
      <c r="D1341">
        <f t="shared" si="42"/>
        <v>21.225808355467112</v>
      </c>
      <c r="F1341">
        <v>12292.8603515625</v>
      </c>
      <c r="G1341">
        <f t="shared" si="41"/>
        <v>1.5041257178548983E-2</v>
      </c>
    </row>
    <row r="1342" spans="1:7" x14ac:dyDescent="0.25">
      <c r="A1342" s="1">
        <v>44074</v>
      </c>
      <c r="B1342">
        <v>20.170000076293899</v>
      </c>
      <c r="C1342">
        <f>C1343*(1+G1342*3)</f>
        <v>19.821023060765697</v>
      </c>
      <c r="D1342">
        <f t="shared" si="42"/>
        <v>20.30991273865844</v>
      </c>
      <c r="F1342">
        <v>12110.7001953125</v>
      </c>
      <c r="G1342">
        <f t="shared" si="41"/>
        <v>9.5741935483870666E-3</v>
      </c>
    </row>
    <row r="1343" spans="1:7" x14ac:dyDescent="0.25">
      <c r="A1343" s="1">
        <v>44071</v>
      </c>
      <c r="B1343">
        <v>19.713750839233398</v>
      </c>
      <c r="C1343">
        <f>C1344*(1+G1343*3)</f>
        <v>19.267607646305365</v>
      </c>
      <c r="D1343">
        <f t="shared" si="42"/>
        <v>19.743380408898897</v>
      </c>
      <c r="F1343">
        <v>11995.849609375</v>
      </c>
      <c r="G1343">
        <f t="shared" si="41"/>
        <v>5.8434108054870038E-3</v>
      </c>
    </row>
    <row r="1344" spans="1:7" x14ac:dyDescent="0.25">
      <c r="A1344" s="1">
        <v>44070</v>
      </c>
      <c r="B1344">
        <v>19.413749694824201</v>
      </c>
      <c r="C1344">
        <f>C1345*(1+G1344*3)</f>
        <v>18.935661106155123</v>
      </c>
      <c r="D1344">
        <f t="shared" si="42"/>
        <v>19.403766935933636</v>
      </c>
      <c r="F1344">
        <v>11926.16015625</v>
      </c>
      <c r="G1344">
        <f t="shared" si="41"/>
        <v>-3.8239643528442668E-3</v>
      </c>
    </row>
    <row r="1345" spans="1:7" x14ac:dyDescent="0.25">
      <c r="A1345" s="1">
        <v>44069</v>
      </c>
      <c r="B1345">
        <v>19.591249465942301</v>
      </c>
      <c r="C1345">
        <f>C1346*(1+G1345*3)</f>
        <v>19.15540992025262</v>
      </c>
      <c r="D1345">
        <f t="shared" si="42"/>
        <v>19.62949980087901</v>
      </c>
      <c r="F1345">
        <v>11971.9404296875</v>
      </c>
      <c r="G1345">
        <f t="shared" si="41"/>
        <v>2.1338928761349241E-2</v>
      </c>
    </row>
    <row r="1346" spans="1:7" x14ac:dyDescent="0.25">
      <c r="A1346" s="1">
        <v>44068</v>
      </c>
      <c r="B1346">
        <v>18.412500381469702</v>
      </c>
      <c r="C1346">
        <f>C1347*(1+G1346*3)</f>
        <v>18.002920787697921</v>
      </c>
      <c r="D1346">
        <f t="shared" si="42"/>
        <v>18.4489686620601</v>
      </c>
      <c r="F1346">
        <v>11721.8095703125</v>
      </c>
      <c r="G1346">
        <f t="shared" ref="G1346:G1409" si="43">F1346/F1347-1</f>
        <v>8.2262386564255774E-3</v>
      </c>
    </row>
    <row r="1347" spans="1:7" x14ac:dyDescent="0.25">
      <c r="A1347" s="1">
        <v>44067</v>
      </c>
      <c r="B1347">
        <v>17.9925003051757</v>
      </c>
      <c r="C1347">
        <f>C1348*(1+G1347*3)</f>
        <v>17.569332227876302</v>
      </c>
      <c r="D1347">
        <f t="shared" si="42"/>
        <v>18.005125498324109</v>
      </c>
      <c r="F1347">
        <v>11626.169921875</v>
      </c>
      <c r="G1347">
        <f t="shared" si="43"/>
        <v>6.1452861461719355E-3</v>
      </c>
    </row>
    <row r="1348" spans="1:7" x14ac:dyDescent="0.25">
      <c r="A1348" s="1">
        <v>44064</v>
      </c>
      <c r="B1348">
        <v>17.665000915527301</v>
      </c>
      <c r="C1348">
        <f>C1349*(1+G1348*3)</f>
        <v>17.251289889590023</v>
      </c>
      <c r="D1348">
        <f t="shared" si="42"/>
        <v>17.679676655151304</v>
      </c>
      <c r="F1348">
        <v>11555.16015625</v>
      </c>
      <c r="G1348">
        <f t="shared" si="43"/>
        <v>6.8057865820707608E-3</v>
      </c>
    </row>
    <row r="1349" spans="1:7" x14ac:dyDescent="0.25">
      <c r="A1349" s="1">
        <v>44063</v>
      </c>
      <c r="B1349">
        <v>17.303749084472599</v>
      </c>
      <c r="C1349">
        <f>C1350*(1+G1349*3)</f>
        <v>16.906111724599224</v>
      </c>
      <c r="D1349">
        <f t="shared" si="42"/>
        <v>17.326398698017531</v>
      </c>
      <c r="F1349">
        <v>11477.0498046875</v>
      </c>
      <c r="G1349">
        <f t="shared" si="43"/>
        <v>1.39955119316717E-2</v>
      </c>
    </row>
    <row r="1350" spans="1:7" x14ac:dyDescent="0.25">
      <c r="A1350" s="1">
        <v>44062</v>
      </c>
      <c r="B1350">
        <v>16.620000839233398</v>
      </c>
      <c r="C1350">
        <f>C1351*(1+G1350*3)</f>
        <v>16.224885009382771</v>
      </c>
      <c r="D1350">
        <f t="shared" si="42"/>
        <v>16.628680004123524</v>
      </c>
      <c r="F1350">
        <v>11318.6396484375</v>
      </c>
      <c r="G1350">
        <f t="shared" si="43"/>
        <v>-7.0524091147761148E-3</v>
      </c>
    </row>
    <row r="1351" spans="1:7" x14ac:dyDescent="0.25">
      <c r="A1351" s="1">
        <v>44061</v>
      </c>
      <c r="B1351">
        <v>16.951250076293899</v>
      </c>
      <c r="C1351">
        <f>C1352*(1+G1351*3)</f>
        <v>16.575578287576743</v>
      </c>
      <c r="D1351">
        <f t="shared" si="42"/>
        <v>16.988583296257417</v>
      </c>
      <c r="F1351">
        <v>11399.0302734375</v>
      </c>
      <c r="G1351">
        <f t="shared" si="43"/>
        <v>9.7851151987942142E-3</v>
      </c>
    </row>
    <row r="1352" spans="1:7" x14ac:dyDescent="0.25">
      <c r="A1352" s="1">
        <v>44060</v>
      </c>
      <c r="B1352">
        <v>16.467500686645501</v>
      </c>
      <c r="C1352">
        <f>C1353*(1+G1352*3)</f>
        <v>16.102872888830504</v>
      </c>
      <c r="D1352">
        <f t="shared" si="42"/>
        <v>16.504545193818785</v>
      </c>
      <c r="F1352">
        <v>11288.5703125</v>
      </c>
      <c r="G1352">
        <f t="shared" si="43"/>
        <v>1.1117441075567891E-2</v>
      </c>
    </row>
    <row r="1353" spans="1:7" x14ac:dyDescent="0.25">
      <c r="A1353" s="1">
        <v>44057</v>
      </c>
      <c r="B1353">
        <v>15.9412498474121</v>
      </c>
      <c r="C1353">
        <f>C1354*(1+G1353*3)</f>
        <v>15.58313900001534</v>
      </c>
      <c r="D1353">
        <f t="shared" si="42"/>
        <v>15.9722764066992</v>
      </c>
      <c r="F1353">
        <v>11164.4501953125</v>
      </c>
      <c r="G1353">
        <f t="shared" si="43"/>
        <v>-1.2452550532029427E-3</v>
      </c>
    </row>
    <row r="1354" spans="1:7" x14ac:dyDescent="0.25">
      <c r="A1354" s="1">
        <v>44056</v>
      </c>
      <c r="B1354">
        <v>15.987500190734799</v>
      </c>
      <c r="C1354">
        <f>C1355*(1+G1354*3)</f>
        <v>15.641572240633403</v>
      </c>
      <c r="D1354">
        <f t="shared" si="42"/>
        <v>16.032615909231961</v>
      </c>
      <c r="F1354">
        <v>11178.3701171875</v>
      </c>
      <c r="G1354">
        <f t="shared" si="43"/>
        <v>1.850771585151012E-3</v>
      </c>
    </row>
    <row r="1355" spans="1:7" x14ac:dyDescent="0.25">
      <c r="A1355" s="1">
        <v>44055</v>
      </c>
      <c r="B1355">
        <v>15.8762502670288</v>
      </c>
      <c r="C1355">
        <f>C1356*(1+G1355*3)</f>
        <v>15.555204847236</v>
      </c>
      <c r="D1355">
        <f t="shared" si="42"/>
        <v>15.944529828410495</v>
      </c>
      <c r="F1355">
        <v>11157.7197265625</v>
      </c>
      <c r="G1355">
        <f t="shared" si="43"/>
        <v>2.5895326847028333E-2</v>
      </c>
    </row>
    <row r="1356" spans="1:7" x14ac:dyDescent="0.25">
      <c r="A1356" s="1">
        <v>44054</v>
      </c>
      <c r="B1356">
        <v>14.7712497711181</v>
      </c>
      <c r="C1356">
        <f>C1357*(1+G1356*3)</f>
        <v>14.433893664855914</v>
      </c>
      <c r="D1356">
        <f t="shared" si="42"/>
        <v>14.795535213980687</v>
      </c>
      <c r="F1356">
        <v>10876.080078125</v>
      </c>
      <c r="G1356">
        <f t="shared" si="43"/>
        <v>-1.8862123469789216E-2</v>
      </c>
    </row>
    <row r="1357" spans="1:7" x14ac:dyDescent="0.25">
      <c r="A1357" s="1">
        <v>44053</v>
      </c>
      <c r="B1357">
        <v>15.6599998474121</v>
      </c>
      <c r="C1357">
        <f>C1358*(1+G1357*3)</f>
        <v>15.299645046594348</v>
      </c>
      <c r="D1357">
        <f t="shared" si="42"/>
        <v>15.683439865365044</v>
      </c>
      <c r="F1357">
        <v>11085.169921875</v>
      </c>
      <c r="G1357">
        <f t="shared" si="43"/>
        <v>-4.8673875565620195E-3</v>
      </c>
    </row>
    <row r="1358" spans="1:7" x14ac:dyDescent="0.25">
      <c r="A1358" s="1">
        <v>44050</v>
      </c>
      <c r="B1358">
        <v>15.873749732971101</v>
      </c>
      <c r="C1358">
        <f>C1359*(1+G1358*3)</f>
        <v>15.526363532565551</v>
      </c>
      <c r="D1358">
        <f t="shared" si="42"/>
        <v>15.916294367804568</v>
      </c>
      <c r="F1358">
        <v>11139.3896484375</v>
      </c>
      <c r="G1358">
        <f t="shared" si="43"/>
        <v>-1.1333054243167329E-2</v>
      </c>
    </row>
    <row r="1359" spans="1:7" x14ac:dyDescent="0.25">
      <c r="A1359" s="1">
        <v>44049</v>
      </c>
      <c r="B1359">
        <v>16.409999847412099</v>
      </c>
      <c r="C1359">
        <f>C1360*(1+G1359*3)</f>
        <v>16.072826164867891</v>
      </c>
      <c r="D1359">
        <f t="shared" si="42"/>
        <v>16.476954794268174</v>
      </c>
      <c r="F1359">
        <v>11267.080078125</v>
      </c>
      <c r="G1359">
        <f t="shared" si="43"/>
        <v>1.2731149776286088E-2</v>
      </c>
    </row>
    <row r="1360" spans="1:7" x14ac:dyDescent="0.25">
      <c r="A1360" s="1">
        <v>44048</v>
      </c>
      <c r="B1360">
        <v>15.8050003051757</v>
      </c>
      <c r="C1360">
        <f>C1361*(1+G1360*3)</f>
        <v>15.481533018011426</v>
      </c>
      <c r="D1360">
        <f t="shared" si="42"/>
        <v>15.871219121669178</v>
      </c>
      <c r="F1360">
        <v>11125.4404296875</v>
      </c>
      <c r="G1360">
        <f t="shared" si="43"/>
        <v>2.6044506236415632E-3</v>
      </c>
    </row>
    <row r="1361" spans="1:7" x14ac:dyDescent="0.25">
      <c r="A1361" s="1">
        <v>44047</v>
      </c>
      <c r="B1361">
        <v>15.6800003051757</v>
      </c>
      <c r="C1361">
        <f>C1362*(1+G1361*3)</f>
        <v>15.361508149570753</v>
      </c>
      <c r="D1361">
        <f t="shared" si="42"/>
        <v>15.748607236191127</v>
      </c>
      <c r="F1361">
        <v>11096.5400390625</v>
      </c>
      <c r="G1361">
        <f t="shared" si="43"/>
        <v>3.7503085137788883E-3</v>
      </c>
    </row>
    <row r="1362" spans="1:7" x14ac:dyDescent="0.25">
      <c r="A1362" s="1">
        <v>44046</v>
      </c>
      <c r="B1362">
        <v>15.4787502288818</v>
      </c>
      <c r="C1362">
        <f>C1363*(1+G1362*3)</f>
        <v>15.190599841822172</v>
      </c>
      <c r="D1362">
        <f t="shared" si="42"/>
        <v>15.573820015240726</v>
      </c>
      <c r="F1362">
        <v>11055.080078125</v>
      </c>
      <c r="G1362">
        <f t="shared" si="43"/>
        <v>1.3680711406663937E-2</v>
      </c>
    </row>
    <row r="1363" spans="1:7" x14ac:dyDescent="0.25">
      <c r="A1363" s="1">
        <v>44043</v>
      </c>
      <c r="B1363">
        <v>14.9224996566772</v>
      </c>
      <c r="C1363">
        <f>C1364*(1+G1363*3)</f>
        <v>14.591724333236364</v>
      </c>
      <c r="D1363">
        <f t="shared" si="42"/>
        <v>14.960235638184953</v>
      </c>
      <c r="F1363">
        <v>10905.8798828125</v>
      </c>
      <c r="G1363">
        <f t="shared" si="43"/>
        <v>1.7765847948568947E-2</v>
      </c>
    </row>
    <row r="1364" spans="1:7" x14ac:dyDescent="0.25">
      <c r="A1364" s="1">
        <v>44042</v>
      </c>
      <c r="B1364">
        <v>14.158749580383301</v>
      </c>
      <c r="C1364">
        <f>C1365*(1+G1364*3)</f>
        <v>13.853373549092643</v>
      </c>
      <c r="D1364">
        <f t="shared" si="42"/>
        <v>14.203612575793333</v>
      </c>
      <c r="F1364">
        <v>10715.509765625</v>
      </c>
      <c r="G1364">
        <f t="shared" si="43"/>
        <v>4.9263240262840124E-3</v>
      </c>
    </row>
    <row r="1365" spans="1:7" x14ac:dyDescent="0.25">
      <c r="A1365" s="1">
        <v>44041</v>
      </c>
      <c r="B1365">
        <v>13.932499885559</v>
      </c>
      <c r="C1365">
        <f>C1366*(1+G1365*3)</f>
        <v>13.651616687240722</v>
      </c>
      <c r="D1365">
        <f t="shared" si="42"/>
        <v>13.99713812762783</v>
      </c>
      <c r="F1365">
        <v>10662.98046875</v>
      </c>
      <c r="G1365">
        <f t="shared" si="43"/>
        <v>1.238836636601004E-2</v>
      </c>
    </row>
    <row r="1366" spans="1:7" x14ac:dyDescent="0.25">
      <c r="A1366" s="1">
        <v>44040</v>
      </c>
      <c r="B1366">
        <v>13.4737501144409</v>
      </c>
      <c r="C1366">
        <f>C1367*(1+G1366*3)</f>
        <v>13.162433540342652</v>
      </c>
      <c r="D1366">
        <f t="shared" si="42"/>
        <v>13.495935296030206</v>
      </c>
      <c r="F1366">
        <v>10532.5</v>
      </c>
      <c r="G1366">
        <f t="shared" si="43"/>
        <v>-1.3291627651452642E-2</v>
      </c>
    </row>
    <row r="1367" spans="1:7" x14ac:dyDescent="0.25">
      <c r="A1367" s="1">
        <v>44039</v>
      </c>
      <c r="B1367">
        <v>14</v>
      </c>
      <c r="C1367">
        <f>C1368*(1+G1367*3)</f>
        <v>13.709081563082306</v>
      </c>
      <c r="D1367">
        <f t="shared" si="42"/>
        <v>14.056840697605464</v>
      </c>
      <c r="F1367">
        <v>10674.3798828125</v>
      </c>
      <c r="G1367">
        <f t="shared" si="43"/>
        <v>1.8243597297555425E-2</v>
      </c>
    </row>
    <row r="1368" spans="1:7" x14ac:dyDescent="0.25">
      <c r="A1368" s="1">
        <v>44036</v>
      </c>
      <c r="B1368">
        <v>13.2862501144409</v>
      </c>
      <c r="C1368">
        <f>C1369*(1+G1368*3)</f>
        <v>12.997706778316374</v>
      </c>
      <c r="D1368">
        <f t="shared" si="42"/>
        <v>13.327771479573755</v>
      </c>
      <c r="F1368">
        <v>10483.1298828125</v>
      </c>
      <c r="G1368">
        <f t="shared" si="43"/>
        <v>-9.2112030025499614E-3</v>
      </c>
    </row>
    <row r="1369" spans="1:7" x14ac:dyDescent="0.25">
      <c r="A1369" s="1">
        <v>44035</v>
      </c>
      <c r="B1369">
        <v>13.6912498474121</v>
      </c>
      <c r="C1369">
        <f>C1370*(1+G1369*3)</f>
        <v>13.367087652064509</v>
      </c>
      <c r="D1369">
        <f t="shared" si="42"/>
        <v>13.706924062559422</v>
      </c>
      <c r="F1369">
        <v>10580.58984375</v>
      </c>
      <c r="G1369">
        <f t="shared" si="43"/>
        <v>-2.6691824966078692E-2</v>
      </c>
    </row>
    <row r="1370" spans="1:7" x14ac:dyDescent="0.25">
      <c r="A1370" s="1">
        <v>44034</v>
      </c>
      <c r="B1370">
        <v>14.8549995422363</v>
      </c>
      <c r="C1370">
        <f>C1371*(1+G1370*3)</f>
        <v>14.530635163342138</v>
      </c>
      <c r="D1370">
        <f t="shared" si="42"/>
        <v>14.90050286846061</v>
      </c>
      <c r="F1370">
        <v>10870.75</v>
      </c>
      <c r="G1370">
        <f t="shared" si="43"/>
        <v>3.4782094469121283E-3</v>
      </c>
    </row>
    <row r="1371" spans="1:7" x14ac:dyDescent="0.25">
      <c r="A1371" s="1">
        <v>44033</v>
      </c>
      <c r="B1371">
        <v>14.685000419616699</v>
      </c>
      <c r="C1371">
        <f>C1372*(1+G1371*3)</f>
        <v>14.380579164436703</v>
      </c>
      <c r="D1371">
        <f t="shared" si="42"/>
        <v>14.747032761281952</v>
      </c>
      <c r="F1371">
        <v>10833.0703125</v>
      </c>
      <c r="G1371">
        <f t="shared" si="43"/>
        <v>-1.0866407547795665E-2</v>
      </c>
    </row>
    <row r="1372" spans="1:7" x14ac:dyDescent="0.25">
      <c r="A1372" s="1">
        <v>44032</v>
      </c>
      <c r="B1372">
        <v>15.170000076293899</v>
      </c>
      <c r="C1372">
        <f>C1373*(1+G1372*3)</f>
        <v>14.865172223378925</v>
      </c>
      <c r="D1372">
        <f t="shared" si="42"/>
        <v>15.244412267768324</v>
      </c>
      <c r="F1372">
        <v>10952.080078125</v>
      </c>
      <c r="G1372">
        <f t="shared" si="43"/>
        <v>2.8826117209850288E-2</v>
      </c>
    </row>
    <row r="1373" spans="1:7" x14ac:dyDescent="0.25">
      <c r="A1373" s="1">
        <v>44029</v>
      </c>
      <c r="B1373">
        <v>13.9799995422363</v>
      </c>
      <c r="C1373">
        <f>C1374*(1+G1373*3)</f>
        <v>13.6819773731188</v>
      </c>
      <c r="D1373">
        <f t="shared" si="42"/>
        <v>14.031390558222794</v>
      </c>
      <c r="F1373">
        <v>10645.2197265625</v>
      </c>
      <c r="G1373">
        <f t="shared" si="43"/>
        <v>1.765382422176387E-3</v>
      </c>
    </row>
    <row r="1374" spans="1:7" x14ac:dyDescent="0.25">
      <c r="A1374" s="1">
        <v>44028</v>
      </c>
      <c r="B1374">
        <v>13.914999961853001</v>
      </c>
      <c r="C1374">
        <f>C1375*(1+G1374*3)</f>
        <v>13.609897352457837</v>
      </c>
      <c r="D1374">
        <f t="shared" si="42"/>
        <v>13.957855474171177</v>
      </c>
      <c r="F1374">
        <v>10626.4599609375</v>
      </c>
      <c r="G1374">
        <f t="shared" si="43"/>
        <v>-7.0287776086551679E-3</v>
      </c>
    </row>
    <row r="1375" spans="1:7" x14ac:dyDescent="0.25">
      <c r="A1375" s="1">
        <v>44027</v>
      </c>
      <c r="B1375">
        <v>14.2200002670288</v>
      </c>
      <c r="C1375">
        <f>C1376*(1+G1375*3)</f>
        <v>13.903061943907076</v>
      </c>
      <c r="D1375">
        <f t="shared" si="42"/>
        <v>14.258919944020871</v>
      </c>
      <c r="F1375">
        <v>10701.6796875</v>
      </c>
      <c r="G1375">
        <f t="shared" si="43"/>
        <v>1.1375774387660798E-3</v>
      </c>
    </row>
    <row r="1376" spans="1:7" x14ac:dyDescent="0.25">
      <c r="A1376" s="1">
        <v>44026</v>
      </c>
      <c r="B1376">
        <v>14.149999618530201</v>
      </c>
      <c r="C1376">
        <f>C1377*(1+G1376*3)</f>
        <v>13.855775889760704</v>
      </c>
      <c r="D1376">
        <f t="shared" si="42"/>
        <v>14.210817031283959</v>
      </c>
      <c r="F1376">
        <v>10689.51953125</v>
      </c>
      <c r="G1376">
        <f t="shared" si="43"/>
        <v>8.2350350195083966E-3</v>
      </c>
    </row>
    <row r="1377" spans="1:7" x14ac:dyDescent="0.25">
      <c r="A1377" s="1">
        <v>44025</v>
      </c>
      <c r="B1377">
        <v>13.856249809265099</v>
      </c>
      <c r="C1377">
        <f>C1378*(1+G1377*3)</f>
        <v>13.521720367509385</v>
      </c>
      <c r="D1377">
        <f t="shared" si="42"/>
        <v>13.868577657022781</v>
      </c>
      <c r="F1377">
        <v>10602.2099609375</v>
      </c>
      <c r="G1377">
        <f t="shared" si="43"/>
        <v>-2.1605111278412581E-2</v>
      </c>
    </row>
    <row r="1378" spans="1:7" x14ac:dyDescent="0.25">
      <c r="A1378" s="1">
        <v>44022</v>
      </c>
      <c r="B1378">
        <v>14.768750190734799</v>
      </c>
      <c r="C1378">
        <f>C1379*(1+G1378*3)</f>
        <v>14.458877328434626</v>
      </c>
      <c r="D1378">
        <f t="shared" si="42"/>
        <v>14.830215003059099</v>
      </c>
      <c r="F1378">
        <v>10836.330078125</v>
      </c>
      <c r="G1378">
        <f t="shared" si="43"/>
        <v>7.6004976073078545E-3</v>
      </c>
    </row>
    <row r="1379" spans="1:7" x14ac:dyDescent="0.25">
      <c r="A1379" s="1">
        <v>44021</v>
      </c>
      <c r="B1379">
        <v>14.462499618530201</v>
      </c>
      <c r="C1379">
        <f>C1380*(1+G1379*3)</f>
        <v>14.136543043696957</v>
      </c>
      <c r="D1379">
        <f t="shared" si="42"/>
        <v>14.499996277715688</v>
      </c>
      <c r="F1379">
        <v>10754.58984375</v>
      </c>
      <c r="G1379">
        <f t="shared" si="43"/>
        <v>8.2396286413040087E-3</v>
      </c>
    </row>
    <row r="1380" spans="1:7" x14ac:dyDescent="0.25">
      <c r="A1380" s="1">
        <v>44020</v>
      </c>
      <c r="B1380">
        <v>14.1099996566772</v>
      </c>
      <c r="C1380">
        <f>C1381*(1+G1380*3)</f>
        <v>13.795532841137302</v>
      </c>
      <c r="D1380">
        <f t="shared" si="42"/>
        <v>14.150602283040449</v>
      </c>
      <c r="F1380">
        <v>10666.7001953125</v>
      </c>
      <c r="G1380">
        <f t="shared" si="43"/>
        <v>1.3558561125016855E-2</v>
      </c>
    </row>
    <row r="1381" spans="1:7" x14ac:dyDescent="0.25">
      <c r="A1381" s="1">
        <v>44019</v>
      </c>
      <c r="B1381">
        <v>13.587499618530201</v>
      </c>
      <c r="C1381">
        <f>C1382*(1+G1381*3)</f>
        <v>13.256322850166482</v>
      </c>
      <c r="D1381">
        <f t="shared" si="42"/>
        <v>13.597877112273766</v>
      </c>
      <c r="F1381">
        <v>10524.009765625</v>
      </c>
      <c r="G1381">
        <f t="shared" si="43"/>
        <v>-7.5489772720260806E-3</v>
      </c>
    </row>
    <row r="1382" spans="1:7" x14ac:dyDescent="0.25">
      <c r="A1382" s="1">
        <v>44018</v>
      </c>
      <c r="B1382">
        <v>13.8599996566772</v>
      </c>
      <c r="C1382">
        <f>C1383*(1+G1382*3)</f>
        <v>13.563494382637842</v>
      </c>
      <c r="D1382">
        <f t="shared" si="42"/>
        <v>13.913358532144173</v>
      </c>
      <c r="F1382">
        <v>10604.0595703125</v>
      </c>
      <c r="G1382">
        <f t="shared" si="43"/>
        <v>2.5350291947333847E-2</v>
      </c>
    </row>
    <row r="1383" spans="1:7" x14ac:dyDescent="0.25">
      <c r="A1383" s="1">
        <v>44014</v>
      </c>
      <c r="B1383">
        <v>12.9112501144409</v>
      </c>
      <c r="C1383">
        <f>C1384*(1+G1383*3)</f>
        <v>12.604882061942018</v>
      </c>
      <c r="D1383">
        <f t="shared" si="42"/>
        <v>12.930353083423084</v>
      </c>
      <c r="F1383">
        <v>10341.8896484375</v>
      </c>
      <c r="G1383">
        <f t="shared" si="43"/>
        <v>6.0937956015760797E-3</v>
      </c>
    </row>
    <row r="1384" spans="1:7" x14ac:dyDescent="0.25">
      <c r="A1384" s="1">
        <v>44013</v>
      </c>
      <c r="B1384">
        <v>12.642499923706</v>
      </c>
      <c r="C1384">
        <f>C1385*(1+G1384*3)</f>
        <v>12.3785843729256</v>
      </c>
      <c r="D1384">
        <f t="shared" si="42"/>
        <v>12.698558610164742</v>
      </c>
      <c r="F1384">
        <v>10279.25</v>
      </c>
      <c r="G1384">
        <f t="shared" si="43"/>
        <v>1.2051019295591603E-2</v>
      </c>
    </row>
    <row r="1385" spans="1:7" x14ac:dyDescent="0.25">
      <c r="A1385" s="1">
        <v>44012</v>
      </c>
      <c r="B1385">
        <v>12.206250190734799</v>
      </c>
      <c r="C1385">
        <f>C1386*(1+G1385*3)</f>
        <v>11.946675521251287</v>
      </c>
      <c r="D1385">
        <f t="shared" ref="D1385:D1448" si="44">D1386*(1+3*G1385-0.000027781779603679)</f>
        <v>12.255813947396911</v>
      </c>
      <c r="F1385">
        <v>10156.849609375</v>
      </c>
      <c r="G1385">
        <f t="shared" si="43"/>
        <v>1.9645247145456013E-2</v>
      </c>
    </row>
    <row r="1386" spans="1:7" x14ac:dyDescent="0.25">
      <c r="A1386" s="1">
        <v>44011</v>
      </c>
      <c r="B1386">
        <v>11.5424995422363</v>
      </c>
      <c r="C1386">
        <f>C1387*(1+G1386*3)</f>
        <v>11.281775705338365</v>
      </c>
      <c r="D1386">
        <f t="shared" si="44"/>
        <v>11.574012486759969</v>
      </c>
      <c r="F1386">
        <v>9961.16015625</v>
      </c>
      <c r="G1386">
        <f t="shared" si="43"/>
        <v>1.1350971098317508E-2</v>
      </c>
    </row>
    <row r="1387" spans="1:7" x14ac:dyDescent="0.25">
      <c r="A1387" s="1">
        <v>44008</v>
      </c>
      <c r="B1387">
        <v>11.185000419616699</v>
      </c>
      <c r="C1387">
        <f>C1388*(1+G1387*3)</f>
        <v>10.910249911089762</v>
      </c>
      <c r="D1387">
        <f t="shared" si="44"/>
        <v>11.19316362243384</v>
      </c>
      <c r="F1387">
        <v>9849.3603515625</v>
      </c>
      <c r="G1387">
        <f t="shared" si="43"/>
        <v>-2.4992474097263906E-2</v>
      </c>
    </row>
    <row r="1388" spans="1:7" x14ac:dyDescent="0.25">
      <c r="A1388" s="1">
        <v>44007</v>
      </c>
      <c r="B1388">
        <v>12.051250457763601</v>
      </c>
      <c r="C1388">
        <f>C1389*(1+G1388*3)</f>
        <v>11.794576882783202</v>
      </c>
      <c r="D1388">
        <f t="shared" si="44"/>
        <v>12.100785508957372</v>
      </c>
      <c r="F1388">
        <v>10101.830078125</v>
      </c>
      <c r="G1388">
        <f t="shared" si="43"/>
        <v>9.9103123033672524E-3</v>
      </c>
    </row>
    <row r="1389" spans="1:7" x14ac:dyDescent="0.25">
      <c r="A1389" s="1">
        <v>44006</v>
      </c>
      <c r="B1389">
        <v>11.7399997711181</v>
      </c>
      <c r="C1389">
        <f>C1390*(1+G1389*3)</f>
        <v>11.454037613140976</v>
      </c>
      <c r="D1389">
        <f t="shared" si="44"/>
        <v>11.751722279052156</v>
      </c>
      <c r="F1389">
        <v>10002.7001953125</v>
      </c>
      <c r="G1389">
        <f t="shared" si="43"/>
        <v>-2.0286362624219789E-2</v>
      </c>
    </row>
    <row r="1390" spans="1:7" x14ac:dyDescent="0.25">
      <c r="A1390" s="1">
        <v>44005</v>
      </c>
      <c r="B1390">
        <v>12.4750003814697</v>
      </c>
      <c r="C1390">
        <f>C1391*(1+G1390*3)</f>
        <v>12.196292872807879</v>
      </c>
      <c r="D1390">
        <f t="shared" si="44"/>
        <v>12.513638558861063</v>
      </c>
      <c r="F1390">
        <v>10209.8203125</v>
      </c>
      <c r="G1390">
        <f t="shared" si="43"/>
        <v>7.8467565974624787E-3</v>
      </c>
    </row>
    <row r="1391" spans="1:7" x14ac:dyDescent="0.25">
      <c r="A1391" s="1">
        <v>44004</v>
      </c>
      <c r="B1391">
        <v>12.1575002670288</v>
      </c>
      <c r="C1391">
        <f>C1392*(1+G1391*3)</f>
        <v>11.915791916308038</v>
      </c>
      <c r="D1391">
        <f t="shared" si="44"/>
        <v>12.226170863002471</v>
      </c>
      <c r="F1391">
        <v>10130.330078125</v>
      </c>
      <c r="G1391">
        <f t="shared" si="43"/>
        <v>1.2158538419004605E-2</v>
      </c>
    </row>
    <row r="1392" spans="1:7" x14ac:dyDescent="0.25">
      <c r="A1392" s="1">
        <v>44001</v>
      </c>
      <c r="B1392">
        <v>11.7399997711181</v>
      </c>
      <c r="C1392">
        <f>C1393*(1+G1392*3)</f>
        <v>11.496451764910351</v>
      </c>
      <c r="D1392">
        <f t="shared" si="44"/>
        <v>11.796224053054519</v>
      </c>
      <c r="F1392">
        <v>10008.6396484375</v>
      </c>
      <c r="G1392">
        <f t="shared" si="43"/>
        <v>-3.4060520238354819E-4</v>
      </c>
    </row>
    <row r="1393" spans="1:7" x14ac:dyDescent="0.25">
      <c r="A1393" s="1">
        <v>44000</v>
      </c>
      <c r="B1393">
        <v>11.7562503814697</v>
      </c>
      <c r="C1393">
        <f>C1394*(1+G1393*3)</f>
        <v>11.508211034555844</v>
      </c>
      <c r="D1393">
        <f t="shared" si="44"/>
        <v>11.808618348013775</v>
      </c>
      <c r="F1393">
        <v>10012.0498046875</v>
      </c>
      <c r="G1393">
        <f t="shared" si="43"/>
        <v>2.9621230945622301E-3</v>
      </c>
    </row>
    <row r="1394" spans="1:7" x14ac:dyDescent="0.25">
      <c r="A1394" s="1">
        <v>43999</v>
      </c>
      <c r="B1394">
        <v>11.6662502288818</v>
      </c>
      <c r="C1394">
        <f>C1395*(1+G1394*3)</f>
        <v>11.406845592261018</v>
      </c>
      <c r="D1394">
        <f t="shared" si="44"/>
        <v>11.704929208392137</v>
      </c>
      <c r="F1394">
        <v>9982.48046875</v>
      </c>
      <c r="G1394">
        <f t="shared" si="43"/>
        <v>3.3278841949302418E-3</v>
      </c>
    </row>
    <row r="1395" spans="1:7" x14ac:dyDescent="0.25">
      <c r="A1395" s="1">
        <v>43998</v>
      </c>
      <c r="B1395">
        <v>11.5537500381469</v>
      </c>
      <c r="C1395">
        <f>C1396*(1+G1395*3)</f>
        <v>11.294089328147203</v>
      </c>
      <c r="D1395">
        <f t="shared" si="44"/>
        <v>11.589545193752263</v>
      </c>
      <c r="F1395">
        <v>9949.3701171875</v>
      </c>
      <c r="G1395">
        <f t="shared" si="43"/>
        <v>1.7641650356313932E-2</v>
      </c>
    </row>
    <row r="1396" spans="1:7" x14ac:dyDescent="0.25">
      <c r="A1396" s="1">
        <v>43997</v>
      </c>
      <c r="B1396">
        <v>10.9737501144409</v>
      </c>
      <c r="C1396">
        <f>C1397*(1+G1396*3)</f>
        <v>10.726395377639509</v>
      </c>
      <c r="D1396">
        <f t="shared" si="44"/>
        <v>11.007290675474724</v>
      </c>
      <c r="F1396">
        <v>9776.8896484375</v>
      </c>
      <c r="G1396">
        <f t="shared" si="43"/>
        <v>1.1704464691824512E-2</v>
      </c>
    </row>
    <row r="1397" spans="1:7" x14ac:dyDescent="0.25">
      <c r="A1397" s="1">
        <v>43994</v>
      </c>
      <c r="B1397">
        <v>10.6000003814697</v>
      </c>
      <c r="C1397">
        <f>C1398*(1+G1397*3)</f>
        <v>10.36253171781237</v>
      </c>
      <c r="D1397">
        <f t="shared" si="44"/>
        <v>10.63418382471767</v>
      </c>
      <c r="F1397">
        <v>9663.7802734375</v>
      </c>
      <c r="G1397">
        <f t="shared" si="43"/>
        <v>7.8531530551593232E-3</v>
      </c>
    </row>
    <row r="1398" spans="1:7" x14ac:dyDescent="0.25">
      <c r="A1398" s="1">
        <v>43993</v>
      </c>
      <c r="B1398">
        <v>10.375</v>
      </c>
      <c r="C1398">
        <f>C1399*(1+G1398*3)</f>
        <v>10.124015390626241</v>
      </c>
      <c r="D1398">
        <f t="shared" si="44"/>
        <v>10.389696830759204</v>
      </c>
      <c r="F1398">
        <v>9588.48046875</v>
      </c>
      <c r="G1398">
        <f t="shared" si="43"/>
        <v>-5.0105635144974348E-2</v>
      </c>
    </row>
    <row r="1399" spans="1:7" x14ac:dyDescent="0.25">
      <c r="A1399" s="1">
        <v>43992</v>
      </c>
      <c r="B1399">
        <v>12.1662502288818</v>
      </c>
      <c r="C1399">
        <f>C1400*(1+G1399*3)</f>
        <v>11.915048628581189</v>
      </c>
      <c r="D1399">
        <f t="shared" si="44"/>
        <v>12.228131425081155</v>
      </c>
      <c r="F1399">
        <v>10094.259765625</v>
      </c>
      <c r="G1399">
        <f t="shared" si="43"/>
        <v>1.2750845500393737E-2</v>
      </c>
    </row>
    <row r="1400" spans="1:7" x14ac:dyDescent="0.25">
      <c r="A1400" s="1">
        <v>43991</v>
      </c>
      <c r="B1400">
        <v>11.7425003051757</v>
      </c>
      <c r="C1400">
        <f>C1401*(1+G1400*3)</f>
        <v>11.476060216268621</v>
      </c>
      <c r="D1400">
        <f t="shared" si="44"/>
        <v>11.777923199645143</v>
      </c>
      <c r="F1400">
        <v>9967.169921875</v>
      </c>
      <c r="G1400">
        <f t="shared" si="43"/>
        <v>6.6303349115055532E-3</v>
      </c>
    </row>
    <row r="1401" spans="1:7" x14ac:dyDescent="0.25">
      <c r="A1401" s="1">
        <v>43990</v>
      </c>
      <c r="B1401">
        <v>11.486249923706</v>
      </c>
      <c r="C1401">
        <f>C1402*(1+G1401*3)</f>
        <v>11.252241820934486</v>
      </c>
      <c r="D1401">
        <f t="shared" si="44"/>
        <v>11.548532131122677</v>
      </c>
      <c r="F1401">
        <v>9901.51953125</v>
      </c>
      <c r="G1401">
        <f t="shared" si="43"/>
        <v>7.8508574652031982E-3</v>
      </c>
    </row>
    <row r="1402" spans="1:7" x14ac:dyDescent="0.25">
      <c r="A1402" s="1">
        <v>43987</v>
      </c>
      <c r="B1402">
        <v>11.236249923706</v>
      </c>
      <c r="C1402">
        <f>C1403*(1+G1402*3)</f>
        <v>10.993320836074675</v>
      </c>
      <c r="D1402">
        <f t="shared" si="44"/>
        <v>11.283099576095486</v>
      </c>
      <c r="F1402">
        <v>9824.3896484375</v>
      </c>
      <c r="G1402">
        <f t="shared" si="43"/>
        <v>2.0221844699380487E-2</v>
      </c>
    </row>
    <row r="1403" spans="1:7" x14ac:dyDescent="0.25">
      <c r="A1403" s="1">
        <v>43986</v>
      </c>
      <c r="B1403">
        <v>10.607500076293899</v>
      </c>
      <c r="C1403">
        <f>C1404*(1+G1403*3)</f>
        <v>10.364549881807966</v>
      </c>
      <c r="D1403">
        <f t="shared" si="44"/>
        <v>10.638033156401235</v>
      </c>
      <c r="F1403">
        <v>9629.66015625</v>
      </c>
      <c r="G1403">
        <f t="shared" si="43"/>
        <v>-7.7313412499976364E-3</v>
      </c>
    </row>
    <row r="1404" spans="1:7" x14ac:dyDescent="0.25">
      <c r="A1404" s="1">
        <v>43985</v>
      </c>
      <c r="B1404">
        <v>10.827500343322701</v>
      </c>
      <c r="C1404">
        <f>C1405*(1+G1404*3)</f>
        <v>10.61065363420261</v>
      </c>
      <c r="D1404">
        <f t="shared" si="44"/>
        <v>10.890940457745415</v>
      </c>
      <c r="F1404">
        <v>9704.6904296875</v>
      </c>
      <c r="G1404">
        <f t="shared" si="43"/>
        <v>4.9062173092859762E-3</v>
      </c>
    </row>
    <row r="1405" spans="1:7" x14ac:dyDescent="0.25">
      <c r="A1405" s="1">
        <v>43984</v>
      </c>
      <c r="B1405">
        <v>10.682499885559</v>
      </c>
      <c r="C1405">
        <f>C1406*(1+G1405*3)</f>
        <v>10.456744452310492</v>
      </c>
      <c r="D1405">
        <f t="shared" si="44"/>
        <v>10.733259535639819</v>
      </c>
      <c r="F1405">
        <v>9657.3095703125</v>
      </c>
      <c r="G1405">
        <f t="shared" si="43"/>
        <v>6.0861124582789472E-3</v>
      </c>
    </row>
    <row r="1406" spans="1:7" x14ac:dyDescent="0.25">
      <c r="A1406" s="1">
        <v>43983</v>
      </c>
      <c r="B1406">
        <v>10.4737501144409</v>
      </c>
      <c r="C1406">
        <f>C1407*(1+G1406*3)</f>
        <v>10.269245110498124</v>
      </c>
      <c r="D1406">
        <f t="shared" si="44"/>
        <v>10.541089615372437</v>
      </c>
      <c r="F1406">
        <v>9598.8896484375</v>
      </c>
      <c r="G1406">
        <f t="shared" si="43"/>
        <v>4.5376210172793918E-3</v>
      </c>
    </row>
    <row r="1407" spans="1:7" x14ac:dyDescent="0.25">
      <c r="A1407" s="1">
        <v>43980</v>
      </c>
      <c r="B1407">
        <v>10.346249580383301</v>
      </c>
      <c r="C1407">
        <f>C1408*(1+G1407*3)</f>
        <v>10.131328720098271</v>
      </c>
      <c r="D1407">
        <f t="shared" si="44"/>
        <v>10.399807386807078</v>
      </c>
      <c r="F1407">
        <v>9555.5302734375</v>
      </c>
      <c r="G1407">
        <f t="shared" si="43"/>
        <v>1.4741912310759941E-2</v>
      </c>
    </row>
    <row r="1408" spans="1:7" x14ac:dyDescent="0.25">
      <c r="A1408" s="1">
        <v>43979</v>
      </c>
      <c r="B1408">
        <v>9.9362497329711896</v>
      </c>
      <c r="C1408">
        <f>C1409*(1+G1408*3)</f>
        <v>9.702240005941654</v>
      </c>
      <c r="D1408">
        <f t="shared" si="44"/>
        <v>9.9596128641015031</v>
      </c>
      <c r="F1408">
        <v>9416.7099609375</v>
      </c>
      <c r="G1408">
        <f t="shared" si="43"/>
        <v>-2.6837227375585693E-3</v>
      </c>
    </row>
    <row r="1409" spans="1:7" x14ac:dyDescent="0.25">
      <c r="A1409" s="1">
        <v>43978</v>
      </c>
      <c r="B1409">
        <v>10</v>
      </c>
      <c r="C1409">
        <f>C1410*(1+G1409*3)</f>
        <v>9.7809883887456728</v>
      </c>
      <c r="D1409">
        <f t="shared" si="44"/>
        <v>10.040731431220239</v>
      </c>
      <c r="F1409">
        <v>9442.0498046875</v>
      </c>
      <c r="G1409">
        <f t="shared" si="43"/>
        <v>5.5452017297359379E-3</v>
      </c>
    </row>
    <row r="1410" spans="1:7" x14ac:dyDescent="0.25">
      <c r="A1410" s="1">
        <v>43977</v>
      </c>
      <c r="B1410">
        <v>9.8612499237060494</v>
      </c>
      <c r="C1410">
        <f>C1411*(1+G1410*3)</f>
        <v>9.6209382583303444</v>
      </c>
      <c r="D1410">
        <f t="shared" si="44"/>
        <v>9.8767009263656842</v>
      </c>
      <c r="F1410">
        <v>9389.98046875</v>
      </c>
      <c r="G1410">
        <f t="shared" ref="G1410:G1473" si="45">F1410/F1411-1</f>
        <v>-2.5504345157836283E-3</v>
      </c>
    </row>
    <row r="1411" spans="1:7" x14ac:dyDescent="0.25">
      <c r="A1411" s="1">
        <v>43973</v>
      </c>
      <c r="B1411">
        <v>9.9025001525878906</v>
      </c>
      <c r="C1411">
        <f>C1412*(1+G1411*3)</f>
        <v>9.6951185533092676</v>
      </c>
      <c r="D1411">
        <f t="shared" si="44"/>
        <v>9.953131875306596</v>
      </c>
      <c r="F1411">
        <v>9413.990234375</v>
      </c>
      <c r="G1411">
        <f t="shared" si="45"/>
        <v>3.8387755905355814E-3</v>
      </c>
    </row>
    <row r="1412" spans="1:7" x14ac:dyDescent="0.25">
      <c r="A1412" s="1">
        <v>43972</v>
      </c>
      <c r="B1412">
        <v>9.8137502670287997</v>
      </c>
      <c r="C1412">
        <f>C1413*(1+G1412*3)</f>
        <v>9.5847375832801127</v>
      </c>
      <c r="D1412">
        <f t="shared" si="44"/>
        <v>9.8400836317778442</v>
      </c>
      <c r="F1412">
        <v>9377.990234375</v>
      </c>
      <c r="G1412">
        <f t="shared" si="45"/>
        <v>-1.1284035475348619E-2</v>
      </c>
    </row>
    <row r="1413" spans="1:7" x14ac:dyDescent="0.25">
      <c r="A1413" s="1">
        <v>43971</v>
      </c>
      <c r="B1413">
        <v>10.125</v>
      </c>
      <c r="C1413">
        <f>C1414*(1+G1413*3)</f>
        <v>9.9205697668339905</v>
      </c>
      <c r="D1413">
        <f t="shared" si="44"/>
        <v>10.185155563630806</v>
      </c>
      <c r="F1413">
        <v>9485.01953125</v>
      </c>
      <c r="G1413">
        <f t="shared" si="45"/>
        <v>2.0054706588788385E-2</v>
      </c>
    </row>
    <row r="1414" spans="1:7" x14ac:dyDescent="0.25">
      <c r="A1414" s="1">
        <v>43970</v>
      </c>
      <c r="B1414">
        <v>9.5649995803833008</v>
      </c>
      <c r="C1414">
        <f>C1415*(1+G1414*3)</f>
        <v>9.357579248220782</v>
      </c>
      <c r="D1414">
        <f t="shared" si="44"/>
        <v>9.6074016130536553</v>
      </c>
      <c r="F1414">
        <v>9298.5400390625</v>
      </c>
      <c r="G1414">
        <f t="shared" si="45"/>
        <v>-3.578000430310202E-3</v>
      </c>
    </row>
    <row r="1415" spans="1:7" x14ac:dyDescent="0.25">
      <c r="A1415" s="1">
        <v>43969</v>
      </c>
      <c r="B1415">
        <v>9.63875007629394</v>
      </c>
      <c r="C1415">
        <f>C1416*(1+G1415*3)</f>
        <v>9.4591133834902248</v>
      </c>
      <c r="D1415">
        <f t="shared" si="44"/>
        <v>9.7119191804724618</v>
      </c>
      <c r="F1415">
        <v>9331.9296875</v>
      </c>
      <c r="G1415">
        <f t="shared" si="45"/>
        <v>1.9588888664824333E-2</v>
      </c>
    </row>
    <row r="1416" spans="1:7" x14ac:dyDescent="0.25">
      <c r="A1416" s="1">
        <v>43966</v>
      </c>
      <c r="B1416">
        <v>9.1112499237060494</v>
      </c>
      <c r="C1416">
        <f>C1417*(1+G1416*3)</f>
        <v>8.9340868836340981</v>
      </c>
      <c r="D1416">
        <f t="shared" si="44"/>
        <v>9.1731014372581061</v>
      </c>
      <c r="F1416">
        <v>9152.6396484375</v>
      </c>
      <c r="G1416">
        <f t="shared" si="45"/>
        <v>6.4016976412606397E-3</v>
      </c>
    </row>
    <row r="1417" spans="1:7" x14ac:dyDescent="0.25">
      <c r="A1417" s="1">
        <v>43965</v>
      </c>
      <c r="B1417">
        <v>8.9575004577636701</v>
      </c>
      <c r="C1417">
        <f>C1418*(1+G1417*3)</f>
        <v>8.7657400317780851</v>
      </c>
      <c r="D1417">
        <f t="shared" si="44"/>
        <v>9.0004961226618505</v>
      </c>
      <c r="F1417">
        <v>9094.419921875</v>
      </c>
      <c r="G1417">
        <f t="shared" si="45"/>
        <v>1.0482111595795374E-2</v>
      </c>
    </row>
    <row r="1418" spans="1:7" x14ac:dyDescent="0.25">
      <c r="A1418" s="1">
        <v>43964</v>
      </c>
      <c r="B1418">
        <v>8.67000007629394</v>
      </c>
      <c r="C1418">
        <f>C1419*(1+G1418*3)</f>
        <v>8.4984935581597494</v>
      </c>
      <c r="D1418">
        <f t="shared" si="44"/>
        <v>8.7263275383353882</v>
      </c>
      <c r="F1418">
        <v>9000.080078125</v>
      </c>
      <c r="G1418">
        <f t="shared" si="45"/>
        <v>-1.2331493152665352E-2</v>
      </c>
    </row>
    <row r="1419" spans="1:7" x14ac:dyDescent="0.25">
      <c r="A1419" s="1">
        <v>43963</v>
      </c>
      <c r="B1419">
        <v>9.0112495422363192</v>
      </c>
      <c r="C1419">
        <f>C1420*(1+G1419*3)</f>
        <v>8.8249686807367222</v>
      </c>
      <c r="D1419">
        <f t="shared" si="44"/>
        <v>9.0618164751661752</v>
      </c>
      <c r="F1419">
        <v>9112.4501953125</v>
      </c>
      <c r="G1419">
        <f t="shared" si="45"/>
        <v>-2.0052837117550015E-2</v>
      </c>
    </row>
    <row r="1420" spans="1:7" x14ac:dyDescent="0.25">
      <c r="A1420" s="1">
        <v>43962</v>
      </c>
      <c r="B1420">
        <v>9.5812501907348597</v>
      </c>
      <c r="C1420">
        <f>C1421*(1+G1420*3)</f>
        <v>9.3898479555716357</v>
      </c>
      <c r="D1420">
        <f t="shared" si="44"/>
        <v>9.642141212610964</v>
      </c>
      <c r="F1420">
        <v>9298.919921875</v>
      </c>
      <c r="G1420">
        <f t="shared" si="45"/>
        <v>8.5214027481248511E-3</v>
      </c>
    </row>
    <row r="1421" spans="1:7" x14ac:dyDescent="0.25">
      <c r="A1421" s="1">
        <v>43959</v>
      </c>
      <c r="B1421">
        <v>9.3487501144409109</v>
      </c>
      <c r="C1421">
        <f>C1422*(1+G1421*3)</f>
        <v>9.1557874973481859</v>
      </c>
      <c r="D1421">
        <f t="shared" si="44"/>
        <v>9.4020465424610542</v>
      </c>
      <c r="F1421">
        <v>9220.349609375</v>
      </c>
      <c r="G1421">
        <f t="shared" si="45"/>
        <v>1.3015962426202954E-2</v>
      </c>
    </row>
    <row r="1422" spans="1:7" x14ac:dyDescent="0.25">
      <c r="A1422" s="1">
        <v>43958</v>
      </c>
      <c r="B1422">
        <v>8.9862499237060494</v>
      </c>
      <c r="C1422">
        <f>C1423*(1+G1422*3)</f>
        <v>8.8117088821847211</v>
      </c>
      <c r="D1422">
        <f t="shared" si="44"/>
        <v>9.0489553500464552</v>
      </c>
      <c r="F1422">
        <v>9101.8798828125</v>
      </c>
      <c r="G1422">
        <f t="shared" si="45"/>
        <v>1.3024079025296231E-2</v>
      </c>
    </row>
    <row r="1423" spans="1:7" x14ac:dyDescent="0.25">
      <c r="A1423" s="1">
        <v>43957</v>
      </c>
      <c r="B1423">
        <v>8.6487503051757795</v>
      </c>
      <c r="C1423">
        <f>C1424*(1+G1423*3)</f>
        <v>8.4803621613279212</v>
      </c>
      <c r="D1423">
        <f t="shared" si="44"/>
        <v>8.7089203006873586</v>
      </c>
      <c r="F1423">
        <v>8984.8603515625</v>
      </c>
      <c r="G1423">
        <f t="shared" si="45"/>
        <v>6.0735126635396153E-3</v>
      </c>
    </row>
    <row r="1424" spans="1:7" x14ac:dyDescent="0.25">
      <c r="A1424" s="1">
        <v>43956</v>
      </c>
      <c r="B1424">
        <v>8.4812498092651296</v>
      </c>
      <c r="C1424">
        <f>C1425*(1+G1424*3)</f>
        <v>8.3286103991413043</v>
      </c>
      <c r="D1424">
        <f t="shared" si="44"/>
        <v>8.5533119810199079</v>
      </c>
      <c r="F1424">
        <v>8930.6201171875</v>
      </c>
      <c r="G1424">
        <f t="shared" si="45"/>
        <v>1.0924672862834495E-2</v>
      </c>
    </row>
    <row r="1425" spans="1:7" x14ac:dyDescent="0.25">
      <c r="A1425" s="1">
        <v>43955</v>
      </c>
      <c r="B1425">
        <v>8.21875</v>
      </c>
      <c r="C1425">
        <f>C1426*(1+G1425*3)</f>
        <v>8.0643105357395122</v>
      </c>
      <c r="D1425">
        <f t="shared" si="44"/>
        <v>8.2821042344815829</v>
      </c>
      <c r="F1425">
        <v>8834.1103515625</v>
      </c>
      <c r="G1425">
        <f t="shared" si="45"/>
        <v>1.3297576812820289E-2</v>
      </c>
    </row>
    <row r="1426" spans="1:7" x14ac:dyDescent="0.25">
      <c r="A1426" s="1">
        <v>43952</v>
      </c>
      <c r="B1426">
        <v>7.9387497901916504</v>
      </c>
      <c r="C1426">
        <f>C1427*(1+G1426*3)</f>
        <v>7.7549446204314476</v>
      </c>
      <c r="D1426">
        <f t="shared" si="44"/>
        <v>7.9645960229385979</v>
      </c>
      <c r="F1426">
        <v>8718.1796875</v>
      </c>
      <c r="G1426">
        <f t="shared" si="45"/>
        <v>-3.1368231964291948E-2</v>
      </c>
    </row>
    <row r="1427" spans="1:7" x14ac:dyDescent="0.25">
      <c r="A1427" s="1">
        <v>43951</v>
      </c>
      <c r="B1427">
        <v>8.7212495803833008</v>
      </c>
      <c r="C1427">
        <f>C1428*(1+G1427*3)</f>
        <v>8.560530764727762</v>
      </c>
      <c r="D1427">
        <f t="shared" si="44"/>
        <v>8.7922304604480157</v>
      </c>
      <c r="F1427">
        <v>9000.509765625</v>
      </c>
      <c r="G1427">
        <f t="shared" si="45"/>
        <v>1.9760074256829352E-3</v>
      </c>
    </row>
    <row r="1428" spans="1:7" x14ac:dyDescent="0.25">
      <c r="A1428" s="1">
        <v>43950</v>
      </c>
      <c r="B1428">
        <v>8.6637496948242099</v>
      </c>
      <c r="C1428">
        <f>C1429*(1+G1428*3)</f>
        <v>8.5100828042844334</v>
      </c>
      <c r="D1428">
        <f t="shared" si="44"/>
        <v>8.7406584733492245</v>
      </c>
      <c r="F1428">
        <v>8982.759765625</v>
      </c>
      <c r="G1428">
        <f t="shared" si="45"/>
        <v>3.5166425046889049E-2</v>
      </c>
    </row>
    <row r="1429" spans="1:7" x14ac:dyDescent="0.25">
      <c r="A1429" s="1">
        <v>43949</v>
      </c>
      <c r="B1429">
        <v>7.8474998474120996</v>
      </c>
      <c r="C1429">
        <f>C1430*(1+G1429*3)</f>
        <v>7.6979542145801805</v>
      </c>
      <c r="D1429">
        <f t="shared" si="44"/>
        <v>7.9067244391569265</v>
      </c>
      <c r="F1429">
        <v>8677.599609375</v>
      </c>
      <c r="G1429">
        <f t="shared" si="45"/>
        <v>-1.8111190523863341E-2</v>
      </c>
    </row>
    <row r="1430" spans="1:7" x14ac:dyDescent="0.25">
      <c r="A1430" s="1">
        <v>43948</v>
      </c>
      <c r="B1430">
        <v>8.2962503433227504</v>
      </c>
      <c r="C1430">
        <f>C1431*(1+G1430*3)</f>
        <v>8.140242672432926</v>
      </c>
      <c r="D1430">
        <f t="shared" si="44"/>
        <v>8.3612534948493344</v>
      </c>
      <c r="F1430">
        <v>8837.66015625</v>
      </c>
      <c r="G1430">
        <f t="shared" si="45"/>
        <v>5.8111839784438235E-3</v>
      </c>
    </row>
    <row r="1431" spans="1:7" x14ac:dyDescent="0.25">
      <c r="A1431" s="1">
        <v>43945</v>
      </c>
      <c r="B1431">
        <v>8.1374998092651296</v>
      </c>
      <c r="C1431">
        <f>C1432*(1+G1431*3)</f>
        <v>8.0007609901883043</v>
      </c>
      <c r="D1431">
        <f t="shared" si="44"/>
        <v>8.218209233833548</v>
      </c>
      <c r="F1431">
        <v>8786.599609375</v>
      </c>
      <c r="G1431">
        <f t="shared" si="45"/>
        <v>1.6791021162414044E-2</v>
      </c>
    </row>
    <row r="1432" spans="1:7" x14ac:dyDescent="0.25">
      <c r="A1432" s="1">
        <v>43944</v>
      </c>
      <c r="B1432">
        <v>7.7624998092651296</v>
      </c>
      <c r="C1432">
        <f>C1433*(1+G1432*3)</f>
        <v>7.6170660390183178</v>
      </c>
      <c r="D1432">
        <f t="shared" si="44"/>
        <v>7.8242929986532479</v>
      </c>
      <c r="F1432">
        <v>8641.5</v>
      </c>
      <c r="G1432">
        <f t="shared" si="45"/>
        <v>-2.6705840492365907E-3</v>
      </c>
    </row>
    <row r="1433" spans="1:7" x14ac:dyDescent="0.25">
      <c r="A1433" s="1">
        <v>43943</v>
      </c>
      <c r="B1433">
        <v>7.8137497901916504</v>
      </c>
      <c r="C1433">
        <f>C1434*(1+G1433*3)</f>
        <v>7.6785849585513635</v>
      </c>
      <c r="D1433">
        <f t="shared" si="44"/>
        <v>7.8877064825282242</v>
      </c>
      <c r="F1433">
        <v>8664.6396484375</v>
      </c>
      <c r="G1433">
        <f t="shared" si="45"/>
        <v>3.113645703171497E-2</v>
      </c>
    </row>
    <row r="1434" spans="1:7" x14ac:dyDescent="0.25">
      <c r="A1434" s="1">
        <v>43942</v>
      </c>
      <c r="B1434">
        <v>7.17875003814697</v>
      </c>
      <c r="C1434">
        <f>C1435*(1+G1434*3)</f>
        <v>7.0226075992568004</v>
      </c>
      <c r="D1434">
        <f t="shared" si="44"/>
        <v>7.2140472819429329</v>
      </c>
      <c r="F1434">
        <v>8403</v>
      </c>
      <c r="G1434">
        <f t="shared" si="45"/>
        <v>-3.7072068251083889E-2</v>
      </c>
    </row>
    <row r="1435" spans="1:7" x14ac:dyDescent="0.25">
      <c r="A1435" s="1">
        <v>43941</v>
      </c>
      <c r="B1435">
        <v>8.0712499618530202</v>
      </c>
      <c r="C1435">
        <f>C1436*(1+G1435*3)</f>
        <v>7.9013677306156902</v>
      </c>
      <c r="D1435">
        <f t="shared" si="44"/>
        <v>8.1170165631848299</v>
      </c>
      <c r="F1435">
        <v>8726.509765625</v>
      </c>
      <c r="G1435">
        <f t="shared" si="45"/>
        <v>-1.1989976546782355E-2</v>
      </c>
    </row>
    <row r="1436" spans="1:7" x14ac:dyDescent="0.25">
      <c r="A1436" s="1">
        <v>43938</v>
      </c>
      <c r="B1436">
        <v>8.3412504196166992</v>
      </c>
      <c r="C1436">
        <f>C1437*(1+G1436*3)</f>
        <v>8.1961838884008138</v>
      </c>
      <c r="D1436">
        <f t="shared" si="44"/>
        <v>8.4201216733011996</v>
      </c>
      <c r="F1436">
        <v>8832.41015625</v>
      </c>
      <c r="G1436">
        <f t="shared" si="45"/>
        <v>8.5158169843102538E-3</v>
      </c>
    </row>
    <row r="1437" spans="1:7" x14ac:dyDescent="0.25">
      <c r="A1437" s="1">
        <v>43937</v>
      </c>
      <c r="B1437">
        <v>8.1374998092651296</v>
      </c>
      <c r="C1437">
        <f>C1438*(1+G1437*3)</f>
        <v>7.9920084446458164</v>
      </c>
      <c r="D1437">
        <f t="shared" si="44"/>
        <v>8.2105901294791082</v>
      </c>
      <c r="F1437">
        <v>8757.830078125</v>
      </c>
      <c r="G1437">
        <f t="shared" si="45"/>
        <v>1.9305271200239726E-2</v>
      </c>
    </row>
    <row r="1438" spans="1:7" x14ac:dyDescent="0.25">
      <c r="A1438" s="1">
        <v>43936</v>
      </c>
      <c r="B1438">
        <v>7.72375011444091</v>
      </c>
      <c r="C1438">
        <f>C1439*(1+G1438*3)</f>
        <v>7.5544843378834088</v>
      </c>
      <c r="D1438">
        <f t="shared" si="44"/>
        <v>7.7613035430081174</v>
      </c>
      <c r="F1438">
        <v>8591.9599609375</v>
      </c>
      <c r="G1438">
        <f t="shared" si="45"/>
        <v>-1.1527651758746371E-2</v>
      </c>
    </row>
    <row r="1439" spans="1:7" x14ac:dyDescent="0.25">
      <c r="A1439" s="1">
        <v>43935</v>
      </c>
      <c r="B1439">
        <v>7.9887499809265101</v>
      </c>
      <c r="C1439">
        <f>C1440*(1+G1439*3)</f>
        <v>7.8250994004824177</v>
      </c>
      <c r="D1439">
        <f t="shared" si="44"/>
        <v>8.03955859146226</v>
      </c>
      <c r="F1439">
        <v>8692.16015625</v>
      </c>
      <c r="G1439">
        <f t="shared" si="45"/>
        <v>4.3133460514260147E-2</v>
      </c>
    </row>
    <row r="1440" spans="1:7" x14ac:dyDescent="0.25">
      <c r="A1440" s="1">
        <v>43934</v>
      </c>
      <c r="B1440">
        <v>7.0712499618530202</v>
      </c>
      <c r="C1440">
        <f>C1441*(1+G1440*3)</f>
        <v>6.9285432592055587</v>
      </c>
      <c r="D1440">
        <f t="shared" si="44"/>
        <v>7.1186060235108517</v>
      </c>
      <c r="F1440">
        <v>8332.740234375</v>
      </c>
      <c r="G1440">
        <f t="shared" si="45"/>
        <v>1.1435287340176403E-2</v>
      </c>
    </row>
    <row r="1441" spans="1:7" x14ac:dyDescent="0.25">
      <c r="A1441" s="1">
        <v>43930</v>
      </c>
      <c r="B1441">
        <v>6.8337497711181596</v>
      </c>
      <c r="C1441">
        <f>C1442*(1+G1441*3)</f>
        <v>6.6987373016242646</v>
      </c>
      <c r="D1441">
        <f t="shared" si="44"/>
        <v>6.882680934176463</v>
      </c>
      <c r="F1441">
        <v>8238.5302734375</v>
      </c>
      <c r="G1441">
        <f t="shared" si="45"/>
        <v>1.0924346114518091E-3</v>
      </c>
    </row>
    <row r="1442" spans="1:7" x14ac:dyDescent="0.25">
      <c r="A1442" s="1">
        <v>43929</v>
      </c>
      <c r="B1442">
        <v>6.8087501525878897</v>
      </c>
      <c r="C1442">
        <f>C1443*(1+G1442*3)</f>
        <v>6.6768552184155157</v>
      </c>
      <c r="D1442">
        <f t="shared" si="44"/>
        <v>6.8603879522215658</v>
      </c>
      <c r="F1442">
        <v>8229.5400390625</v>
      </c>
      <c r="G1442">
        <f t="shared" si="45"/>
        <v>2.2390736492543084E-2</v>
      </c>
    </row>
    <row r="1443" spans="1:7" x14ac:dyDescent="0.25">
      <c r="A1443" s="1">
        <v>43928</v>
      </c>
      <c r="B1443">
        <v>6.4000000953674299</v>
      </c>
      <c r="C1443">
        <f>C1444*(1+G1443*3)</f>
        <v>6.256586480717834</v>
      </c>
      <c r="D1443">
        <f t="shared" si="44"/>
        <v>6.428734268912736</v>
      </c>
      <c r="F1443">
        <v>8049.31005859375</v>
      </c>
      <c r="G1443">
        <f t="shared" si="45"/>
        <v>-4.0029025015648756E-3</v>
      </c>
    </row>
    <row r="1444" spans="1:7" x14ac:dyDescent="0.25">
      <c r="A1444" s="1">
        <v>43927</v>
      </c>
      <c r="B1444">
        <v>6.4124999046325604</v>
      </c>
      <c r="C1444">
        <f>C1445*(1+G1444*3)</f>
        <v>6.332633220800945</v>
      </c>
      <c r="D1444">
        <f t="shared" si="44"/>
        <v>6.5070563833431709</v>
      </c>
      <c r="F1444">
        <v>8081.66015625</v>
      </c>
      <c r="G1444">
        <f t="shared" si="45"/>
        <v>7.3531112460077264E-2</v>
      </c>
    </row>
    <row r="1445" spans="1:7" x14ac:dyDescent="0.25">
      <c r="A1445" s="1">
        <v>43924</v>
      </c>
      <c r="B1445">
        <v>5.3024997711181596</v>
      </c>
      <c r="C1445">
        <f>C1446*(1+G1445*3)</f>
        <v>5.1881597472854644</v>
      </c>
      <c r="D1445">
        <f t="shared" si="44"/>
        <v>5.3311813965953787</v>
      </c>
      <c r="F1445">
        <v>7528.10986328125</v>
      </c>
      <c r="G1445">
        <f t="shared" si="45"/>
        <v>-1.4085264504696049E-2</v>
      </c>
    </row>
    <row r="1446" spans="1:7" x14ac:dyDescent="0.25">
      <c r="A1446" s="1">
        <v>43923</v>
      </c>
      <c r="B1446">
        <v>5.5250000953674299</v>
      </c>
      <c r="C1446">
        <f>C1447*(1+G1446*3)</f>
        <v>5.4170620006374124</v>
      </c>
      <c r="D1446">
        <f t="shared" si="44"/>
        <v>5.5665552548398978</v>
      </c>
      <c r="F1446">
        <v>7635.66015625</v>
      </c>
      <c r="G1446">
        <f t="shared" si="45"/>
        <v>1.9952488670370139E-2</v>
      </c>
    </row>
    <row r="1447" spans="1:7" x14ac:dyDescent="0.25">
      <c r="A1447" s="1">
        <v>43922</v>
      </c>
      <c r="B1447">
        <v>5.2162499427795401</v>
      </c>
      <c r="C1447">
        <f>C1448*(1+G1447*3)</f>
        <v>5.1111231220789701</v>
      </c>
      <c r="D1447">
        <f t="shared" si="44"/>
        <v>5.2523111379695537</v>
      </c>
      <c r="F1447">
        <v>7486.2900390625</v>
      </c>
      <c r="G1447">
        <f t="shared" si="45"/>
        <v>-4.1877514678121175E-2</v>
      </c>
    </row>
    <row r="1448" spans="1:7" x14ac:dyDescent="0.25">
      <c r="A1448" s="1">
        <v>43921</v>
      </c>
      <c r="B1448">
        <v>5.9549999237060502</v>
      </c>
      <c r="C1448">
        <f>C1449*(1+G1448*3)</f>
        <v>5.8455093304385777</v>
      </c>
      <c r="D1448">
        <f t="shared" si="44"/>
        <v>6.0071746633929166</v>
      </c>
      <c r="F1448">
        <v>7813.5</v>
      </c>
      <c r="G1448">
        <f t="shared" si="45"/>
        <v>-9.5715137727450106E-3</v>
      </c>
    </row>
    <row r="1449" spans="1:7" x14ac:dyDescent="0.25">
      <c r="A1449" s="1">
        <v>43920</v>
      </c>
      <c r="B1449">
        <v>6.125</v>
      </c>
      <c r="C1449">
        <f>C1450*(1+G1449*3)</f>
        <v>6.0183227064596867</v>
      </c>
      <c r="D1449">
        <f t="shared" ref="D1449:D1507" si="46">D1450*(1+3*G1449-0.000027781779603679)</f>
        <v>6.184944331717281</v>
      </c>
      <c r="F1449">
        <v>7889.009765625</v>
      </c>
      <c r="G1449">
        <f t="shared" si="45"/>
        <v>3.9618474559715677E-2</v>
      </c>
    </row>
    <row r="1450" spans="1:7" x14ac:dyDescent="0.25">
      <c r="A1450" s="1">
        <v>43917</v>
      </c>
      <c r="B1450">
        <v>5.5425000190734801</v>
      </c>
      <c r="C1450">
        <f>C1451*(1+G1450*3)</f>
        <v>5.3789994480873649</v>
      </c>
      <c r="D1450">
        <f t="shared" si="46"/>
        <v>5.5280582103035059</v>
      </c>
      <c r="F1450">
        <v>7588.3701171875</v>
      </c>
      <c r="G1450">
        <f t="shared" si="45"/>
        <v>-3.9097719070949055E-2</v>
      </c>
    </row>
    <row r="1451" spans="1:7" x14ac:dyDescent="0.25">
      <c r="A1451" s="1">
        <v>43916</v>
      </c>
      <c r="B1451">
        <v>6.1849999427795401</v>
      </c>
      <c r="C1451">
        <f>C1452*(1+G1451*3)</f>
        <v>6.0937552393987771</v>
      </c>
      <c r="D1451">
        <f t="shared" si="46"/>
        <v>6.2628178853516809</v>
      </c>
      <c r="F1451">
        <v>7897.1298828125</v>
      </c>
      <c r="G1451">
        <f t="shared" si="45"/>
        <v>5.7233133535306013E-2</v>
      </c>
    </row>
    <row r="1452" spans="1:7" x14ac:dyDescent="0.25">
      <c r="A1452" s="1">
        <v>43915</v>
      </c>
      <c r="B1452">
        <v>5.3187499046325604</v>
      </c>
      <c r="C1452">
        <f>C1453*(1+G1452*3)</f>
        <v>5.2007837814438824</v>
      </c>
      <c r="D1452">
        <f t="shared" si="46"/>
        <v>5.3451989317836892</v>
      </c>
      <c r="F1452">
        <v>7469.6201171875</v>
      </c>
      <c r="G1452">
        <f t="shared" si="45"/>
        <v>-1.1147981893498304E-2</v>
      </c>
    </row>
    <row r="1453" spans="1:7" x14ac:dyDescent="0.25">
      <c r="A1453" s="1">
        <v>43914</v>
      </c>
      <c r="B1453">
        <v>5.4450001716613698</v>
      </c>
      <c r="C1453">
        <f>C1454*(1+G1453*3)</f>
        <v>5.3807368524585435</v>
      </c>
      <c r="D1453">
        <f t="shared" si="46"/>
        <v>5.5303078902567977</v>
      </c>
      <c r="F1453">
        <v>7553.830078125</v>
      </c>
      <c r="G1453">
        <f t="shared" si="45"/>
        <v>7.8052862362903985E-2</v>
      </c>
    </row>
    <row r="1454" spans="1:7" x14ac:dyDescent="0.25">
      <c r="A1454" s="1">
        <v>43913</v>
      </c>
      <c r="B1454">
        <v>4.4524998664855904</v>
      </c>
      <c r="C1454">
        <f>C1455*(1+G1454*3)</f>
        <v>4.3598423320549919</v>
      </c>
      <c r="D1454">
        <f t="shared" si="46"/>
        <v>4.4811359269746465</v>
      </c>
      <c r="F1454">
        <v>7006.919921875</v>
      </c>
      <c r="G1454">
        <f t="shared" si="45"/>
        <v>1.8057419326282798E-3</v>
      </c>
    </row>
    <row r="1455" spans="1:7" x14ac:dyDescent="0.25">
      <c r="A1455" s="1">
        <v>43910</v>
      </c>
      <c r="B1455">
        <v>4.4387497901916504</v>
      </c>
      <c r="C1455">
        <f>C1456*(1+G1455*3)</f>
        <v>4.3363513377196048</v>
      </c>
      <c r="D1455">
        <f t="shared" si="46"/>
        <v>4.4571145575834841</v>
      </c>
      <c r="F1455">
        <v>6994.2900390625</v>
      </c>
      <c r="G1455">
        <f t="shared" si="45"/>
        <v>-4.0368961007213211E-2</v>
      </c>
    </row>
    <row r="1456" spans="1:7" x14ac:dyDescent="0.25">
      <c r="A1456" s="1">
        <v>43909</v>
      </c>
      <c r="B1456">
        <v>5.0275001525878897</v>
      </c>
      <c r="C1456">
        <f>C1457*(1+G1456*3)</f>
        <v>4.9338779129685371</v>
      </c>
      <c r="D1456">
        <f t="shared" si="46"/>
        <v>5.0714419821502021</v>
      </c>
      <c r="F1456">
        <v>7288.52001953125</v>
      </c>
      <c r="G1456">
        <f t="shared" si="45"/>
        <v>1.5796097237050777E-2</v>
      </c>
    </row>
    <row r="1457" spans="1:7" x14ac:dyDescent="0.25">
      <c r="A1457" s="1">
        <v>43908</v>
      </c>
      <c r="B1457">
        <v>4.9137501716613698</v>
      </c>
      <c r="C1457">
        <f>C1458*(1+G1457*3)</f>
        <v>4.7106483354973347</v>
      </c>
      <c r="D1457">
        <f t="shared" si="46"/>
        <v>4.8421168585797183</v>
      </c>
      <c r="F1457">
        <v>7175.18017578125</v>
      </c>
      <c r="G1457">
        <f t="shared" si="45"/>
        <v>-3.9974847533588376E-2</v>
      </c>
    </row>
    <row r="1458" spans="1:7" x14ac:dyDescent="0.25">
      <c r="A1458" s="1">
        <v>43907</v>
      </c>
      <c r="B1458">
        <v>5.4149999618530202</v>
      </c>
      <c r="C1458">
        <f>C1459*(1+G1458*3)</f>
        <v>5.3525505067691146</v>
      </c>
      <c r="D1458">
        <f t="shared" si="46"/>
        <v>5.5021074343164891</v>
      </c>
      <c r="F1458">
        <v>7473.9501953125</v>
      </c>
      <c r="G1458">
        <f t="shared" si="45"/>
        <v>6.4607659424591013E-2</v>
      </c>
    </row>
    <row r="1459" spans="1:7" x14ac:dyDescent="0.25">
      <c r="A1459" s="1">
        <v>43906</v>
      </c>
      <c r="B1459">
        <v>4.65625</v>
      </c>
      <c r="C1459">
        <f>C1460*(1+G1459*3)</f>
        <v>4.4835378478882344</v>
      </c>
      <c r="D1459">
        <f t="shared" si="46"/>
        <v>4.6089207348752828</v>
      </c>
      <c r="F1459">
        <v>7020.3798828125</v>
      </c>
      <c r="G1459">
        <f t="shared" si="45"/>
        <v>-0.121932233772306</v>
      </c>
    </row>
    <row r="1460" spans="1:7" x14ac:dyDescent="0.25">
      <c r="A1460" s="1">
        <v>43903</v>
      </c>
      <c r="B1460">
        <v>7.1050000190734801</v>
      </c>
      <c r="C1460">
        <f>C1461*(1+G1460*3)</f>
        <v>7.0695593308932079</v>
      </c>
      <c r="D1460">
        <f t="shared" si="46"/>
        <v>7.267579103935609</v>
      </c>
      <c r="F1460">
        <v>7995.259765625</v>
      </c>
      <c r="G1460">
        <f t="shared" si="45"/>
        <v>0.10072207128886856</v>
      </c>
    </row>
    <row r="1461" spans="1:7" x14ac:dyDescent="0.25">
      <c r="A1461" s="1">
        <v>43902</v>
      </c>
      <c r="B1461">
        <v>5.5949997901916504</v>
      </c>
      <c r="C1461">
        <f>C1462*(1+G1461*3)</f>
        <v>5.4290759932260197</v>
      </c>
      <c r="D1461">
        <f t="shared" si="46"/>
        <v>5.5812645759080306</v>
      </c>
      <c r="F1461">
        <v>7263.64990234375</v>
      </c>
      <c r="G1461">
        <f t="shared" si="45"/>
        <v>-9.2737831056246445E-2</v>
      </c>
    </row>
    <row r="1462" spans="1:7" x14ac:dyDescent="0.25">
      <c r="A1462" s="1">
        <v>43901</v>
      </c>
      <c r="B1462">
        <v>7.7074999809265101</v>
      </c>
      <c r="C1462">
        <f>C1463*(1+G1462*3)</f>
        <v>7.5217199848475831</v>
      </c>
      <c r="D1462">
        <f t="shared" si="46"/>
        <v>7.7328674835327753</v>
      </c>
      <c r="F1462">
        <v>8006.1201171875</v>
      </c>
      <c r="G1462">
        <f t="shared" si="45"/>
        <v>-4.373359131545218E-2</v>
      </c>
    </row>
    <row r="1463" spans="1:7" x14ac:dyDescent="0.25">
      <c r="A1463" s="1">
        <v>43900</v>
      </c>
      <c r="B1463">
        <v>8.8450002670287997</v>
      </c>
      <c r="C1463">
        <f>C1464*(1+G1463*3)</f>
        <v>8.657604380028717</v>
      </c>
      <c r="D1463">
        <f t="shared" si="46"/>
        <v>8.9009227162093154</v>
      </c>
      <c r="F1463">
        <v>8372.26953125</v>
      </c>
      <c r="G1463">
        <f t="shared" si="45"/>
        <v>5.3376718200787376E-2</v>
      </c>
    </row>
    <row r="1464" spans="1:7" x14ac:dyDescent="0.25">
      <c r="A1464" s="1">
        <v>43899</v>
      </c>
      <c r="B1464">
        <v>7.6537499427795401</v>
      </c>
      <c r="C1464">
        <f>C1465*(1+G1464*3)</f>
        <v>7.4626147296344829</v>
      </c>
      <c r="D1464">
        <f t="shared" si="46"/>
        <v>7.6725321184815876</v>
      </c>
      <c r="F1464">
        <v>7948.02978515625</v>
      </c>
      <c r="G1464">
        <f t="shared" si="45"/>
        <v>-6.8263406764549561E-2</v>
      </c>
    </row>
    <row r="1465" spans="1:7" x14ac:dyDescent="0.25">
      <c r="A1465" s="1">
        <v>43896</v>
      </c>
      <c r="B1465">
        <v>9.6049995422363192</v>
      </c>
      <c r="C1465">
        <f>C1466*(1+G1465*3)</f>
        <v>9.3844604531777982</v>
      </c>
      <c r="D1465">
        <f t="shared" si="46"/>
        <v>9.6487749200634987</v>
      </c>
      <c r="F1465">
        <v>8530.33984375</v>
      </c>
      <c r="G1465">
        <f t="shared" si="45"/>
        <v>-1.6296800145949586E-2</v>
      </c>
    </row>
    <row r="1466" spans="1:7" x14ac:dyDescent="0.25">
      <c r="A1466" s="1">
        <v>43895</v>
      </c>
      <c r="B1466">
        <v>10.1362495422363</v>
      </c>
      <c r="C1466">
        <f>C1467*(1+G1466*3)</f>
        <v>9.8668549423725604</v>
      </c>
      <c r="D1466">
        <f t="shared" si="46"/>
        <v>10.145052444131116</v>
      </c>
      <c r="F1466">
        <v>8671.66015625</v>
      </c>
      <c r="G1466">
        <f t="shared" si="45"/>
        <v>-3.102150214375432E-2</v>
      </c>
    </row>
    <row r="1467" spans="1:7" x14ac:dyDescent="0.25">
      <c r="A1467" s="1">
        <v>43894</v>
      </c>
      <c r="B1467">
        <v>11.111249923706</v>
      </c>
      <c r="C1467">
        <f>C1468*(1+G1467*3)</f>
        <v>10.879334872590634</v>
      </c>
      <c r="D1467">
        <f t="shared" si="46"/>
        <v>11.186422071675976</v>
      </c>
      <c r="F1467">
        <v>8949.2802734375</v>
      </c>
      <c r="G1467">
        <f t="shared" si="45"/>
        <v>4.1281103286785026E-2</v>
      </c>
    </row>
    <row r="1468" spans="1:7" x14ac:dyDescent="0.25">
      <c r="A1468" s="1">
        <v>43893</v>
      </c>
      <c r="B1468">
        <v>9.9087495803833008</v>
      </c>
      <c r="C1468">
        <f>C1469*(1+G1468*3)</f>
        <v>9.6804730491677375</v>
      </c>
      <c r="D1468">
        <f t="shared" si="46"/>
        <v>9.9539664581607195</v>
      </c>
      <c r="F1468">
        <v>8594.490234375</v>
      </c>
      <c r="G1468">
        <f t="shared" si="45"/>
        <v>-3.1931838031506121E-2</v>
      </c>
    </row>
    <row r="1469" spans="1:7" x14ac:dyDescent="0.25">
      <c r="A1469" s="1">
        <v>43892</v>
      </c>
      <c r="B1469">
        <v>10.9387502670288</v>
      </c>
      <c r="C1469">
        <f>C1470*(1+G1469*3)</f>
        <v>10.706066160989669</v>
      </c>
      <c r="D1469">
        <f t="shared" si="46"/>
        <v>11.008872947886683</v>
      </c>
      <c r="F1469">
        <v>8877.98046875</v>
      </c>
      <c r="G1469">
        <f t="shared" si="45"/>
        <v>4.9179714882340519E-2</v>
      </c>
    </row>
    <row r="1470" spans="1:7" x14ac:dyDescent="0.25">
      <c r="A1470" s="1">
        <v>43889</v>
      </c>
      <c r="B1470">
        <v>9.625</v>
      </c>
      <c r="C1470">
        <f>C1471*(1+G1470*3)</f>
        <v>9.329586891158133</v>
      </c>
      <c r="D1470">
        <f t="shared" si="46"/>
        <v>9.5936940618849764</v>
      </c>
      <c r="F1470">
        <v>8461.830078125</v>
      </c>
      <c r="G1470">
        <f t="shared" si="45"/>
        <v>2.9822378358981272E-3</v>
      </c>
    </row>
    <row r="1471" spans="1:7" x14ac:dyDescent="0.25">
      <c r="A1471" s="1">
        <v>43888</v>
      </c>
      <c r="B1471">
        <v>9.4774999618530202</v>
      </c>
      <c r="C1471">
        <f>C1472*(1+G1471*3)</f>
        <v>9.2468579026567035</v>
      </c>
      <c r="D1471">
        <f t="shared" si="46"/>
        <v>9.5088849660623982</v>
      </c>
      <c r="F1471">
        <v>8436.669921875</v>
      </c>
      <c r="G1471">
        <f t="shared" si="45"/>
        <v>-4.9256443186933008E-2</v>
      </c>
    </row>
    <row r="1472" spans="1:7" x14ac:dyDescent="0.25">
      <c r="A1472" s="1">
        <v>43887</v>
      </c>
      <c r="B1472">
        <v>11.143750190734799</v>
      </c>
      <c r="C1472">
        <f>C1473*(1+G1472*3)</f>
        <v>10.850182026294938</v>
      </c>
      <c r="D1472">
        <f t="shared" si="46"/>
        <v>11.158006024854739</v>
      </c>
      <c r="F1472">
        <v>8873.759765625</v>
      </c>
      <c r="G1472">
        <f t="shared" si="45"/>
        <v>4.4018358981694483E-3</v>
      </c>
    </row>
    <row r="1473" spans="1:7" x14ac:dyDescent="0.25">
      <c r="A1473" s="1">
        <v>43886</v>
      </c>
      <c r="B1473">
        <v>10.9925003051757</v>
      </c>
      <c r="C1473">
        <f>C1474*(1+G1473*3)</f>
        <v>10.708767317090402</v>
      </c>
      <c r="D1473">
        <f t="shared" si="46"/>
        <v>11.012881293633852</v>
      </c>
      <c r="F1473">
        <v>8834.8701171875</v>
      </c>
      <c r="G1473">
        <f t="shared" si="45"/>
        <v>-2.6957020141131993E-2</v>
      </c>
    </row>
    <row r="1474" spans="1:7" x14ac:dyDescent="0.25">
      <c r="A1474" s="1">
        <v>43885</v>
      </c>
      <c r="B1474">
        <v>11.9600000381469</v>
      </c>
      <c r="C1474">
        <f>C1475*(1+G1474*3)</f>
        <v>11.650995693839633</v>
      </c>
      <c r="D1474">
        <f t="shared" si="46"/>
        <v>11.9822298124732</v>
      </c>
      <c r="F1474">
        <v>9079.6298828125</v>
      </c>
      <c r="G1474">
        <f t="shared" ref="G1474:G1537" si="47">F1474/F1475-1</f>
        <v>-3.8855994023204388E-2</v>
      </c>
    </row>
    <row r="1475" spans="1:7" x14ac:dyDescent="0.25">
      <c r="A1475" s="1">
        <v>43882</v>
      </c>
      <c r="B1475">
        <v>13.517499923706</v>
      </c>
      <c r="C1475">
        <f>C1476*(1+G1475*3)</f>
        <v>13.188333066232284</v>
      </c>
      <c r="D1475">
        <f t="shared" si="46"/>
        <v>13.56369974484481</v>
      </c>
      <c r="F1475">
        <v>9446.6904296875</v>
      </c>
      <c r="G1475">
        <f t="shared" si="47"/>
        <v>-1.8814171725886619E-2</v>
      </c>
    </row>
    <row r="1476" spans="1:7" x14ac:dyDescent="0.25">
      <c r="A1476" s="1">
        <v>43881</v>
      </c>
      <c r="B1476">
        <v>14.337499618530201</v>
      </c>
      <c r="C1476">
        <f>C1477*(1+G1476*3)</f>
        <v>13.977243865237822</v>
      </c>
      <c r="D1476">
        <f t="shared" si="46"/>
        <v>14.375487810403836</v>
      </c>
      <c r="F1476">
        <v>9627.830078125</v>
      </c>
      <c r="G1476">
        <f t="shared" si="47"/>
        <v>-9.353113651755729E-3</v>
      </c>
    </row>
    <row r="1477" spans="1:7" x14ac:dyDescent="0.25">
      <c r="A1477" s="1">
        <v>43880</v>
      </c>
      <c r="B1477">
        <v>14.757499694824199</v>
      </c>
      <c r="C1477">
        <f>C1478*(1+G1477*3)</f>
        <v>14.380758470352799</v>
      </c>
      <c r="D1477">
        <f t="shared" si="46"/>
        <v>14.790922259261652</v>
      </c>
      <c r="F1477">
        <v>9718.73046875</v>
      </c>
      <c r="G1477">
        <f t="shared" si="47"/>
        <v>9.2349442217076749E-3</v>
      </c>
    </row>
    <row r="1478" spans="1:7" x14ac:dyDescent="0.25">
      <c r="A1478" s="1">
        <v>43879</v>
      </c>
      <c r="B1478">
        <v>14.342499732971101</v>
      </c>
      <c r="C1478">
        <f>C1479*(1+G1478*3)</f>
        <v>13.99308246226644</v>
      </c>
      <c r="D1478">
        <f t="shared" si="46"/>
        <v>14.392578141661085</v>
      </c>
      <c r="F1478">
        <v>9629.7998046875</v>
      </c>
      <c r="G1478">
        <f t="shared" si="47"/>
        <v>6.4630070223437031E-4</v>
      </c>
    </row>
    <row r="1479" spans="1:7" x14ac:dyDescent="0.25">
      <c r="A1479" s="1">
        <v>43875</v>
      </c>
      <c r="B1479">
        <v>14.3175001144409</v>
      </c>
      <c r="C1479">
        <f>C1480*(1+G1479*3)</f>
        <v>13.966003748176876</v>
      </c>
      <c r="D1479">
        <f t="shared" si="46"/>
        <v>14.365124659922191</v>
      </c>
      <c r="F1479">
        <v>9623.580078125</v>
      </c>
      <c r="G1479">
        <f t="shared" si="47"/>
        <v>2.9054558026020416E-3</v>
      </c>
    </row>
    <row r="1480" spans="1:7" x14ac:dyDescent="0.25">
      <c r="A1480" s="1">
        <v>43874</v>
      </c>
      <c r="B1480">
        <v>14.221249580383301</v>
      </c>
      <c r="C1480">
        <f>C1481*(1+G1480*3)</f>
        <v>13.845322827532417</v>
      </c>
      <c r="D1480">
        <f t="shared" si="46"/>
        <v>14.241387148220497</v>
      </c>
      <c r="F1480">
        <v>9595.7001953125</v>
      </c>
      <c r="G1480">
        <f t="shared" si="47"/>
        <v>-1.8204135609839467E-3</v>
      </c>
    </row>
    <row r="1481" spans="1:7" x14ac:dyDescent="0.25">
      <c r="A1481" s="1">
        <v>43873</v>
      </c>
      <c r="B1481">
        <v>14.276249885559</v>
      </c>
      <c r="C1481">
        <f>C1482*(1+G1481*3)</f>
        <v>13.921350674195976</v>
      </c>
      <c r="D1481">
        <f t="shared" si="46"/>
        <v>14.319989894414507</v>
      </c>
      <c r="F1481">
        <v>9613.2001953125</v>
      </c>
      <c r="G1481">
        <f t="shared" si="47"/>
        <v>1.0016940806906183E-2</v>
      </c>
    </row>
    <row r="1482" spans="1:7" x14ac:dyDescent="0.25">
      <c r="A1482" s="1">
        <v>43872</v>
      </c>
      <c r="B1482">
        <v>13.869999885559</v>
      </c>
      <c r="C1482">
        <f>C1483*(1+G1482*3)</f>
        <v>13.515207571486096</v>
      </c>
      <c r="D1482">
        <f t="shared" si="46"/>
        <v>13.90259181532614</v>
      </c>
      <c r="F1482">
        <v>9517.8603515625</v>
      </c>
      <c r="G1482">
        <f t="shared" si="47"/>
        <v>1.0723179429894536E-4</v>
      </c>
    </row>
    <row r="1483" spans="1:7" x14ac:dyDescent="0.25">
      <c r="A1483" s="1">
        <v>43871</v>
      </c>
      <c r="B1483">
        <v>13.8599996566772</v>
      </c>
      <c r="C1483">
        <f>C1484*(1+G1483*3)</f>
        <v>13.51086118982237</v>
      </c>
      <c r="D1483">
        <f t="shared" si="46"/>
        <v>13.898506855095965</v>
      </c>
      <c r="F1483">
        <v>9516.83984375</v>
      </c>
      <c r="G1483">
        <f t="shared" si="47"/>
        <v>1.2311350712589153E-2</v>
      </c>
    </row>
    <row r="1484" spans="1:7" x14ac:dyDescent="0.25">
      <c r="A1484" s="1">
        <v>43868</v>
      </c>
      <c r="B1484">
        <v>13.377499580383301</v>
      </c>
      <c r="C1484">
        <f>C1485*(1+G1484*3)</f>
        <v>13.029624364218789</v>
      </c>
      <c r="D1484">
        <f t="shared" si="46"/>
        <v>13.403821784485112</v>
      </c>
      <c r="F1484">
        <v>9401.099609375</v>
      </c>
      <c r="G1484">
        <f t="shared" si="47"/>
        <v>-4.7449388593909791E-3</v>
      </c>
    </row>
    <row r="1485" spans="1:7" x14ac:dyDescent="0.25">
      <c r="A1485" s="1">
        <v>43867</v>
      </c>
      <c r="B1485">
        <v>13.5524997711181</v>
      </c>
      <c r="C1485">
        <f>C1486*(1+G1485*3)</f>
        <v>13.217776995318339</v>
      </c>
      <c r="D1485">
        <f t="shared" si="46"/>
        <v>13.597761190916112</v>
      </c>
      <c r="F1485">
        <v>9445.919921875</v>
      </c>
      <c r="G1485">
        <f t="shared" si="47"/>
        <v>8.3735913180362775E-3</v>
      </c>
    </row>
    <row r="1486" spans="1:7" x14ac:dyDescent="0.25">
      <c r="A1486" s="1">
        <v>43866</v>
      </c>
      <c r="B1486">
        <v>13.2299995422363</v>
      </c>
      <c r="C1486">
        <f>C1487*(1+G1486*3)</f>
        <v>12.89387292809857</v>
      </c>
      <c r="D1486">
        <f t="shared" si="46"/>
        <v>13.264905032734159</v>
      </c>
      <c r="F1486">
        <v>9367.48046875</v>
      </c>
      <c r="G1486">
        <f t="shared" si="47"/>
        <v>3.5805319417283599E-3</v>
      </c>
    </row>
    <row r="1487" spans="1:7" x14ac:dyDescent="0.25">
      <c r="A1487" s="1">
        <v>43865</v>
      </c>
      <c r="B1487">
        <v>13.0787496566772</v>
      </c>
      <c r="C1487">
        <f>C1488*(1+G1487*3)</f>
        <v>12.756844065145863</v>
      </c>
      <c r="D1487">
        <f t="shared" si="46"/>
        <v>13.124293789592883</v>
      </c>
      <c r="F1487">
        <v>9334.0595703125</v>
      </c>
      <c r="G1487">
        <f t="shared" si="47"/>
        <v>2.2772721144195041E-2</v>
      </c>
    </row>
    <row r="1488" spans="1:7" x14ac:dyDescent="0.25">
      <c r="A1488" s="1">
        <v>43864</v>
      </c>
      <c r="B1488">
        <v>12.2425003051757</v>
      </c>
      <c r="C1488">
        <f>C1489*(1+G1488*3)</f>
        <v>11.941053238444605</v>
      </c>
      <c r="D1488">
        <f t="shared" si="46"/>
        <v>12.285324304132994</v>
      </c>
      <c r="F1488">
        <v>9126.23046875</v>
      </c>
      <c r="G1488">
        <f t="shared" si="47"/>
        <v>1.4983101463120763E-2</v>
      </c>
    </row>
    <row r="1489" spans="1:7" x14ac:dyDescent="0.25">
      <c r="A1489" s="1">
        <v>43861</v>
      </c>
      <c r="B1489">
        <v>11.704999923706</v>
      </c>
      <c r="C1489">
        <f>C1490*(1+G1489*3)</f>
        <v>11.427399576501566</v>
      </c>
      <c r="D1489">
        <f t="shared" si="46"/>
        <v>11.757174140168544</v>
      </c>
      <c r="F1489">
        <v>8991.509765625</v>
      </c>
      <c r="G1489">
        <f t="shared" si="47"/>
        <v>-1.5825159406013034E-2</v>
      </c>
    </row>
    <row r="1490" spans="1:7" x14ac:dyDescent="0.25">
      <c r="A1490" s="1">
        <v>43860</v>
      </c>
      <c r="B1490">
        <v>12.310000419616699</v>
      </c>
      <c r="C1490">
        <f>C1491*(1+G1490*3)</f>
        <v>11.99696103899084</v>
      </c>
      <c r="D1490">
        <f t="shared" si="46"/>
        <v>12.343532157537304</v>
      </c>
      <c r="F1490">
        <v>9136.08984375</v>
      </c>
      <c r="G1490">
        <f t="shared" si="47"/>
        <v>3.7882848040819983E-3</v>
      </c>
    </row>
    <row r="1491" spans="1:7" x14ac:dyDescent="0.25">
      <c r="A1491" s="1">
        <v>43859</v>
      </c>
      <c r="B1491">
        <v>12.1724996566772</v>
      </c>
      <c r="C1491">
        <f>C1492*(1+G1491*3)</f>
        <v>11.862149437616027</v>
      </c>
      <c r="D1491">
        <f t="shared" si="46"/>
        <v>12.205161356742792</v>
      </c>
      <c r="F1491">
        <v>9101.6103515625</v>
      </c>
      <c r="G1491">
        <f t="shared" si="47"/>
        <v>1.1748703850593678E-3</v>
      </c>
    </row>
    <row r="1492" spans="1:7" x14ac:dyDescent="0.25">
      <c r="A1492" s="1">
        <v>43858</v>
      </c>
      <c r="B1492">
        <v>12.1287498474121</v>
      </c>
      <c r="C1492">
        <f>C1493*(1+G1492*3)</f>
        <v>11.820486817917958</v>
      </c>
      <c r="D1492">
        <f t="shared" si="46"/>
        <v>12.162630712383466</v>
      </c>
      <c r="F1492">
        <v>9090.9296875</v>
      </c>
      <c r="G1492">
        <f t="shared" si="47"/>
        <v>1.5499018657292751E-2</v>
      </c>
    </row>
    <row r="1493" spans="1:7" x14ac:dyDescent="0.25">
      <c r="A1493" s="1">
        <v>43857</v>
      </c>
      <c r="B1493">
        <v>11.5900001525878</v>
      </c>
      <c r="C1493">
        <f>C1494*(1+G1493*3)</f>
        <v>11.295289127154124</v>
      </c>
      <c r="D1493">
        <f t="shared" si="46"/>
        <v>11.622539726998948</v>
      </c>
      <c r="F1493">
        <v>8952.1796875</v>
      </c>
      <c r="G1493">
        <f t="shared" si="47"/>
        <v>-2.0706740242488308E-2</v>
      </c>
    </row>
    <row r="1494" spans="1:7" x14ac:dyDescent="0.25">
      <c r="A1494" s="1">
        <v>43854</v>
      </c>
      <c r="B1494">
        <v>12.3537502288818</v>
      </c>
      <c r="C1494">
        <f>C1495*(1+G1494*3)</f>
        <v>12.043429634356011</v>
      </c>
      <c r="D1494">
        <f t="shared" si="46"/>
        <v>12.392722687661118</v>
      </c>
      <c r="F1494">
        <v>9141.4697265625</v>
      </c>
      <c r="G1494">
        <f t="shared" si="47"/>
        <v>-8.1925683192578536E-3</v>
      </c>
    </row>
    <row r="1495" spans="1:7" x14ac:dyDescent="0.25">
      <c r="A1495" s="1">
        <v>43853</v>
      </c>
      <c r="B1495">
        <v>12.682499885559</v>
      </c>
      <c r="C1495">
        <f>C1496*(1+G1495*3)</f>
        <v>12.346887799847394</v>
      </c>
      <c r="D1495">
        <f t="shared" si="46"/>
        <v>12.705343857439155</v>
      </c>
      <c r="F1495">
        <v>9216.98046875</v>
      </c>
      <c r="G1495">
        <f t="shared" si="47"/>
        <v>3.0908356224279565E-3</v>
      </c>
    </row>
    <row r="1496" spans="1:7" x14ac:dyDescent="0.25">
      <c r="A1496" s="1">
        <v>43852</v>
      </c>
      <c r="B1496">
        <v>12.5662498474121</v>
      </c>
      <c r="C1496">
        <f>C1497*(1+G1496*3)</f>
        <v>12.233453022683962</v>
      </c>
      <c r="D1496">
        <f t="shared" si="46"/>
        <v>12.588962361270061</v>
      </c>
      <c r="F1496">
        <v>9188.580078125</v>
      </c>
      <c r="G1496">
        <f t="shared" si="47"/>
        <v>2.3945763702815093E-3</v>
      </c>
    </row>
    <row r="1497" spans="1:7" x14ac:dyDescent="0.25">
      <c r="A1497" s="1">
        <v>43851</v>
      </c>
      <c r="B1497">
        <v>12.481249809265099</v>
      </c>
      <c r="C1497">
        <f>C1498*(1+G1497*3)</f>
        <v>12.146198026336089</v>
      </c>
      <c r="D1497">
        <f t="shared" si="46"/>
        <v>12.499516479675528</v>
      </c>
      <c r="F1497">
        <v>9166.6298828125</v>
      </c>
      <c r="G1497">
        <f t="shared" si="47"/>
        <v>-7.7401292328005411E-4</v>
      </c>
    </row>
    <row r="1498" spans="1:7" x14ac:dyDescent="0.25">
      <c r="A1498" s="1">
        <v>43847</v>
      </c>
      <c r="B1498">
        <v>12.487500190734799</v>
      </c>
      <c r="C1498">
        <f>C1499*(1+G1498*3)</f>
        <v>12.174467612133627</v>
      </c>
      <c r="D1498">
        <f t="shared" si="46"/>
        <v>12.528957280957426</v>
      </c>
      <c r="F1498">
        <v>9173.73046875</v>
      </c>
      <c r="G1498">
        <f t="shared" si="47"/>
        <v>5.3403253424657571E-3</v>
      </c>
    </row>
    <row r="1499" spans="1:7" x14ac:dyDescent="0.25">
      <c r="A1499" s="1">
        <v>43846</v>
      </c>
      <c r="B1499">
        <v>12.3037500381469</v>
      </c>
      <c r="C1499">
        <f>C1500*(1+G1499*3)</f>
        <v>11.982496325750404</v>
      </c>
      <c r="D1499">
        <f t="shared" si="46"/>
        <v>12.331733472125702</v>
      </c>
      <c r="F1499">
        <v>9125</v>
      </c>
      <c r="G1499">
        <f t="shared" si="47"/>
        <v>9.8863812973883913E-3</v>
      </c>
    </row>
    <row r="1500" spans="1:7" x14ac:dyDescent="0.25">
      <c r="A1500" s="1">
        <v>43845</v>
      </c>
      <c r="B1500">
        <v>11.9700002670288</v>
      </c>
      <c r="C1500">
        <f>C1501*(1+G1500*3)</f>
        <v>11.637342703970893</v>
      </c>
      <c r="D1500">
        <f t="shared" si="46"/>
        <v>11.976843291587278</v>
      </c>
      <c r="F1500">
        <v>9035.669921875</v>
      </c>
      <c r="G1500">
        <f t="shared" si="47"/>
        <v>2.490751032786509E-4</v>
      </c>
    </row>
    <row r="1501" spans="1:7" x14ac:dyDescent="0.25">
      <c r="A1501" s="1">
        <v>43844</v>
      </c>
      <c r="B1501">
        <v>11.962499618530201</v>
      </c>
      <c r="C1501">
        <f>C1502*(1+G1501*3)</f>
        <v>11.628653479771495</v>
      </c>
      <c r="D1501">
        <f t="shared" si="46"/>
        <v>11.9682328239138</v>
      </c>
      <c r="F1501">
        <v>9033.419921875</v>
      </c>
      <c r="G1501">
        <f t="shared" si="47"/>
        <v>-4.1044982605084046E-3</v>
      </c>
    </row>
    <row r="1502" spans="1:7" x14ac:dyDescent="0.25">
      <c r="A1502" s="1">
        <v>43843</v>
      </c>
      <c r="B1502">
        <v>12.1037502288818</v>
      </c>
      <c r="C1502">
        <f>C1503*(1+G1502*3)</f>
        <v>11.773627986543417</v>
      </c>
      <c r="D1502">
        <f t="shared" si="46"/>
        <v>12.117781719420561</v>
      </c>
      <c r="F1502">
        <v>9070.650390625</v>
      </c>
      <c r="G1502">
        <f t="shared" si="47"/>
        <v>1.1599745976813569E-2</v>
      </c>
    </row>
    <row r="1503" spans="1:7" x14ac:dyDescent="0.25">
      <c r="A1503" s="1">
        <v>43840</v>
      </c>
      <c r="B1503">
        <v>11.694999694824199</v>
      </c>
      <c r="C1503">
        <f>C1504*(1+G1503*3)</f>
        <v>11.377692942729864</v>
      </c>
      <c r="D1503">
        <f t="shared" si="46"/>
        <v>11.710587538330948</v>
      </c>
      <c r="F1503">
        <v>8966.6396484375</v>
      </c>
      <c r="G1503">
        <f t="shared" si="47"/>
        <v>-2.5574172323774569E-3</v>
      </c>
    </row>
    <row r="1504" spans="1:7" x14ac:dyDescent="0.25">
      <c r="A1504" s="1">
        <v>43839</v>
      </c>
      <c r="B1504">
        <v>11.7912502288818</v>
      </c>
      <c r="C1504">
        <f>C1505*(1+G1504*3)</f>
        <v>11.465660375000706</v>
      </c>
      <c r="D1504">
        <f t="shared" si="46"/>
        <v>11.801459169006634</v>
      </c>
      <c r="F1504">
        <v>8989.6298828125</v>
      </c>
      <c r="G1504">
        <f t="shared" si="47"/>
        <v>8.6688237370220467E-3</v>
      </c>
    </row>
    <row r="1505" spans="1:7" x14ac:dyDescent="0.25">
      <c r="A1505" s="1">
        <v>43838</v>
      </c>
      <c r="B1505">
        <v>11.5012502670288</v>
      </c>
      <c r="C1505">
        <f>C1506*(1+G1505*3)</f>
        <v>11.175037094519489</v>
      </c>
      <c r="D1505">
        <f t="shared" si="46"/>
        <v>11.502635766778269</v>
      </c>
      <c r="F1505">
        <v>8912.3701171875</v>
      </c>
      <c r="G1505">
        <f t="shared" si="47"/>
        <v>7.4515676253881225E-3</v>
      </c>
    </row>
    <row r="1506" spans="1:7" x14ac:dyDescent="0.25">
      <c r="A1506" s="1">
        <v>43837</v>
      </c>
      <c r="B1506">
        <v>11.2425003051757</v>
      </c>
      <c r="C1506">
        <f>C1507*(1+G1506*3)</f>
        <v>10.930684881754877</v>
      </c>
      <c r="D1506">
        <f t="shared" si="46"/>
        <v>11.251426064805569</v>
      </c>
      <c r="F1506">
        <v>8846.4501953125</v>
      </c>
      <c r="G1506">
        <f t="shared" si="47"/>
        <v>-2.3386239135170239E-4</v>
      </c>
    </row>
    <row r="1507" spans="1:7" x14ac:dyDescent="0.25">
      <c r="A1507" s="1">
        <v>43836</v>
      </c>
      <c r="B1507">
        <v>11.2562503814697</v>
      </c>
      <c r="C1507">
        <f>C1508*(1+G1507*3)</f>
        <v>10.938359094200576</v>
      </c>
      <c r="D1507">
        <f t="shared" si="46"/>
        <v>11.259638495553649</v>
      </c>
      <c r="F1507">
        <v>8848.51953125</v>
      </c>
      <c r="G1507">
        <f t="shared" si="47"/>
        <v>6.2110256198977254E-3</v>
      </c>
    </row>
    <row r="1508" spans="1:7" x14ac:dyDescent="0.25">
      <c r="A1508" s="1">
        <v>43833</v>
      </c>
      <c r="B1508">
        <v>11.046250343322701</v>
      </c>
      <c r="C1508">
        <f>C1509*(1+G1508*3)</f>
        <v>10.738272045830325</v>
      </c>
      <c r="D1508">
        <f>D1509*(1+3*G1508-0.000027781779603679)</f>
        <v>11.053976010077919</v>
      </c>
      <c r="F1508">
        <v>8793.900390625</v>
      </c>
      <c r="G1508">
        <f t="shared" si="47"/>
        <v>-8.8274792950652214E-3</v>
      </c>
    </row>
    <row r="1509" spans="1:7" x14ac:dyDescent="0.25">
      <c r="A1509" s="1">
        <v>43832</v>
      </c>
      <c r="B1509">
        <v>11.3549995422363</v>
      </c>
      <c r="C1509">
        <f>C1510*(1+G1509*3)</f>
        <v>11.030383491493694</v>
      </c>
      <c r="D1509">
        <v>11.3549995422363</v>
      </c>
      <c r="E1509" s="2">
        <v>2.7781779603679001E-5</v>
      </c>
      <c r="F1509">
        <v>8872.2197265625</v>
      </c>
      <c r="G1509">
        <f t="shared" si="47"/>
        <v>1.5933618885826339E-2</v>
      </c>
    </row>
    <row r="1510" spans="1:7" x14ac:dyDescent="0.25">
      <c r="A1510" s="1">
        <v>43830</v>
      </c>
      <c r="B1510">
        <v>10.8187503814697</v>
      </c>
      <c r="C1510">
        <f>C1511*(1+G1510*3)</f>
        <v>10.527175485121285</v>
      </c>
      <c r="D1510">
        <f t="shared" ref="D1510:D1573" si="48">D1511*(1+3*G1510-0.000139713277571264)</f>
        <v>10.818750381470096</v>
      </c>
      <c r="F1510">
        <v>8733.0703125</v>
      </c>
      <c r="G1510">
        <f t="shared" si="47"/>
        <v>2.6797435160297312E-3</v>
      </c>
    </row>
    <row r="1511" spans="1:7" x14ac:dyDescent="0.25">
      <c r="A1511" s="1">
        <v>43829</v>
      </c>
      <c r="B1511">
        <v>10.757499694824199</v>
      </c>
      <c r="C1511">
        <f>C1512*(1+G1511*3)</f>
        <v>10.443220031622648</v>
      </c>
      <c r="D1511">
        <f t="shared" si="48"/>
        <v>10.733957300394627</v>
      </c>
      <c r="F1511">
        <v>8709.73046875</v>
      </c>
      <c r="G1511">
        <f t="shared" si="47"/>
        <v>-6.9832557737674605E-3</v>
      </c>
    </row>
    <row r="1512" spans="1:7" x14ac:dyDescent="0.25">
      <c r="A1512" s="1">
        <v>43826</v>
      </c>
      <c r="B1512">
        <v>10.976249694824199</v>
      </c>
      <c r="C1512">
        <f>C1513*(1+G1512*3)</f>
        <v>10.666684591912945</v>
      </c>
      <c r="D1512">
        <f t="shared" si="48"/>
        <v>10.96520783836443</v>
      </c>
      <c r="F1512">
        <v>8770.98046875</v>
      </c>
      <c r="G1512">
        <f t="shared" si="47"/>
        <v>-8.3491035532468061E-4</v>
      </c>
    </row>
    <row r="1513" spans="1:7" x14ac:dyDescent="0.25">
      <c r="A1513" s="1">
        <v>43825</v>
      </c>
      <c r="B1513">
        <v>11.008749961853001</v>
      </c>
      <c r="C1513">
        <f>C1514*(1+G1513*3)</f>
        <v>10.693468855558489</v>
      </c>
      <c r="D1513">
        <f t="shared" si="48"/>
        <v>10.994281604163906</v>
      </c>
      <c r="F1513">
        <v>8778.3095703125</v>
      </c>
      <c r="G1513">
        <f t="shared" si="47"/>
        <v>9.0579592195949576E-3</v>
      </c>
    </row>
    <row r="1514" spans="1:7" x14ac:dyDescent="0.25">
      <c r="A1514" s="1">
        <v>43823</v>
      </c>
      <c r="B1514">
        <v>10.7299995422363</v>
      </c>
      <c r="C1514">
        <f>C1515*(1+G1514*3)</f>
        <v>10.41057321271826</v>
      </c>
      <c r="D1514">
        <f t="shared" si="48"/>
        <v>10.704884010151641</v>
      </c>
      <c r="F1514">
        <v>8699.509765625</v>
      </c>
      <c r="G1514">
        <f t="shared" si="47"/>
        <v>4.0248344865423391E-4</v>
      </c>
    </row>
    <row r="1515" spans="1:7" x14ac:dyDescent="0.25">
      <c r="A1515" s="1">
        <v>43822</v>
      </c>
      <c r="B1515">
        <v>10.7200002670288</v>
      </c>
      <c r="C1515">
        <f>C1516*(1+G1515*3)</f>
        <v>10.398018122139357</v>
      </c>
      <c r="D1515">
        <f t="shared" si="48"/>
        <v>10.693466199900417</v>
      </c>
      <c r="F1515">
        <v>8696.009765625</v>
      </c>
      <c r="G1515">
        <f t="shared" si="47"/>
        <v>2.0187303064080897E-3</v>
      </c>
    </row>
    <row r="1516" spans="1:7" x14ac:dyDescent="0.25">
      <c r="A1516" s="1">
        <v>43819</v>
      </c>
      <c r="B1516">
        <v>10.6412496566772</v>
      </c>
      <c r="C1516">
        <f>C1517*(1+G1516*3)</f>
        <v>10.335424816221034</v>
      </c>
      <c r="D1516">
        <f t="shared" si="48"/>
        <v>10.630570666235622</v>
      </c>
      <c r="F1516">
        <v>8678.490234375</v>
      </c>
      <c r="G1516">
        <f t="shared" si="47"/>
        <v>4.3049353909356824E-3</v>
      </c>
    </row>
    <row r="1517" spans="1:7" x14ac:dyDescent="0.25">
      <c r="A1517" s="1">
        <v>43818</v>
      </c>
      <c r="B1517">
        <v>10.5162496566772</v>
      </c>
      <c r="C1517">
        <f>C1518*(1+G1517*3)</f>
        <v>10.203646696875088</v>
      </c>
      <c r="D1517">
        <f t="shared" si="48"/>
        <v>10.496477194996814</v>
      </c>
      <c r="F1517">
        <v>8641.2900390625</v>
      </c>
      <c r="G1517">
        <f t="shared" si="47"/>
        <v>7.0705754416833244E-3</v>
      </c>
    </row>
    <row r="1518" spans="1:7" x14ac:dyDescent="0.25">
      <c r="A1518" s="1">
        <v>43817</v>
      </c>
      <c r="B1518">
        <v>10.306249618530201</v>
      </c>
      <c r="C1518">
        <f>C1519*(1+G1518*3)</f>
        <v>9.9917053768997608</v>
      </c>
      <c r="D1518">
        <f t="shared" si="48"/>
        <v>10.279859854026515</v>
      </c>
      <c r="F1518">
        <v>8580.6201171875</v>
      </c>
      <c r="G1518">
        <f t="shared" si="47"/>
        <v>5.7370497603081994E-4</v>
      </c>
    </row>
    <row r="1519" spans="1:7" x14ac:dyDescent="0.25">
      <c r="A1519" s="1">
        <v>43816</v>
      </c>
      <c r="B1519">
        <v>10.2825002670288</v>
      </c>
      <c r="C1519">
        <f>C1520*(1+G1519*3)</f>
        <v>9.9745380505601151</v>
      </c>
      <c r="D1519">
        <f t="shared" si="48"/>
        <v>10.263628934289494</v>
      </c>
      <c r="F1519">
        <v>8575.7001953125</v>
      </c>
      <c r="G1519">
        <f t="shared" si="47"/>
        <v>6.265939746248339E-4</v>
      </c>
    </row>
    <row r="1520" spans="1:7" x14ac:dyDescent="0.25">
      <c r="A1520" s="1">
        <v>43815</v>
      </c>
      <c r="B1520">
        <v>10.268750190734799</v>
      </c>
      <c r="C1520">
        <f>C1521*(1+G1520*3)</f>
        <v>9.9558232739324879</v>
      </c>
      <c r="D1520">
        <f t="shared" si="48"/>
        <v>10.245800538017015</v>
      </c>
      <c r="F1520">
        <v>8570.330078125</v>
      </c>
      <c r="G1520">
        <f t="shared" si="47"/>
        <v>9.7340881778167354E-3</v>
      </c>
    </row>
    <row r="1521" spans="1:7" x14ac:dyDescent="0.25">
      <c r="A1521" s="1">
        <v>43812</v>
      </c>
      <c r="B1521">
        <v>9.98250007629394</v>
      </c>
      <c r="C1521">
        <f>C1522*(1+G1521*3)</f>
        <v>9.6733398448608963</v>
      </c>
      <c r="D1521">
        <f t="shared" si="48"/>
        <v>9.9564409622261838</v>
      </c>
      <c r="F1521">
        <v>8487.7099609375</v>
      </c>
      <c r="G1521">
        <f t="shared" si="47"/>
        <v>2.459027265560465E-3</v>
      </c>
    </row>
    <row r="1522" spans="1:7" x14ac:dyDescent="0.25">
      <c r="A1522" s="1">
        <v>43811</v>
      </c>
      <c r="B1522">
        <v>9.8937501907348597</v>
      </c>
      <c r="C1522">
        <f>C1523*(1+G1522*3)</f>
        <v>9.602501406532161</v>
      </c>
      <c r="D1522">
        <f t="shared" si="48"/>
        <v>9.8849002960093042</v>
      </c>
      <c r="F1522">
        <v>8466.8896484375</v>
      </c>
      <c r="G1522">
        <f t="shared" si="47"/>
        <v>7.6499199874295876E-3</v>
      </c>
    </row>
    <row r="1523" spans="1:7" x14ac:dyDescent="0.25">
      <c r="A1523" s="1">
        <v>43810</v>
      </c>
      <c r="B1523">
        <v>9.6724996566772408</v>
      </c>
      <c r="C1523">
        <f>C1524*(1+G1523*3)</f>
        <v>9.3870703942353515</v>
      </c>
      <c r="D1523">
        <f t="shared" si="48"/>
        <v>9.6644536569128352</v>
      </c>
      <c r="F1523">
        <v>8402.6103515625</v>
      </c>
      <c r="G1523">
        <f t="shared" si="47"/>
        <v>5.78389214093189E-3</v>
      </c>
    </row>
    <row r="1524" spans="1:7" x14ac:dyDescent="0.25">
      <c r="A1524" s="1">
        <v>43809</v>
      </c>
      <c r="B1524">
        <v>9.5287504196166992</v>
      </c>
      <c r="C1524">
        <f>C1525*(1+G1524*3)</f>
        <v>9.2269670476605476</v>
      </c>
      <c r="D1524">
        <f t="shared" si="48"/>
        <v>9.5009241014333909</v>
      </c>
      <c r="F1524">
        <v>8354.2900390625</v>
      </c>
      <c r="G1524">
        <f t="shared" si="47"/>
        <v>-1.0104577059282249E-3</v>
      </c>
    </row>
    <row r="1525" spans="1:7" x14ac:dyDescent="0.25">
      <c r="A1525" s="1">
        <v>43808</v>
      </c>
      <c r="B1525">
        <v>9.5500001907348597</v>
      </c>
      <c r="C1525">
        <f>C1526*(1+G1525*3)</f>
        <v>9.2550224739927014</v>
      </c>
      <c r="D1525">
        <f t="shared" si="48"/>
        <v>9.5311481958092426</v>
      </c>
      <c r="F1525">
        <v>8362.740234375</v>
      </c>
      <c r="G1525">
        <f t="shared" si="47"/>
        <v>-4.123896211460365E-3</v>
      </c>
    </row>
    <row r="1526" spans="1:7" x14ac:dyDescent="0.25">
      <c r="A1526" s="1">
        <v>43805</v>
      </c>
      <c r="B1526">
        <v>9.6687498092651296</v>
      </c>
      <c r="C1526">
        <f>C1527*(1+G1526*3)</f>
        <v>9.3709570366563764</v>
      </c>
      <c r="D1526">
        <f t="shared" si="48"/>
        <v>9.6519070845610049</v>
      </c>
      <c r="F1526">
        <v>8397.3701171875</v>
      </c>
      <c r="G1526">
        <f t="shared" si="47"/>
        <v>1.0708406237004642E-2</v>
      </c>
    </row>
    <row r="1527" spans="1:7" x14ac:dyDescent="0.25">
      <c r="A1527" s="1">
        <v>43804</v>
      </c>
      <c r="B1527">
        <v>9.3787498474121094</v>
      </c>
      <c r="C1527">
        <f>C1528*(1+G1527*3)</f>
        <v>9.0792830819107841</v>
      </c>
      <c r="D1527">
        <f t="shared" si="48"/>
        <v>9.3527545045384368</v>
      </c>
      <c r="F1527">
        <v>8308.400390625</v>
      </c>
      <c r="G1527">
        <f t="shared" si="47"/>
        <v>1.4307327034657202E-3</v>
      </c>
    </row>
    <row r="1528" spans="1:7" x14ac:dyDescent="0.25">
      <c r="A1528" s="1">
        <v>43803</v>
      </c>
      <c r="B1528">
        <v>9.3299999237060494</v>
      </c>
      <c r="C1528">
        <f>C1529*(1+G1528*3)</f>
        <v>9.0404795526577821</v>
      </c>
      <c r="D1528">
        <f t="shared" si="48"/>
        <v>9.3140779371725699</v>
      </c>
      <c r="F1528">
        <v>8296.5302734375</v>
      </c>
      <c r="G1528">
        <f t="shared" si="47"/>
        <v>5.0625504711190317E-3</v>
      </c>
    </row>
    <row r="1529" spans="1:7" x14ac:dyDescent="0.25">
      <c r="A1529" s="1">
        <v>43802</v>
      </c>
      <c r="B1529">
        <v>9.1937503814697195</v>
      </c>
      <c r="C1529">
        <f>C1530*(1+G1529*3)</f>
        <v>8.9052300233080182</v>
      </c>
      <c r="D1529">
        <f t="shared" si="48"/>
        <v>9.175998085645686</v>
      </c>
      <c r="F1529">
        <v>8254.740234375</v>
      </c>
      <c r="G1529">
        <f t="shared" si="47"/>
        <v>-6.5612982128137043E-3</v>
      </c>
    </row>
    <row r="1530" spans="1:7" x14ac:dyDescent="0.25">
      <c r="A1530" s="1">
        <v>43801</v>
      </c>
      <c r="B1530">
        <v>9.4049997329711896</v>
      </c>
      <c r="C1530">
        <f>C1531*(1+G1530*3)</f>
        <v>9.0840392956959555</v>
      </c>
      <c r="D1530">
        <f t="shared" si="48"/>
        <v>9.3615783442164648</v>
      </c>
      <c r="F1530">
        <v>8309.259765625</v>
      </c>
      <c r="G1530">
        <f t="shared" si="47"/>
        <v>-1.1235545069077868E-2</v>
      </c>
    </row>
    <row r="1531" spans="1:7" x14ac:dyDescent="0.25">
      <c r="A1531" s="1">
        <v>43798</v>
      </c>
      <c r="B1531">
        <v>9.7174997329711896</v>
      </c>
      <c r="C1531">
        <f>C1532*(1+G1531*3)</f>
        <v>9.4009124212957218</v>
      </c>
      <c r="D1531">
        <f t="shared" si="48"/>
        <v>9.689533677728102</v>
      </c>
      <c r="F1531">
        <v>8403.6796875</v>
      </c>
      <c r="G1531">
        <f t="shared" si="47"/>
        <v>-4.8586953995214399E-3</v>
      </c>
    </row>
    <row r="1532" spans="1:7" x14ac:dyDescent="0.25">
      <c r="A1532" s="1">
        <v>43796</v>
      </c>
      <c r="B1532">
        <v>9.8487501144409109</v>
      </c>
      <c r="C1532">
        <f>C1533*(1+G1532*3)</f>
        <v>9.5399678144912752</v>
      </c>
      <c r="D1532">
        <f t="shared" si="48"/>
        <v>9.8342525664943032</v>
      </c>
      <c r="F1532">
        <v>8444.7099609375</v>
      </c>
      <c r="G1532">
        <f t="shared" si="47"/>
        <v>7.0309705080047191E-3</v>
      </c>
    </row>
    <row r="1533" spans="1:7" x14ac:dyDescent="0.25">
      <c r="A1533" s="1">
        <v>43795</v>
      </c>
      <c r="B1533">
        <v>9.6537504196166992</v>
      </c>
      <c r="C1533">
        <f>C1534*(1+G1533*3)</f>
        <v>9.3428988751401327</v>
      </c>
      <c r="D1533">
        <f t="shared" si="48"/>
        <v>9.6324225080888208</v>
      </c>
      <c r="F1533">
        <v>8385.75</v>
      </c>
      <c r="G1533">
        <f t="shared" si="47"/>
        <v>1.6507917548131967E-3</v>
      </c>
    </row>
    <row r="1534" spans="1:7" x14ac:dyDescent="0.25">
      <c r="A1534" s="1">
        <v>43794</v>
      </c>
      <c r="B1534">
        <v>9.5962495803833008</v>
      </c>
      <c r="C1534">
        <f>C1535*(1+G1534*3)</f>
        <v>9.2968573487690662</v>
      </c>
      <c r="D1534">
        <f t="shared" si="48"/>
        <v>9.5862869492927487</v>
      </c>
      <c r="F1534">
        <v>8371.9296875</v>
      </c>
      <c r="G1534">
        <f t="shared" si="47"/>
        <v>1.2074381219985053E-2</v>
      </c>
    </row>
    <row r="1535" spans="1:7" x14ac:dyDescent="0.25">
      <c r="A1535" s="1">
        <v>43791</v>
      </c>
      <c r="B1535">
        <v>9.2749996185302699</v>
      </c>
      <c r="C1535">
        <f>C1536*(1+G1535*3)</f>
        <v>8.9718680823248462</v>
      </c>
      <c r="D1535">
        <f t="shared" si="48"/>
        <v>9.2524276213497298</v>
      </c>
      <c r="F1535">
        <v>8272.0498046875</v>
      </c>
      <c r="G1535">
        <f t="shared" si="47"/>
        <v>7.7788325725625107E-4</v>
      </c>
    </row>
    <row r="1536" spans="1:7" x14ac:dyDescent="0.25">
      <c r="A1536" s="1">
        <v>43790</v>
      </c>
      <c r="B1536">
        <v>9.25</v>
      </c>
      <c r="C1536">
        <f>C1537*(1+G1536*3)</f>
        <v>8.9509796307524336</v>
      </c>
      <c r="D1536">
        <f t="shared" si="48"/>
        <v>9.2321728204781461</v>
      </c>
      <c r="F1536">
        <v>8265.6201171875</v>
      </c>
      <c r="G1536">
        <f t="shared" si="47"/>
        <v>-2.1886081560283932E-3</v>
      </c>
    </row>
    <row r="1537" spans="1:7" x14ac:dyDescent="0.25">
      <c r="A1537" s="1">
        <v>43789</v>
      </c>
      <c r="B1537">
        <v>9.3225002288818306</v>
      </c>
      <c r="C1537">
        <f>C1538*(1+G1537*3)</f>
        <v>9.0101386193602693</v>
      </c>
      <c r="D1537">
        <f t="shared" si="48"/>
        <v>9.2944974237802107</v>
      </c>
      <c r="F1537">
        <v>8283.75</v>
      </c>
      <c r="G1537">
        <f t="shared" si="47"/>
        <v>-6.5945493958802226E-3</v>
      </c>
    </row>
    <row r="1538" spans="1:7" x14ac:dyDescent="0.25">
      <c r="A1538" s="1">
        <v>43788</v>
      </c>
      <c r="B1538">
        <v>9.4887504577636701</v>
      </c>
      <c r="C1538">
        <f>C1539*(1+G1538*3)</f>
        <v>9.1919897099258563</v>
      </c>
      <c r="D1538">
        <f t="shared" si="48"/>
        <v>9.4834394151823265</v>
      </c>
      <c r="F1538">
        <v>8338.740234375</v>
      </c>
      <c r="G1538">
        <f t="shared" ref="G1538:G1601" si="49">F1538/F1539-1</f>
        <v>1.2318892580100993E-3</v>
      </c>
    </row>
    <row r="1539" spans="1:7" x14ac:dyDescent="0.25">
      <c r="A1539" s="1">
        <v>43787</v>
      </c>
      <c r="B1539">
        <v>9.4499998092651296</v>
      </c>
      <c r="C1539">
        <f>C1540*(1+G1539*3)</f>
        <v>9.1581442513462346</v>
      </c>
      <c r="D1539">
        <f t="shared" si="48"/>
        <v>9.4498362275581407</v>
      </c>
      <c r="F1539">
        <v>8328.48046875</v>
      </c>
      <c r="G1539">
        <f t="shared" si="49"/>
        <v>1.5586443458273092E-3</v>
      </c>
    </row>
    <row r="1540" spans="1:7" x14ac:dyDescent="0.25">
      <c r="A1540" s="1">
        <v>43784</v>
      </c>
      <c r="B1540">
        <v>9.4012498855590803</v>
      </c>
      <c r="C1540">
        <f>C1541*(1+G1540*3)</f>
        <v>9.1155206870119851</v>
      </c>
      <c r="D1540">
        <f t="shared" si="48"/>
        <v>9.4071632676586816</v>
      </c>
      <c r="F1540">
        <v>8315.51953125</v>
      </c>
      <c r="G1540">
        <f t="shared" si="49"/>
        <v>6.9860305406161949E-3</v>
      </c>
    </row>
    <row r="1541" spans="1:7" x14ac:dyDescent="0.25">
      <c r="A1541" s="1">
        <v>43783</v>
      </c>
      <c r="B1541">
        <v>9.2274999618530202</v>
      </c>
      <c r="C1541">
        <f>C1542*(1+G1541*3)</f>
        <v>8.9283984933519402</v>
      </c>
      <c r="D1541">
        <f t="shared" si="48"/>
        <v>9.2153153462192652</v>
      </c>
      <c r="F1541">
        <v>8257.830078125</v>
      </c>
      <c r="G1541">
        <f t="shared" si="49"/>
        <v>-2.3965348966570321E-4</v>
      </c>
    </row>
    <row r="1542" spans="1:7" x14ac:dyDescent="0.25">
      <c r="A1542" s="1">
        <v>43782</v>
      </c>
      <c r="B1542">
        <v>9.2299995422363192</v>
      </c>
      <c r="C1542">
        <f>C1543*(1+G1542*3)</f>
        <v>8.9348222773668819</v>
      </c>
      <c r="D1542">
        <f t="shared" si="48"/>
        <v>9.2232350960546743</v>
      </c>
      <c r="F1542">
        <v>8259.8095703125</v>
      </c>
      <c r="G1542">
        <f t="shared" si="49"/>
        <v>-4.8167592971071205E-4</v>
      </c>
    </row>
    <row r="1543" spans="1:7" x14ac:dyDescent="0.25">
      <c r="A1543" s="1">
        <v>43781</v>
      </c>
      <c r="B1543">
        <v>9.2437496185302699</v>
      </c>
      <c r="C1543">
        <f>C1544*(1+G1543*3)</f>
        <v>8.9477520276971685</v>
      </c>
      <c r="D1543">
        <f t="shared" si="48"/>
        <v>9.23787473551711</v>
      </c>
      <c r="F1543">
        <v>8263.7900390625</v>
      </c>
      <c r="G1543">
        <f t="shared" si="49"/>
        <v>2.6547101821909891E-3</v>
      </c>
    </row>
    <row r="1544" spans="1:7" x14ac:dyDescent="0.25">
      <c r="A1544" s="1">
        <v>43780</v>
      </c>
      <c r="B1544">
        <v>9.1687498092651296</v>
      </c>
      <c r="C1544">
        <f>C1545*(1+G1544*3)</f>
        <v>8.8770540106870772</v>
      </c>
      <c r="D1544">
        <f t="shared" si="48"/>
        <v>9.1661549147120933</v>
      </c>
      <c r="F1544">
        <v>8241.91015625</v>
      </c>
      <c r="G1544">
        <f t="shared" si="49"/>
        <v>-1.6932750778888561E-3</v>
      </c>
    </row>
    <row r="1545" spans="1:7" x14ac:dyDescent="0.25">
      <c r="A1545" s="1">
        <v>43777</v>
      </c>
      <c r="B1545">
        <v>9.2075004577636701</v>
      </c>
      <c r="C1545">
        <f>C1546*(1+G1545*3)</f>
        <v>8.9223781322676849</v>
      </c>
      <c r="D1545">
        <f t="shared" si="48"/>
        <v>9.2142490424412511</v>
      </c>
      <c r="F1545">
        <v>8255.8896484375</v>
      </c>
      <c r="G1545">
        <f t="shared" si="49"/>
        <v>4.4088563491500032E-3</v>
      </c>
    </row>
    <row r="1546" spans="1:7" x14ac:dyDescent="0.25">
      <c r="A1546" s="1">
        <v>43776</v>
      </c>
      <c r="B1546">
        <v>9.1000003814697195</v>
      </c>
      <c r="C1546">
        <f>C1547*(1+G1546*3)</f>
        <v>8.805906205811155</v>
      </c>
      <c r="D1546">
        <f t="shared" si="48"/>
        <v>9.0952211944740267</v>
      </c>
      <c r="F1546">
        <v>8219.650390625</v>
      </c>
      <c r="G1546">
        <f t="shared" si="49"/>
        <v>2.8818972599515824E-3</v>
      </c>
    </row>
    <row r="1547" spans="1:7" x14ac:dyDescent="0.25">
      <c r="A1547" s="1">
        <v>43775</v>
      </c>
      <c r="B1547">
        <v>9.0087499618530202</v>
      </c>
      <c r="C1547">
        <f>C1548*(1+G1547*3)</f>
        <v>8.7304256366497395</v>
      </c>
      <c r="D1547">
        <f t="shared" si="48"/>
        <v>9.0185099427781275</v>
      </c>
      <c r="F1547">
        <v>8196.0302734375</v>
      </c>
      <c r="G1547">
        <f t="shared" si="49"/>
        <v>-1.7233988293876568E-3</v>
      </c>
    </row>
    <row r="1548" spans="1:7" x14ac:dyDescent="0.25">
      <c r="A1548" s="1">
        <v>43774</v>
      </c>
      <c r="B1548">
        <v>9.0662498474121094</v>
      </c>
      <c r="C1548">
        <f>C1549*(1+G1548*3)</f>
        <v>8.7757982378800534</v>
      </c>
      <c r="D1548">
        <f t="shared" si="48"/>
        <v>9.0666530523633959</v>
      </c>
      <c r="F1548">
        <v>8210.1796875</v>
      </c>
      <c r="G1548">
        <f t="shared" si="49"/>
        <v>-5.8517675906255562E-5</v>
      </c>
    </row>
    <row r="1549" spans="1:7" x14ac:dyDescent="0.25">
      <c r="A1549" s="1">
        <v>43773</v>
      </c>
      <c r="B1549">
        <v>9.0550003051757795</v>
      </c>
      <c r="C1549">
        <f>C1550*(1+G1549*3)</f>
        <v>8.7773391263389975</v>
      </c>
      <c r="D1549">
        <f t="shared" si="48"/>
        <v>9.0695123640171822</v>
      </c>
      <c r="F1549">
        <v>8210.66015625</v>
      </c>
      <c r="G1549">
        <f t="shared" si="49"/>
        <v>6.0641102744776187E-3</v>
      </c>
    </row>
    <row r="1550" spans="1:7" x14ac:dyDescent="0.25">
      <c r="A1550" s="1">
        <v>43770</v>
      </c>
      <c r="B1550">
        <v>8.8962497711181605</v>
      </c>
      <c r="C1550">
        <f>C1551*(1+G1550*3)</f>
        <v>8.6205119215940123</v>
      </c>
      <c r="D1550">
        <f t="shared" si="48"/>
        <v>8.9086872404300035</v>
      </c>
      <c r="F1550">
        <v>8161.169921875</v>
      </c>
      <c r="G1550">
        <f t="shared" si="49"/>
        <v>9.5672277871454714E-3</v>
      </c>
    </row>
    <row r="1551" spans="1:7" x14ac:dyDescent="0.25">
      <c r="A1551" s="1">
        <v>43769</v>
      </c>
      <c r="B1551">
        <v>8.6612501144409109</v>
      </c>
      <c r="C1551">
        <f>C1552*(1+G1551*3)</f>
        <v>8.3799920433931838</v>
      </c>
      <c r="D1551">
        <f t="shared" si="48"/>
        <v>8.6613033531694956</v>
      </c>
      <c r="F1551">
        <v>8083.830078125</v>
      </c>
      <c r="G1551">
        <f t="shared" si="49"/>
        <v>8.9101206828923196E-5</v>
      </c>
    </row>
    <row r="1552" spans="1:7" x14ac:dyDescent="0.25">
      <c r="A1552" s="1">
        <v>43768</v>
      </c>
      <c r="B1552">
        <v>8.6549997329711896</v>
      </c>
      <c r="C1552">
        <f>C1553*(1+G1552*3)</f>
        <v>8.3777526397810274</v>
      </c>
      <c r="D1552">
        <f t="shared" si="48"/>
        <v>8.6601983954864998</v>
      </c>
      <c r="F1552">
        <v>8083.10986328125</v>
      </c>
      <c r="G1552">
        <f t="shared" si="49"/>
        <v>4.423740845685753E-3</v>
      </c>
    </row>
    <row r="1553" spans="1:7" x14ac:dyDescent="0.25">
      <c r="A1553" s="1">
        <v>43767</v>
      </c>
      <c r="B1553">
        <v>8.5349998474121094</v>
      </c>
      <c r="C1553">
        <f>C1554*(1+G1553*3)</f>
        <v>8.2680258290614166</v>
      </c>
      <c r="D1553">
        <f t="shared" si="48"/>
        <v>8.5479508991052686</v>
      </c>
      <c r="F1553">
        <v>8047.509765625</v>
      </c>
      <c r="G1553">
        <f t="shared" si="49"/>
        <v>-7.7872921544560603E-3</v>
      </c>
    </row>
    <row r="1554" spans="1:7" x14ac:dyDescent="0.25">
      <c r="A1554" s="1">
        <v>43766</v>
      </c>
      <c r="B1554">
        <v>8.7362499237060494</v>
      </c>
      <c r="C1554">
        <f>C1555*(1+G1554*3)</f>
        <v>8.4658028698705596</v>
      </c>
      <c r="D1554">
        <f t="shared" si="48"/>
        <v>8.7536762060242737</v>
      </c>
      <c r="F1554">
        <v>8110.669921875</v>
      </c>
      <c r="G1554">
        <f t="shared" si="49"/>
        <v>1.0144161556395304E-2</v>
      </c>
    </row>
    <row r="1555" spans="1:7" x14ac:dyDescent="0.25">
      <c r="A1555" s="1">
        <v>43763</v>
      </c>
      <c r="B1555">
        <v>8.4774999618530202</v>
      </c>
      <c r="C1555">
        <f>C1556*(1+G1555*3)</f>
        <v>8.2157763811070588</v>
      </c>
      <c r="D1555">
        <f t="shared" si="48"/>
        <v>8.496299740316239</v>
      </c>
      <c r="F1555">
        <v>8029.22021484375</v>
      </c>
      <c r="G1555">
        <f t="shared" si="49"/>
        <v>7.8451355532165312E-3</v>
      </c>
    </row>
    <row r="1556" spans="1:7" x14ac:dyDescent="0.25">
      <c r="A1556" s="1">
        <v>43762</v>
      </c>
      <c r="B1556">
        <v>8.2887496948242099</v>
      </c>
      <c r="C1556">
        <f>C1557*(1+G1556*3)</f>
        <v>8.0268609445760042</v>
      </c>
      <c r="D1556">
        <f t="shared" si="48"/>
        <v>8.3020671234583752</v>
      </c>
      <c r="F1556">
        <v>7966.72021484375</v>
      </c>
      <c r="G1556">
        <f t="shared" si="49"/>
        <v>9.7915319909132048E-3</v>
      </c>
    </row>
    <row r="1557" spans="1:7" x14ac:dyDescent="0.25">
      <c r="A1557" s="1">
        <v>43761</v>
      </c>
      <c r="B1557">
        <v>8.0574998855590803</v>
      </c>
      <c r="C1557">
        <f>C1558*(1+G1557*3)</f>
        <v>7.7978036139416984</v>
      </c>
      <c r="D1557">
        <f t="shared" si="48"/>
        <v>8.0662512153867834</v>
      </c>
      <c r="F1557">
        <v>7889.47021484375</v>
      </c>
      <c r="G1557">
        <f t="shared" si="49"/>
        <v>1.8858176566305396E-3</v>
      </c>
    </row>
    <row r="1558" spans="1:7" x14ac:dyDescent="0.25">
      <c r="A1558" s="1">
        <v>43760</v>
      </c>
      <c r="B1558">
        <v>8.0200004577636701</v>
      </c>
      <c r="C1558">
        <f>C1559*(1+G1558*3)</f>
        <v>7.7539360852080881</v>
      </c>
      <c r="D1558">
        <f t="shared" si="48"/>
        <v>8.0219879739317044</v>
      </c>
      <c r="F1558">
        <v>7874.6201171875</v>
      </c>
      <c r="G1558">
        <f t="shared" si="49"/>
        <v>-8.2754696959671525E-3</v>
      </c>
    </row>
    <row r="1559" spans="1:7" x14ac:dyDescent="0.25">
      <c r="A1559" s="1">
        <v>43759</v>
      </c>
      <c r="B1559">
        <v>8.2100000381469709</v>
      </c>
      <c r="C1559">
        <f>C1560*(1+G1559*3)</f>
        <v>7.9513392871475155</v>
      </c>
      <c r="D1559">
        <f t="shared" si="48"/>
        <v>8.2273941018268832</v>
      </c>
      <c r="F1559">
        <v>7940.330078125</v>
      </c>
      <c r="G1559">
        <f t="shared" si="49"/>
        <v>9.130067091670746E-3</v>
      </c>
    </row>
    <row r="1560" spans="1:7" x14ac:dyDescent="0.25">
      <c r="A1560" s="1">
        <v>43756</v>
      </c>
      <c r="B1560">
        <v>7.9987502098083496</v>
      </c>
      <c r="C1560">
        <f>C1561*(1+G1560*3)</f>
        <v>7.7393567480785208</v>
      </c>
      <c r="D1560">
        <f t="shared" si="48"/>
        <v>8.0091410984536608</v>
      </c>
      <c r="F1560">
        <v>7868.490234375</v>
      </c>
      <c r="G1560">
        <f t="shared" si="49"/>
        <v>-9.2733068261092733E-3</v>
      </c>
    </row>
    <row r="1561" spans="1:7" x14ac:dyDescent="0.25">
      <c r="A1561" s="1">
        <v>43755</v>
      </c>
      <c r="B1561">
        <v>8.2349996566772408</v>
      </c>
      <c r="C1561">
        <f>C1562*(1+G1561*3)</f>
        <v>7.9608263027631727</v>
      </c>
      <c r="D1561">
        <f t="shared" si="48"/>
        <v>8.2395149178839624</v>
      </c>
      <c r="F1561">
        <v>7942.14013671875</v>
      </c>
      <c r="G1561">
        <f t="shared" si="49"/>
        <v>2.7688881847085511E-3</v>
      </c>
    </row>
    <row r="1562" spans="1:7" x14ac:dyDescent="0.25">
      <c r="A1562" s="1">
        <v>43754</v>
      </c>
      <c r="B1562">
        <v>8.1787500381469709</v>
      </c>
      <c r="C1562">
        <f>C1563*(1+G1562*3)</f>
        <v>7.8952431662082283</v>
      </c>
      <c r="D1562">
        <f t="shared" si="48"/>
        <v>8.1727683172424754</v>
      </c>
      <c r="F1562">
        <v>7920.2099609375</v>
      </c>
      <c r="G1562">
        <f t="shared" si="49"/>
        <v>-2.8503794532683813E-3</v>
      </c>
    </row>
    <row r="1563" spans="1:7" x14ac:dyDescent="0.25">
      <c r="A1563" s="1">
        <v>43753</v>
      </c>
      <c r="B1563">
        <v>8.2399997711181605</v>
      </c>
      <c r="C1563">
        <f>C1564*(1+G1563*3)</f>
        <v>7.9633387779040881</v>
      </c>
      <c r="D1563">
        <f t="shared" si="48"/>
        <v>8.2444193425851999</v>
      </c>
      <c r="F1563">
        <v>7942.85009765625</v>
      </c>
      <c r="G1563">
        <f t="shared" si="49"/>
        <v>1.2817621616263652E-2</v>
      </c>
    </row>
    <row r="1564" spans="1:7" x14ac:dyDescent="0.25">
      <c r="A1564" s="1">
        <v>43752</v>
      </c>
      <c r="B1564">
        <v>7.9387497901916504</v>
      </c>
      <c r="C1564">
        <f>C1565*(1+G1564*3)</f>
        <v>7.6684643544833682</v>
      </c>
      <c r="D1564">
        <f t="shared" si="48"/>
        <v>7.9402050625183689</v>
      </c>
      <c r="F1564">
        <v>7842.330078125</v>
      </c>
      <c r="G1564">
        <f t="shared" si="49"/>
        <v>-1.9758138965075833E-4</v>
      </c>
    </row>
    <row r="1565" spans="1:7" x14ac:dyDescent="0.25">
      <c r="A1565" s="1">
        <v>43749</v>
      </c>
      <c r="B1565">
        <v>7.9299998283386204</v>
      </c>
      <c r="C1565">
        <f>C1566*(1+G1565*3)</f>
        <v>7.6730124878938648</v>
      </c>
      <c r="D1565">
        <f t="shared" si="48"/>
        <v>7.9460251878374635</v>
      </c>
      <c r="F1565">
        <v>7843.8798828125</v>
      </c>
      <c r="G1565">
        <f t="shared" si="49"/>
        <v>1.3374057713043674E-2</v>
      </c>
    </row>
    <row r="1566" spans="1:7" x14ac:dyDescent="0.25">
      <c r="A1566" s="1">
        <v>43748</v>
      </c>
      <c r="B1566">
        <v>7.6437501907348597</v>
      </c>
      <c r="C1566">
        <f>C1567*(1+G1566*3)</f>
        <v>7.3770300124805539</v>
      </c>
      <c r="D1566">
        <f t="shared" si="48"/>
        <v>7.6405376960830873</v>
      </c>
      <c r="F1566">
        <v>7740.35986328125</v>
      </c>
      <c r="G1566">
        <f t="shared" si="49"/>
        <v>6.4794077283438778E-3</v>
      </c>
    </row>
    <row r="1567" spans="1:7" x14ac:dyDescent="0.25">
      <c r="A1567" s="1">
        <v>43747</v>
      </c>
      <c r="B1567">
        <v>7.4800000190734801</v>
      </c>
      <c r="C1567">
        <f>C1568*(1+G1567*3)</f>
        <v>7.2363678786071937</v>
      </c>
      <c r="D1567">
        <f t="shared" si="48"/>
        <v>7.4958784122786106</v>
      </c>
      <c r="F1567">
        <v>7690.52978515625</v>
      </c>
      <c r="G1567">
        <f t="shared" si="49"/>
        <v>1.1343595822274288E-2</v>
      </c>
    </row>
    <row r="1568" spans="1:7" x14ac:dyDescent="0.25">
      <c r="A1568" s="1">
        <v>43746</v>
      </c>
      <c r="B1568">
        <v>7.2600002288818297</v>
      </c>
      <c r="C1568">
        <f>C1569*(1+G1568*3)</f>
        <v>6.9982131734538653</v>
      </c>
      <c r="D1568">
        <f t="shared" si="48"/>
        <v>7.2501626132682002</v>
      </c>
      <c r="F1568">
        <v>7604.27001953125</v>
      </c>
      <c r="G1568">
        <f t="shared" si="49"/>
        <v>-1.5645026700476405E-2</v>
      </c>
    </row>
    <row r="1569" spans="1:7" x14ac:dyDescent="0.25">
      <c r="A1569" s="1">
        <v>43745</v>
      </c>
      <c r="B1569">
        <v>7.6062498092651296</v>
      </c>
      <c r="C1569">
        <f>C1570*(1+G1569*3)</f>
        <v>7.3428504473741878</v>
      </c>
      <c r="D1569">
        <f t="shared" si="48"/>
        <v>7.6083228388686734</v>
      </c>
      <c r="F1569">
        <v>7725.1298828125</v>
      </c>
      <c r="G1569">
        <f t="shared" si="49"/>
        <v>-3.7361156651184446E-3</v>
      </c>
    </row>
    <row r="1570" spans="1:7" x14ac:dyDescent="0.25">
      <c r="A1570" s="1">
        <v>43742</v>
      </c>
      <c r="B1570">
        <v>7.6774997711181596</v>
      </c>
      <c r="C1570">
        <f>C1571*(1+G1570*3)</f>
        <v>7.4260845801655408</v>
      </c>
      <c r="D1570">
        <f t="shared" si="48"/>
        <v>7.6956535795287282</v>
      </c>
      <c r="F1570">
        <v>7754.10009765625</v>
      </c>
      <c r="G1570">
        <f t="shared" si="49"/>
        <v>1.5148474857452854E-2</v>
      </c>
    </row>
    <row r="1571" spans="1:7" x14ac:dyDescent="0.25">
      <c r="A1571" s="1">
        <v>43741</v>
      </c>
      <c r="B1571">
        <v>7.3674998283386204</v>
      </c>
      <c r="C1571">
        <f>C1572*(1+G1571*3)</f>
        <v>7.1032733087938995</v>
      </c>
      <c r="D1571">
        <f t="shared" si="48"/>
        <v>7.3621080382277491</v>
      </c>
      <c r="F1571">
        <v>7638.39013671875</v>
      </c>
      <c r="G1571">
        <f t="shared" si="49"/>
        <v>1.1601447954858735E-2</v>
      </c>
    </row>
    <row r="1572" spans="1:7" x14ac:dyDescent="0.25">
      <c r="A1572" s="1">
        <v>43740</v>
      </c>
      <c r="B1572">
        <v>7.1325001716613698</v>
      </c>
      <c r="C1572">
        <f>C1573*(1+G1572*3)</f>
        <v>6.8643636363817757</v>
      </c>
      <c r="D1572">
        <f t="shared" si="48"/>
        <v>7.1154534721564255</v>
      </c>
      <c r="F1572">
        <v>7550.7900390625</v>
      </c>
      <c r="G1572">
        <f t="shared" si="49"/>
        <v>-1.7353938799090196E-2</v>
      </c>
    </row>
    <row r="1573" spans="1:7" x14ac:dyDescent="0.25">
      <c r="A1573" s="1">
        <v>43739</v>
      </c>
      <c r="B1573">
        <v>7.5174999237060502</v>
      </c>
      <c r="C1573">
        <f>C1574*(1+G1573*3)</f>
        <v>7.2413621005254871</v>
      </c>
      <c r="D1573">
        <f t="shared" si="48"/>
        <v>7.5073485502834263</v>
      </c>
      <c r="F1573">
        <v>7684.14013671875</v>
      </c>
      <c r="G1573">
        <f t="shared" si="49"/>
        <v>-8.4277022172818405E-3</v>
      </c>
    </row>
    <row r="1574" spans="1:7" x14ac:dyDescent="0.25">
      <c r="A1574" s="1">
        <v>43738</v>
      </c>
      <c r="B1574">
        <v>7.7037501335143999</v>
      </c>
      <c r="C1574">
        <f>C1575*(1+G1574*3)</f>
        <v>7.4291952360150377</v>
      </c>
      <c r="D1574">
        <f t="shared" ref="D1574:D1637" si="50">D1575*(1+3*G1574-0.000139713277571264)</f>
        <v>7.703185241562613</v>
      </c>
      <c r="F1574">
        <v>7749.4501953125</v>
      </c>
      <c r="G1574">
        <f t="shared" si="49"/>
        <v>8.8354370451433351E-3</v>
      </c>
    </row>
    <row r="1575" spans="1:7" x14ac:dyDescent="0.25">
      <c r="A1575" s="1">
        <v>43735</v>
      </c>
      <c r="B1575">
        <v>7.5037498474120996</v>
      </c>
      <c r="C1575">
        <f>C1576*(1+G1575*3)</f>
        <v>7.2373595324489752</v>
      </c>
      <c r="D1575">
        <f t="shared" si="50"/>
        <v>7.5052961170404586</v>
      </c>
      <c r="F1575">
        <v>7681.580078125</v>
      </c>
      <c r="G1575">
        <f t="shared" si="49"/>
        <v>-1.1632819075109158E-2</v>
      </c>
    </row>
    <row r="1576" spans="1:7" x14ac:dyDescent="0.25">
      <c r="A1576" s="1">
        <v>43734</v>
      </c>
      <c r="B1576">
        <v>7.78625011444091</v>
      </c>
      <c r="C1576">
        <f>C1577*(1+G1576*3)</f>
        <v>7.4990653435715426</v>
      </c>
      <c r="D1576">
        <f t="shared" si="50"/>
        <v>7.7778165805293176</v>
      </c>
      <c r="F1576">
        <v>7771.990234375</v>
      </c>
      <c r="G1576">
        <f t="shared" si="49"/>
        <v>-4.043011829191645E-3</v>
      </c>
    </row>
    <row r="1577" spans="1:7" x14ac:dyDescent="0.25">
      <c r="A1577" s="1">
        <v>43733</v>
      </c>
      <c r="B1577">
        <v>7.8649997711181596</v>
      </c>
      <c r="C1577">
        <f>C1578*(1+G1577*3)</f>
        <v>7.5911385322199356</v>
      </c>
      <c r="D1577">
        <f t="shared" si="50"/>
        <v>7.8744259339831082</v>
      </c>
      <c r="F1577">
        <v>7803.5400390625</v>
      </c>
      <c r="G1577">
        <f t="shared" si="49"/>
        <v>1.2127044675032561E-2</v>
      </c>
    </row>
    <row r="1578" spans="1:7" x14ac:dyDescent="0.25">
      <c r="A1578" s="1">
        <v>43732</v>
      </c>
      <c r="B1578">
        <v>7.6212501525878897</v>
      </c>
      <c r="C1578">
        <f>C1579*(1+G1578*3)</f>
        <v>7.3246591268382772</v>
      </c>
      <c r="D1578">
        <f t="shared" si="50"/>
        <v>7.5990264202164743</v>
      </c>
      <c r="F1578">
        <v>7710.0400390625</v>
      </c>
      <c r="G1578">
        <f t="shared" si="49"/>
        <v>-1.3886077719343581E-2</v>
      </c>
    </row>
    <row r="1579" spans="1:7" x14ac:dyDescent="0.25">
      <c r="A1579" s="1">
        <v>43731</v>
      </c>
      <c r="B1579">
        <v>7.9349999427795401</v>
      </c>
      <c r="C1579">
        <f>C1580*(1+G1579*3)</f>
        <v>7.6430553068507914</v>
      </c>
      <c r="D1579">
        <f t="shared" si="50"/>
        <v>7.930505254031754</v>
      </c>
      <c r="F1579">
        <v>7818.60986328125</v>
      </c>
      <c r="G1579">
        <f t="shared" si="49"/>
        <v>-6.3141943613498341E-4</v>
      </c>
    </row>
    <row r="1580" spans="1:7" x14ac:dyDescent="0.25">
      <c r="A1580" s="1">
        <v>43728</v>
      </c>
      <c r="B1580">
        <v>7.9274997711181596</v>
      </c>
      <c r="C1580">
        <f>C1581*(1+G1580*3)</f>
        <v>7.6575607048380459</v>
      </c>
      <c r="D1580">
        <f t="shared" si="50"/>
        <v>7.9466685520698341</v>
      </c>
      <c r="F1580">
        <v>7823.5498046875</v>
      </c>
      <c r="G1580">
        <f t="shared" si="49"/>
        <v>-9.9015835637519256E-3</v>
      </c>
    </row>
    <row r="1581" spans="1:7" x14ac:dyDescent="0.25">
      <c r="A1581" s="1">
        <v>43727</v>
      </c>
      <c r="B1581">
        <v>8.1850004196166992</v>
      </c>
      <c r="C1581">
        <f>C1582*(1+G1581*3)</f>
        <v>7.8919903094376993</v>
      </c>
      <c r="D1581">
        <f t="shared" si="50"/>
        <v>8.1911283881129062</v>
      </c>
      <c r="F1581">
        <v>7901.7900390625</v>
      </c>
      <c r="G1581">
        <f t="shared" si="49"/>
        <v>1.6771096842111977E-3</v>
      </c>
    </row>
    <row r="1582" spans="1:7" x14ac:dyDescent="0.25">
      <c r="A1582" s="1">
        <v>43726</v>
      </c>
      <c r="B1582">
        <v>8.1487503051757795</v>
      </c>
      <c r="C1582">
        <f>C1583*(1+G1582*3)</f>
        <v>7.852481889173422</v>
      </c>
      <c r="D1582">
        <f t="shared" si="50"/>
        <v>8.1512555777422584</v>
      </c>
      <c r="F1582">
        <v>7888.56005859375</v>
      </c>
      <c r="G1582">
        <f t="shared" si="49"/>
        <v>-2.9152819077560288E-5</v>
      </c>
    </row>
    <row r="1583" spans="1:7" x14ac:dyDescent="0.25">
      <c r="A1583" s="1">
        <v>43725</v>
      </c>
      <c r="B1583">
        <v>8.1537504196166992</v>
      </c>
      <c r="C1583">
        <f>C1584*(1+G1583*3)</f>
        <v>7.8531687151936405</v>
      </c>
      <c r="D1583">
        <f t="shared" si="50"/>
        <v>8.1531077333700921</v>
      </c>
      <c r="F1583">
        <v>7888.7900390625</v>
      </c>
      <c r="G1583">
        <f t="shared" si="49"/>
        <v>4.6329575364252307E-3</v>
      </c>
    </row>
    <row r="1584" spans="1:7" x14ac:dyDescent="0.25">
      <c r="A1584" s="1">
        <v>43724</v>
      </c>
      <c r="B1584">
        <v>8.0474996566772408</v>
      </c>
      <c r="C1584">
        <f>C1585*(1+G1584*3)</f>
        <v>7.7455147918090264</v>
      </c>
      <c r="D1584">
        <f t="shared" si="50"/>
        <v>8.0424503772126972</v>
      </c>
      <c r="F1584">
        <v>7852.41015625</v>
      </c>
      <c r="G1584">
        <f t="shared" si="49"/>
        <v>-5.1362339884744035E-3</v>
      </c>
    </row>
    <row r="1585" spans="1:7" x14ac:dyDescent="0.25">
      <c r="A1585" s="1">
        <v>43721</v>
      </c>
      <c r="B1585">
        <v>8.1599998474121094</v>
      </c>
      <c r="C1585">
        <f>C1586*(1+G1585*3)</f>
        <v>7.8667309037470492</v>
      </c>
      <c r="D1585">
        <f t="shared" si="50"/>
        <v>8.169472731559301</v>
      </c>
      <c r="F1585">
        <v>7892.9501953125</v>
      </c>
      <c r="G1585">
        <f t="shared" si="49"/>
        <v>-3.0805357504961606E-3</v>
      </c>
    </row>
    <row r="1586" spans="1:7" x14ac:dyDescent="0.25">
      <c r="A1586" s="1">
        <v>43720</v>
      </c>
      <c r="B1586">
        <v>8.2475004196166992</v>
      </c>
      <c r="C1586">
        <f>C1587*(1+G1586*3)</f>
        <v>7.9401102845301814</v>
      </c>
      <c r="D1586">
        <f t="shared" si="50"/>
        <v>8.2468389713006136</v>
      </c>
      <c r="F1586">
        <v>7917.33984375</v>
      </c>
      <c r="G1586">
        <f t="shared" si="49"/>
        <v>3.7729906169237104E-3</v>
      </c>
    </row>
    <row r="1587" spans="1:7" x14ac:dyDescent="0.25">
      <c r="A1587" s="1">
        <v>43719</v>
      </c>
      <c r="B1587">
        <v>8.1462497711181605</v>
      </c>
      <c r="C1587">
        <f>C1588*(1+G1587*3)</f>
        <v>7.8512422940106905</v>
      </c>
      <c r="D1587">
        <f t="shared" si="50"/>
        <v>8.1556646869291178</v>
      </c>
      <c r="F1587">
        <v>7887.580078125</v>
      </c>
      <c r="G1587">
        <f t="shared" si="49"/>
        <v>9.3208272527851577E-3</v>
      </c>
    </row>
    <row r="1588" spans="1:7" x14ac:dyDescent="0.25">
      <c r="A1588" s="1">
        <v>43718</v>
      </c>
      <c r="B1588">
        <v>7.9324998855590803</v>
      </c>
      <c r="C1588">
        <f>C1589*(1+G1588*3)</f>
        <v>7.6376739748136959</v>
      </c>
      <c r="D1588">
        <f t="shared" si="50"/>
        <v>7.9348939691070806</v>
      </c>
      <c r="F1588">
        <v>7814.740234375</v>
      </c>
      <c r="G1588">
        <f t="shared" si="49"/>
        <v>-2.2546943706827083E-3</v>
      </c>
    </row>
    <row r="1589" spans="1:7" x14ac:dyDescent="0.25">
      <c r="A1589" s="1">
        <v>43717</v>
      </c>
      <c r="B1589">
        <v>7.9987502098083496</v>
      </c>
      <c r="C1589">
        <f>C1590*(1+G1589*3)</f>
        <v>7.6896876612601508</v>
      </c>
      <c r="D1589">
        <f t="shared" si="50"/>
        <v>7.9900556867098453</v>
      </c>
      <c r="F1589">
        <v>7832.39990234375</v>
      </c>
      <c r="G1589">
        <f t="shared" si="49"/>
        <v>-2.5647926172376323E-3</v>
      </c>
    </row>
    <row r="1590" spans="1:7" x14ac:dyDescent="0.25">
      <c r="A1590" s="1">
        <v>43714</v>
      </c>
      <c r="B1590">
        <v>8.0500001907348597</v>
      </c>
      <c r="C1590">
        <f>C1591*(1+G1590*3)</f>
        <v>7.7493138098042822</v>
      </c>
      <c r="D1590">
        <f t="shared" si="50"/>
        <v>8.0531447566104486</v>
      </c>
      <c r="F1590">
        <v>7852.5400390625</v>
      </c>
      <c r="G1590">
        <f t="shared" si="49"/>
        <v>-1.2718536185911677E-3</v>
      </c>
    </row>
    <row r="1591" spans="1:7" x14ac:dyDescent="0.25">
      <c r="A1591" s="1">
        <v>43713</v>
      </c>
      <c r="B1591">
        <v>8.0725002288818306</v>
      </c>
      <c r="C1591">
        <f>C1592*(1+G1591*3)</f>
        <v>7.778995038771475</v>
      </c>
      <c r="D1591">
        <f t="shared" si="50"/>
        <v>8.0851236369967552</v>
      </c>
      <c r="F1591">
        <v>7862.5400390625</v>
      </c>
      <c r="G1591">
        <f t="shared" si="49"/>
        <v>1.8562689258995402E-2</v>
      </c>
    </row>
    <row r="1592" spans="1:7" x14ac:dyDescent="0.25">
      <c r="A1592" s="1">
        <v>43712</v>
      </c>
      <c r="B1592">
        <v>7.6500000953674299</v>
      </c>
      <c r="C1592">
        <f>C1593*(1+G1592*3)</f>
        <v>7.3686492025547699</v>
      </c>
      <c r="D1592">
        <f t="shared" si="50"/>
        <v>7.6596430684893235</v>
      </c>
      <c r="F1592">
        <v>7719.25</v>
      </c>
      <c r="G1592">
        <f t="shared" si="49"/>
        <v>1.4421459168202588E-2</v>
      </c>
    </row>
    <row r="1593" spans="1:7" x14ac:dyDescent="0.25">
      <c r="A1593" s="1">
        <v>43711</v>
      </c>
      <c r="B1593">
        <v>7.3412499427795401</v>
      </c>
      <c r="C1593">
        <f>C1594*(1+G1593*3)</f>
        <v>7.0630698808866645</v>
      </c>
      <c r="D1593">
        <f t="shared" si="50"/>
        <v>7.3429795413429124</v>
      </c>
      <c r="F1593">
        <v>7609.509765625</v>
      </c>
      <c r="G1593">
        <f t="shared" si="49"/>
        <v>-1.0595531709140515E-2</v>
      </c>
    </row>
    <row r="1594" spans="1:7" x14ac:dyDescent="0.25">
      <c r="A1594" s="1">
        <v>43707</v>
      </c>
      <c r="B1594">
        <v>7.5612502098083496</v>
      </c>
      <c r="C1594">
        <f>C1595*(1+G1594*3)</f>
        <v>7.2949515523555455</v>
      </c>
      <c r="D1594">
        <f t="shared" si="50"/>
        <v>7.5851452271619433</v>
      </c>
      <c r="F1594">
        <v>7691</v>
      </c>
      <c r="G1594">
        <f t="shared" si="49"/>
        <v>-1.4683982477609048E-3</v>
      </c>
    </row>
    <row r="1595" spans="1:7" x14ac:dyDescent="0.25">
      <c r="A1595" s="1">
        <v>43706</v>
      </c>
      <c r="B1595">
        <v>7.6149997711181596</v>
      </c>
      <c r="C1595">
        <f>C1596*(1+G1595*3)</f>
        <v>7.3272294249009455</v>
      </c>
      <c r="D1595">
        <f t="shared" si="50"/>
        <v>7.6197764100852536</v>
      </c>
      <c r="F1595">
        <v>7702.31005859375</v>
      </c>
      <c r="G1595">
        <f t="shared" si="49"/>
        <v>1.5077973842889225E-2</v>
      </c>
    </row>
    <row r="1596" spans="1:7" x14ac:dyDescent="0.25">
      <c r="A1596" s="1">
        <v>43705</v>
      </c>
      <c r="B1596">
        <v>7.2837500572204501</v>
      </c>
      <c r="C1596">
        <f>C1597*(1+G1596*3)</f>
        <v>7.0101335920908312</v>
      </c>
      <c r="D1596">
        <f t="shared" si="50"/>
        <v>7.2909947734152132</v>
      </c>
      <c r="F1596">
        <v>7587.89990234375</v>
      </c>
      <c r="G1596">
        <f t="shared" si="49"/>
        <v>2.8905671545738088E-3</v>
      </c>
    </row>
    <row r="1597" spans="1:7" x14ac:dyDescent="0.25">
      <c r="A1597" s="1">
        <v>43704</v>
      </c>
      <c r="B1597">
        <v>7.2112498283386204</v>
      </c>
      <c r="C1597">
        <f>C1598*(1+G1597*3)</f>
        <v>6.9498664252384224</v>
      </c>
      <c r="D1597">
        <f t="shared" si="50"/>
        <v>7.2293143487973088</v>
      </c>
      <c r="F1597">
        <v>7566.02978515625</v>
      </c>
      <c r="G1597">
        <f t="shared" si="49"/>
        <v>-1.1868264838666986E-3</v>
      </c>
    </row>
    <row r="1598" spans="1:7" x14ac:dyDescent="0.25">
      <c r="A1598" s="1">
        <v>43703</v>
      </c>
      <c r="B1598">
        <v>7.25500011444091</v>
      </c>
      <c r="C1598">
        <f>C1599*(1+G1598*3)</f>
        <v>6.9746997002020734</v>
      </c>
      <c r="D1598">
        <f t="shared" si="50"/>
        <v>7.2561635524156349</v>
      </c>
      <c r="F1598">
        <v>7575.02001953125</v>
      </c>
      <c r="G1598">
        <f t="shared" si="49"/>
        <v>1.473944127208382E-2</v>
      </c>
    </row>
    <row r="1599" spans="1:7" x14ac:dyDescent="0.25">
      <c r="A1599" s="1">
        <v>43700</v>
      </c>
      <c r="B1599">
        <v>6.9724998474120996</v>
      </c>
      <c r="C1599">
        <f>C1600*(1+G1599*3)</f>
        <v>6.6793500373676586</v>
      </c>
      <c r="D1599">
        <f t="shared" si="50"/>
        <v>6.9498249261824281</v>
      </c>
      <c r="F1599">
        <v>7464.990234375</v>
      </c>
      <c r="G1599">
        <f t="shared" si="49"/>
        <v>-3.1455353584396994E-2</v>
      </c>
    </row>
    <row r="1600" spans="1:7" x14ac:dyDescent="0.25">
      <c r="A1600" s="1">
        <v>43699</v>
      </c>
      <c r="B1600">
        <v>7.6750001907348597</v>
      </c>
      <c r="C1600">
        <f>C1601*(1+G1600*3)</f>
        <v>7.3753309675239107</v>
      </c>
      <c r="D1600">
        <f t="shared" si="50"/>
        <v>7.6751731009033879</v>
      </c>
      <c r="F1600">
        <v>7707.43017578125</v>
      </c>
      <c r="G1600">
        <f t="shared" si="49"/>
        <v>-3.3349676261639205E-3</v>
      </c>
    </row>
    <row r="1601" spans="1:7" x14ac:dyDescent="0.25">
      <c r="A1601" s="1">
        <v>43698</v>
      </c>
      <c r="B1601">
        <v>7.75</v>
      </c>
      <c r="C1601">
        <f>C1602*(1+G1601*3)</f>
        <v>7.4498661548610583</v>
      </c>
      <c r="D1601">
        <f t="shared" si="50"/>
        <v>7.7538327579713142</v>
      </c>
      <c r="F1601">
        <v>7733.22021484375</v>
      </c>
      <c r="G1601">
        <f t="shared" si="49"/>
        <v>8.9699611418481151E-3</v>
      </c>
    </row>
    <row r="1602" spans="1:7" x14ac:dyDescent="0.25">
      <c r="A1602" s="1">
        <v>43697</v>
      </c>
      <c r="B1602">
        <v>7.5574998855590803</v>
      </c>
      <c r="C1602">
        <f>C1603*(1+G1602*3)</f>
        <v>7.2546445166249169</v>
      </c>
      <c r="D1602">
        <f t="shared" si="50"/>
        <v>7.5516731819876206</v>
      </c>
      <c r="F1602">
        <v>7664.47021484375</v>
      </c>
      <c r="G1602">
        <f t="shared" ref="G1602:G1665" si="51">F1602/F1603-1</f>
        <v>-7.105497715344522E-3</v>
      </c>
    </row>
    <row r="1603" spans="1:7" x14ac:dyDescent="0.25">
      <c r="A1603" s="1">
        <v>43696</v>
      </c>
      <c r="B1603">
        <v>7.7162499427795401</v>
      </c>
      <c r="C1603">
        <f>C1604*(1+G1603*3)</f>
        <v>7.4126563550103981</v>
      </c>
      <c r="D1603">
        <f t="shared" si="50"/>
        <v>7.7172562245657526</v>
      </c>
      <c r="F1603">
        <v>7719.31982421875</v>
      </c>
      <c r="G1603">
        <f t="shared" si="51"/>
        <v>1.5151012151182419E-2</v>
      </c>
    </row>
    <row r="1604" spans="1:7" x14ac:dyDescent="0.25">
      <c r="A1604" s="1">
        <v>43693</v>
      </c>
      <c r="B1604">
        <v>7.3712501525878897</v>
      </c>
      <c r="C1604">
        <f>C1605*(1+G1604*3)</f>
        <v>7.0903771824663551</v>
      </c>
      <c r="D1604">
        <f t="shared" si="50"/>
        <v>7.3827206192287012</v>
      </c>
      <c r="F1604">
        <v>7604.10986328125</v>
      </c>
      <c r="G1604">
        <f t="shared" si="51"/>
        <v>1.5928052968692485E-2</v>
      </c>
    </row>
    <row r="1605" spans="1:7" x14ac:dyDescent="0.25">
      <c r="A1605" s="1">
        <v>43692</v>
      </c>
      <c r="B1605">
        <v>7.0462498664855904</v>
      </c>
      <c r="C1605">
        <f>C1606*(1+G1605*3)</f>
        <v>6.7670207859116251</v>
      </c>
      <c r="D1605">
        <f t="shared" si="50"/>
        <v>7.0469715656246681</v>
      </c>
      <c r="F1605">
        <v>7484.89013671875</v>
      </c>
      <c r="G1605">
        <f t="shared" si="51"/>
        <v>-6.9955343575200946E-4</v>
      </c>
    </row>
    <row r="1606" spans="1:7" x14ac:dyDescent="0.25">
      <c r="A1606" s="1">
        <v>43691</v>
      </c>
      <c r="B1606">
        <v>7.07625007629394</v>
      </c>
      <c r="C1606">
        <f>C1607*(1+G1606*3)</f>
        <v>6.7812523310122081</v>
      </c>
      <c r="D1606">
        <f t="shared" si="50"/>
        <v>7.0627807073955298</v>
      </c>
      <c r="F1606">
        <v>7490.1298828125</v>
      </c>
      <c r="G1606">
        <f t="shared" si="51"/>
        <v>-3.0799094549015527E-2</v>
      </c>
    </row>
    <row r="1607" spans="1:7" x14ac:dyDescent="0.25">
      <c r="A1607" s="1">
        <v>43690</v>
      </c>
      <c r="B1607">
        <v>7.77250003814697</v>
      </c>
      <c r="C1607">
        <f>C1608*(1+G1607*3)</f>
        <v>7.471608677265217</v>
      </c>
      <c r="D1607">
        <f t="shared" si="50"/>
        <v>7.7829957623174089</v>
      </c>
      <c r="F1607">
        <v>7728.14990234375</v>
      </c>
      <c r="G1607">
        <f t="shared" si="51"/>
        <v>2.2014912386227881E-2</v>
      </c>
    </row>
    <row r="1608" spans="1:7" x14ac:dyDescent="0.25">
      <c r="A1608" s="1">
        <v>43689</v>
      </c>
      <c r="B1608">
        <v>7.2937498092651296</v>
      </c>
      <c r="C1608">
        <f>C1609*(1+G1608*3)</f>
        <v>7.0087196313910862</v>
      </c>
      <c r="D1608">
        <f t="shared" si="50"/>
        <v>7.3017722854691227</v>
      </c>
      <c r="F1608">
        <v>7561.68017578125</v>
      </c>
      <c r="G1608">
        <f t="shared" si="51"/>
        <v>-1.1062889949469246E-2</v>
      </c>
    </row>
    <row r="1609" spans="1:7" x14ac:dyDescent="0.25">
      <c r="A1609" s="1">
        <v>43686</v>
      </c>
      <c r="B1609">
        <v>7.5462498664855904</v>
      </c>
      <c r="C1609">
        <f>C1610*(1+G1609*3)</f>
        <v>7.2493147450931774</v>
      </c>
      <c r="D1609">
        <f t="shared" si="50"/>
        <v>7.5535188558460664</v>
      </c>
      <c r="F1609">
        <v>7646.27001953125</v>
      </c>
      <c r="G1609">
        <f t="shared" si="51"/>
        <v>-1.0169810571783899E-2</v>
      </c>
    </row>
    <row r="1610" spans="1:7" x14ac:dyDescent="0.25">
      <c r="A1610" s="1">
        <v>43685</v>
      </c>
      <c r="B1610">
        <v>7.7762498855590803</v>
      </c>
      <c r="C1610">
        <f>C1611*(1+G1610*3)</f>
        <v>7.4774474164505076</v>
      </c>
      <c r="D1610">
        <f t="shared" si="50"/>
        <v>7.7923476487684322</v>
      </c>
      <c r="F1610">
        <v>7724.830078125</v>
      </c>
      <c r="G1610">
        <f t="shared" si="51"/>
        <v>2.2898896703805738E-2</v>
      </c>
    </row>
    <row r="1611" spans="1:7" x14ac:dyDescent="0.25">
      <c r="A1611" s="1">
        <v>43684</v>
      </c>
      <c r="B1611">
        <v>7.2937498092651296</v>
      </c>
      <c r="C1611">
        <f>C1612*(1+G1611*3)</f>
        <v>6.9967910312054435</v>
      </c>
      <c r="D1611">
        <f t="shared" si="50"/>
        <v>7.2924025744114296</v>
      </c>
      <c r="F1611">
        <v>7551.89990234375</v>
      </c>
      <c r="G1611">
        <f t="shared" si="51"/>
        <v>4.0657861704713749E-3</v>
      </c>
    </row>
    <row r="1612" spans="1:7" x14ac:dyDescent="0.25">
      <c r="A1612" s="1">
        <v>43683</v>
      </c>
      <c r="B1612">
        <v>7.1887497901916504</v>
      </c>
      <c r="C1612">
        <f>C1613*(1+G1612*3)</f>
        <v>6.9124770701785465</v>
      </c>
      <c r="D1612">
        <f t="shared" si="50"/>
        <v>7.2055209589632323</v>
      </c>
      <c r="F1612">
        <v>7521.31982421875</v>
      </c>
      <c r="G1612">
        <f t="shared" si="51"/>
        <v>1.4244107243845949E-2</v>
      </c>
    </row>
    <row r="1613" spans="1:7" x14ac:dyDescent="0.25">
      <c r="A1613" s="1">
        <v>43682</v>
      </c>
      <c r="B1613">
        <v>6.9050002098083496</v>
      </c>
      <c r="C1613">
        <f>C1614*(1+G1613*3)</f>
        <v>6.6291961283983625</v>
      </c>
      <c r="D1613">
        <f t="shared" si="50"/>
        <v>6.9111567649113796</v>
      </c>
      <c r="F1613">
        <v>7415.68994140625</v>
      </c>
      <c r="G1613">
        <f t="shared" si="51"/>
        <v>-3.6021977734608024E-2</v>
      </c>
    </row>
    <row r="1614" spans="1:7" x14ac:dyDescent="0.25">
      <c r="A1614" s="1">
        <v>43679</v>
      </c>
      <c r="B1614">
        <v>7.7150001525878897</v>
      </c>
      <c r="C1614">
        <f>C1615*(1+G1614*3)</f>
        <v>7.4323835978262522</v>
      </c>
      <c r="D1614">
        <f t="shared" si="50"/>
        <v>7.7497202551722575</v>
      </c>
      <c r="F1614">
        <v>7692.7998046875</v>
      </c>
      <c r="G1614">
        <f t="shared" si="51"/>
        <v>-1.3888990599154827E-2</v>
      </c>
    </row>
    <row r="1615" spans="1:7" x14ac:dyDescent="0.25">
      <c r="A1615" s="1">
        <v>43678</v>
      </c>
      <c r="B1615">
        <v>8.0850000381469709</v>
      </c>
      <c r="C1615">
        <f>C1616*(1+G1615*3)</f>
        <v>7.7555331801164646</v>
      </c>
      <c r="D1615">
        <f t="shared" si="50"/>
        <v>8.0878462983006045</v>
      </c>
      <c r="F1615">
        <v>7801.14990234375</v>
      </c>
      <c r="G1615">
        <f t="shared" si="51"/>
        <v>-6.0684442825850171E-3</v>
      </c>
    </row>
    <row r="1616" spans="1:7" x14ac:dyDescent="0.25">
      <c r="A1616" s="1">
        <v>43677</v>
      </c>
      <c r="B1616">
        <v>8.1999998092651296</v>
      </c>
      <c r="C1616">
        <f>C1617*(1+G1616*3)</f>
        <v>7.8993433551761489</v>
      </c>
      <c r="D1616">
        <f t="shared" si="50"/>
        <v>8.2389909676278847</v>
      </c>
      <c r="F1616">
        <v>7848.77978515625</v>
      </c>
      <c r="G1616">
        <f t="shared" si="51"/>
        <v>-1.303876995275699E-2</v>
      </c>
    </row>
    <row r="1617" spans="1:7" x14ac:dyDescent="0.25">
      <c r="A1617" s="1">
        <v>43676</v>
      </c>
      <c r="B1617">
        <v>8.5612497329711896</v>
      </c>
      <c r="C1617">
        <f>C1618*(1+G1617*3)</f>
        <v>8.2209152223314419</v>
      </c>
      <c r="D1617">
        <f t="shared" si="50"/>
        <v>8.5756363464486416</v>
      </c>
      <c r="F1617">
        <v>7952.47021484375</v>
      </c>
      <c r="G1617">
        <f t="shared" si="51"/>
        <v>-4.5824879614727587E-3</v>
      </c>
    </row>
    <row r="1618" spans="1:7" x14ac:dyDescent="0.25">
      <c r="A1618" s="1">
        <v>43675</v>
      </c>
      <c r="B1618">
        <v>8.6774997711181605</v>
      </c>
      <c r="C1618">
        <f>C1619*(1+G1618*3)</f>
        <v>8.3355073080065676</v>
      </c>
      <c r="D1618">
        <f t="shared" si="50"/>
        <v>8.6964048614317306</v>
      </c>
      <c r="F1618">
        <v>7989.080078125</v>
      </c>
      <c r="G1618">
        <f t="shared" si="51"/>
        <v>-3.476398943303316E-3</v>
      </c>
    </row>
    <row r="1619" spans="1:7" x14ac:dyDescent="0.25">
      <c r="A1619" s="1">
        <v>43672</v>
      </c>
      <c r="B1619">
        <v>8.7587499618530202</v>
      </c>
      <c r="C1619">
        <f>C1620*(1+G1619*3)</f>
        <v>8.4233561472345073</v>
      </c>
      <c r="D1619">
        <f t="shared" si="50"/>
        <v>8.7892981636309955</v>
      </c>
      <c r="F1619">
        <v>8016.9501953125</v>
      </c>
      <c r="G1619">
        <f t="shared" si="51"/>
        <v>1.0981274199719726E-2</v>
      </c>
    </row>
    <row r="1620" spans="1:7" x14ac:dyDescent="0.25">
      <c r="A1620" s="1">
        <v>43671</v>
      </c>
      <c r="B1620">
        <v>8.5062503814697195</v>
      </c>
      <c r="C1620">
        <f>C1621*(1+G1620*3)</f>
        <v>8.1547088650369393</v>
      </c>
      <c r="D1620">
        <f t="shared" si="50"/>
        <v>8.51013089927031</v>
      </c>
      <c r="F1620">
        <v>7929.8701171875</v>
      </c>
      <c r="G1620">
        <f t="shared" si="51"/>
        <v>-1.0079101026232995E-2</v>
      </c>
    </row>
    <row r="1621" spans="1:7" x14ac:dyDescent="0.25">
      <c r="A1621" s="1">
        <v>43670</v>
      </c>
      <c r="B1621">
        <v>8.7562503814697195</v>
      </c>
      <c r="C1621">
        <f>C1622*(1+G1621*3)</f>
        <v>8.408973546750806</v>
      </c>
      <c r="D1621">
        <f t="shared" si="50"/>
        <v>8.7767421387746332</v>
      </c>
      <c r="F1621">
        <v>8010.60986328125</v>
      </c>
      <c r="G1621">
        <f t="shared" si="51"/>
        <v>7.0462482242430458E-3</v>
      </c>
    </row>
    <row r="1622" spans="1:7" x14ac:dyDescent="0.25">
      <c r="A1622" s="1">
        <v>43669</v>
      </c>
      <c r="B1622">
        <v>8.5737495422363192</v>
      </c>
      <c r="C1622">
        <f>C1623*(1+G1622*3)</f>
        <v>8.2348981376138539</v>
      </c>
      <c r="D1622">
        <f t="shared" si="50"/>
        <v>8.5962296426290798</v>
      </c>
      <c r="F1622">
        <v>7954.56005859375</v>
      </c>
      <c r="G1622">
        <f t="shared" si="51"/>
        <v>6.254167004845046E-3</v>
      </c>
    </row>
    <row r="1623" spans="1:7" x14ac:dyDescent="0.25">
      <c r="A1623" s="1">
        <v>43668</v>
      </c>
      <c r="B1623">
        <v>8.4112501144409109</v>
      </c>
      <c r="C1623">
        <f>C1624*(1+G1623*3)</f>
        <v>8.0832364063391875</v>
      </c>
      <c r="D1623">
        <f t="shared" si="50"/>
        <v>8.4390706217431113</v>
      </c>
      <c r="F1623">
        <v>7905.1201171875</v>
      </c>
      <c r="G1623">
        <f t="shared" si="51"/>
        <v>8.962490359671893E-3</v>
      </c>
    </row>
    <row r="1624" spans="1:7" x14ac:dyDescent="0.25">
      <c r="A1624" s="1">
        <v>43665</v>
      </c>
      <c r="B1624">
        <v>8.2174997329711896</v>
      </c>
      <c r="C1624">
        <f>C1625*(1+G1624*3)</f>
        <v>7.871589277299897</v>
      </c>
      <c r="D1624">
        <f t="shared" si="50"/>
        <v>8.21922478780332</v>
      </c>
      <c r="F1624">
        <v>7834.89990234375</v>
      </c>
      <c r="G1624">
        <f t="shared" si="51"/>
        <v>-8.7587098763761695E-3</v>
      </c>
    </row>
    <row r="1625" spans="1:7" x14ac:dyDescent="0.25">
      <c r="A1625" s="1">
        <v>43664</v>
      </c>
      <c r="B1625">
        <v>8.4212503433227504</v>
      </c>
      <c r="C1625">
        <f>C1626*(1+G1625*3)</f>
        <v>8.0840056578892021</v>
      </c>
      <c r="D1625">
        <f t="shared" si="50"/>
        <v>8.4422335017676922</v>
      </c>
      <c r="F1625">
        <v>7904.1298828125</v>
      </c>
      <c r="G1625">
        <f t="shared" si="51"/>
        <v>1.9483566040983114E-3</v>
      </c>
    </row>
    <row r="1626" spans="1:7" x14ac:dyDescent="0.25">
      <c r="A1626" s="1">
        <v>43663</v>
      </c>
      <c r="B1626">
        <v>8.3850002288818306</v>
      </c>
      <c r="C1626">
        <f>C1627*(1+G1626*3)</f>
        <v>8.0370286642631683</v>
      </c>
      <c r="D1626">
        <f t="shared" si="50"/>
        <v>8.3943407946601809</v>
      </c>
      <c r="F1626">
        <v>7888.759765625</v>
      </c>
      <c r="G1626">
        <f t="shared" si="51"/>
        <v>-4.8341018536883773E-3</v>
      </c>
    </row>
    <row r="1627" spans="1:7" x14ac:dyDescent="0.25">
      <c r="A1627" s="1">
        <v>43662</v>
      </c>
      <c r="B1627">
        <v>8.5112495422363192</v>
      </c>
      <c r="C1627">
        <f>C1628*(1+G1627*3)</f>
        <v>8.1552993067516226</v>
      </c>
      <c r="D1627">
        <f t="shared" si="50"/>
        <v>8.5190772847513081</v>
      </c>
      <c r="F1627">
        <v>7927.080078125</v>
      </c>
      <c r="G1627">
        <f t="shared" si="51"/>
        <v>-5.001938861895705E-3</v>
      </c>
    </row>
    <row r="1628" spans="1:7" x14ac:dyDescent="0.25">
      <c r="A1628" s="1">
        <v>43661</v>
      </c>
      <c r="B1628">
        <v>8.6337499618530202</v>
      </c>
      <c r="C1628">
        <f>C1629*(1+G1628*3)</f>
        <v>8.2795405740191086</v>
      </c>
      <c r="D1628">
        <f t="shared" si="50"/>
        <v>8.6500874424304346</v>
      </c>
      <c r="F1628">
        <v>7966.93017578125</v>
      </c>
      <c r="G1628">
        <f t="shared" si="51"/>
        <v>2.982402735816736E-3</v>
      </c>
    </row>
    <row r="1629" spans="1:7" x14ac:dyDescent="0.25">
      <c r="A1629" s="1">
        <v>43658</v>
      </c>
      <c r="B1629">
        <v>8.5612497329711896</v>
      </c>
      <c r="C1629">
        <f>C1630*(1+G1629*3)</f>
        <v>8.2061187212450744</v>
      </c>
      <c r="D1629">
        <f t="shared" si="50"/>
        <v>8.5745669871650723</v>
      </c>
      <c r="F1629">
        <v>7943.240234375</v>
      </c>
      <c r="G1629">
        <f t="shared" si="51"/>
        <v>5.8834677530306134E-3</v>
      </c>
    </row>
    <row r="1630" spans="1:7" x14ac:dyDescent="0.25">
      <c r="A1630" s="1">
        <v>43657</v>
      </c>
      <c r="B1630">
        <v>8.42000007629394</v>
      </c>
      <c r="C1630">
        <f>C1631*(1+G1630*3)</f>
        <v>8.063789583303306</v>
      </c>
      <c r="D1630">
        <f t="shared" si="50"/>
        <v>8.4270043269233845</v>
      </c>
      <c r="F1630">
        <v>7896.77978515625</v>
      </c>
      <c r="G1630">
        <f t="shared" si="51"/>
        <v>-8.3762902918993465E-4</v>
      </c>
    </row>
    <row r="1631" spans="1:7" x14ac:dyDescent="0.25">
      <c r="A1631" s="1">
        <v>43656</v>
      </c>
      <c r="B1631">
        <v>8.4425001144409109</v>
      </c>
      <c r="C1631">
        <f>C1632*(1+G1631*3)</f>
        <v>8.0841040239195845</v>
      </c>
      <c r="D1631">
        <f t="shared" si="50"/>
        <v>8.4494172542171491</v>
      </c>
      <c r="F1631">
        <v>7903.39990234375</v>
      </c>
      <c r="G1631">
        <f t="shared" si="51"/>
        <v>9.7791503105324473E-3</v>
      </c>
    </row>
    <row r="1632" spans="1:7" x14ac:dyDescent="0.25">
      <c r="A1632" s="1">
        <v>43655</v>
      </c>
      <c r="B1632">
        <v>8.1999998092651296</v>
      </c>
      <c r="C1632">
        <f>C1633*(1+G1632*3)</f>
        <v>7.8536965857048164</v>
      </c>
      <c r="D1632">
        <f t="shared" si="50"/>
        <v>8.2097122303017507</v>
      </c>
      <c r="F1632">
        <v>7826.85986328125</v>
      </c>
      <c r="G1632">
        <f t="shared" si="51"/>
        <v>5.2749719697933184E-3</v>
      </c>
    </row>
    <row r="1633" spans="1:7" x14ac:dyDescent="0.25">
      <c r="A1633" s="1">
        <v>43654</v>
      </c>
      <c r="B1633">
        <v>8.0787496566772408</v>
      </c>
      <c r="C1633">
        <f>C1634*(1+G1633*3)</f>
        <v>7.731348643554468</v>
      </c>
      <c r="D1633">
        <f t="shared" si="50"/>
        <v>8.0829298379350476</v>
      </c>
      <c r="F1633">
        <v>7785.7900390625</v>
      </c>
      <c r="G1633">
        <f t="shared" si="51"/>
        <v>-7.0791535852023912E-3</v>
      </c>
    </row>
    <row r="1634" spans="1:7" x14ac:dyDescent="0.25">
      <c r="A1634" s="1">
        <v>43651</v>
      </c>
      <c r="B1634">
        <v>8.2524995803833008</v>
      </c>
      <c r="C1634">
        <f>C1635*(1+G1634*3)</f>
        <v>7.8991055884945176</v>
      </c>
      <c r="D1634">
        <f t="shared" si="50"/>
        <v>8.2594944890536244</v>
      </c>
      <c r="F1634">
        <v>7841.2998046875</v>
      </c>
      <c r="G1634">
        <f t="shared" si="51"/>
        <v>-2.0858721635708122E-3</v>
      </c>
    </row>
    <row r="1635" spans="1:7" x14ac:dyDescent="0.25">
      <c r="A1635" s="1">
        <v>43649</v>
      </c>
      <c r="B1635">
        <v>8.3062496185302699</v>
      </c>
      <c r="C1635">
        <f>C1636*(1+G1635*3)</f>
        <v>7.9488464209403347</v>
      </c>
      <c r="D1635">
        <f t="shared" si="50"/>
        <v>8.3126734020626589</v>
      </c>
      <c r="F1635">
        <v>7857.68994140625</v>
      </c>
      <c r="G1635">
        <f t="shared" si="51"/>
        <v>7.4194171777930418E-3</v>
      </c>
    </row>
    <row r="1636" spans="1:7" x14ac:dyDescent="0.25">
      <c r="A1636" s="1">
        <v>43648</v>
      </c>
      <c r="B1636">
        <v>8.1262502670287997</v>
      </c>
      <c r="C1636">
        <f>C1637*(1+G1636*3)</f>
        <v>7.7757713464451168</v>
      </c>
      <c r="D1636">
        <f t="shared" si="50"/>
        <v>8.1327880191350452</v>
      </c>
      <c r="F1636">
        <v>7799.81982421875</v>
      </c>
      <c r="G1636">
        <f t="shared" si="51"/>
        <v>4.0781560247935555E-3</v>
      </c>
    </row>
    <row r="1637" spans="1:7" x14ac:dyDescent="0.25">
      <c r="A1637" s="1">
        <v>43647</v>
      </c>
      <c r="B1637">
        <v>8.0287504196166992</v>
      </c>
      <c r="C1637">
        <f>C1638*(1+G1637*3)</f>
        <v>7.6817887472625959</v>
      </c>
      <c r="D1637">
        <f t="shared" si="50"/>
        <v>8.0355994145704308</v>
      </c>
      <c r="F1637">
        <v>7768.14013671875</v>
      </c>
      <c r="G1637">
        <f t="shared" si="51"/>
        <v>1.265272394568373E-2</v>
      </c>
    </row>
    <row r="1638" spans="1:7" x14ac:dyDescent="0.25">
      <c r="A1638" s="1">
        <v>43644</v>
      </c>
      <c r="B1638">
        <v>7.7212500572204501</v>
      </c>
      <c r="C1638">
        <f>C1639*(1+G1638*3)</f>
        <v>7.4008654256913138</v>
      </c>
      <c r="D1638">
        <f t="shared" ref="D1638:D1701" si="52">D1639*(1+3*G1638-0.000139713277571264)</f>
        <v>7.7427794315048715</v>
      </c>
      <c r="F1638">
        <v>7671.080078125</v>
      </c>
      <c r="G1638">
        <f t="shared" si="51"/>
        <v>1.8323340967314472E-3</v>
      </c>
    </row>
    <row r="1639" spans="1:7" x14ac:dyDescent="0.25">
      <c r="A1639" s="1">
        <v>43643</v>
      </c>
      <c r="B1639">
        <v>7.6887497901916504</v>
      </c>
      <c r="C1639">
        <f>C1640*(1+G1639*3)</f>
        <v>7.3604052611142103</v>
      </c>
      <c r="D1639">
        <f t="shared" si="52"/>
        <v>7.701520162159639</v>
      </c>
      <c r="F1639">
        <v>7657.0498046875</v>
      </c>
      <c r="G1639">
        <f t="shared" si="51"/>
        <v>3.9333688343772266E-3</v>
      </c>
    </row>
    <row r="1640" spans="1:7" x14ac:dyDescent="0.25">
      <c r="A1640" s="1">
        <v>43642</v>
      </c>
      <c r="B1640">
        <v>7.6062498092651296</v>
      </c>
      <c r="C1640">
        <f>C1641*(1+G1640*3)</f>
        <v>7.2745646237895789</v>
      </c>
      <c r="D1640">
        <f t="shared" si="52"/>
        <v>7.612752474774906</v>
      </c>
      <c r="F1640">
        <v>7627.0498046875</v>
      </c>
      <c r="G1640">
        <f t="shared" si="51"/>
        <v>4.6775444036761815E-3</v>
      </c>
    </row>
    <row r="1641" spans="1:7" x14ac:dyDescent="0.25">
      <c r="A1641" s="1">
        <v>43641</v>
      </c>
      <c r="B1641">
        <v>7.5112500190734801</v>
      </c>
      <c r="C1641">
        <f>C1642*(1+G1641*3)</f>
        <v>7.1738959729076903</v>
      </c>
      <c r="D1641">
        <f t="shared" si="52"/>
        <v>7.5084383420633198</v>
      </c>
      <c r="F1641">
        <v>7591.5400390625</v>
      </c>
      <c r="G1641">
        <f t="shared" si="51"/>
        <v>-1.7024425695678858E-2</v>
      </c>
    </row>
    <row r="1642" spans="1:7" x14ac:dyDescent="0.25">
      <c r="A1642" s="1">
        <v>43640</v>
      </c>
      <c r="B1642">
        <v>7.9162502288818297</v>
      </c>
      <c r="C1642">
        <f>C1643*(1+G1642*3)</f>
        <v>7.5600104830915251</v>
      </c>
      <c r="D1642">
        <f t="shared" si="52"/>
        <v>7.913723802930992</v>
      </c>
      <c r="F1642">
        <v>7723.02001953125</v>
      </c>
      <c r="G1642">
        <f t="shared" si="51"/>
        <v>-7.4523608966869936E-4</v>
      </c>
    </row>
    <row r="1643" spans="1:7" x14ac:dyDescent="0.25">
      <c r="A1643" s="1">
        <v>43637</v>
      </c>
      <c r="B1643">
        <v>7.9187498092651296</v>
      </c>
      <c r="C1643">
        <f>C1644*(1+G1643*3)</f>
        <v>7.5769503336062174</v>
      </c>
      <c r="D1643">
        <f t="shared" si="52"/>
        <v>7.9325669934869891</v>
      </c>
      <c r="F1643">
        <v>7728.77978515625</v>
      </c>
      <c r="G1643">
        <f t="shared" si="51"/>
        <v>-1.1979787886133852E-3</v>
      </c>
    </row>
    <row r="1644" spans="1:7" x14ac:dyDescent="0.25">
      <c r="A1644" s="1">
        <v>43636</v>
      </c>
      <c r="B1644">
        <v>7.9549999237060502</v>
      </c>
      <c r="C1644">
        <f>C1645*(1+G1644*3)</f>
        <v>7.6042796307070333</v>
      </c>
      <c r="D1644">
        <f t="shared" si="52"/>
        <v>7.9622954149236547</v>
      </c>
      <c r="F1644">
        <v>7738.0498046875</v>
      </c>
      <c r="G1644">
        <f t="shared" si="51"/>
        <v>9.1695295045726155E-3</v>
      </c>
    </row>
    <row r="1645" spans="1:7" x14ac:dyDescent="0.25">
      <c r="A1645" s="1">
        <v>43635</v>
      </c>
      <c r="B1645">
        <v>7.7424998283386204</v>
      </c>
      <c r="C1645">
        <f>C1646*(1+G1645*3)</f>
        <v>7.4006969048371234</v>
      </c>
      <c r="D1645">
        <f t="shared" si="52"/>
        <v>7.75018166001328</v>
      </c>
      <c r="F1645">
        <v>7667.740234375</v>
      </c>
      <c r="G1645">
        <f t="shared" si="51"/>
        <v>4.2355780240563856E-3</v>
      </c>
    </row>
    <row r="1646" spans="1:7" x14ac:dyDescent="0.25">
      <c r="A1646" s="1">
        <v>43634</v>
      </c>
      <c r="B1646">
        <v>7.6525001525878897</v>
      </c>
      <c r="C1646">
        <f>C1647*(1+G1646*3)</f>
        <v>7.3078381488373934</v>
      </c>
      <c r="D1646">
        <f t="shared" si="52"/>
        <v>7.6539937612538802</v>
      </c>
      <c r="F1646">
        <v>7635.39990234375</v>
      </c>
      <c r="G1646">
        <f t="shared" si="51"/>
        <v>1.4466165310124346E-2</v>
      </c>
    </row>
    <row r="1647" spans="1:7" x14ac:dyDescent="0.25">
      <c r="A1647" s="1">
        <v>43633</v>
      </c>
      <c r="B1647">
        <v>7.33500003814697</v>
      </c>
      <c r="C1647">
        <f>C1648*(1+G1647*3)</f>
        <v>7.0038802790502128</v>
      </c>
      <c r="D1647">
        <f t="shared" si="52"/>
        <v>7.3366204900679399</v>
      </c>
      <c r="F1647">
        <v>7526.52001953125</v>
      </c>
      <c r="G1647">
        <f t="shared" si="51"/>
        <v>6.3390105395777496E-3</v>
      </c>
    </row>
    <row r="1648" spans="1:7" x14ac:dyDescent="0.25">
      <c r="A1648" s="1">
        <v>43630</v>
      </c>
      <c r="B1648">
        <v>7.2037501335143999</v>
      </c>
      <c r="C1648">
        <f>C1649*(1+G1648*3)</f>
        <v>6.8731729320798296</v>
      </c>
      <c r="D1648">
        <f t="shared" si="52"/>
        <v>7.2006907583463731</v>
      </c>
      <c r="F1648">
        <v>7479.10986328125</v>
      </c>
      <c r="G1648">
        <f t="shared" si="51"/>
        <v>-4.2033892751552893E-3</v>
      </c>
    </row>
    <row r="1649" spans="1:7" x14ac:dyDescent="0.25">
      <c r="A1649" s="1">
        <v>43629</v>
      </c>
      <c r="B1649">
        <v>7.2987499237060502</v>
      </c>
      <c r="C1649">
        <f>C1650*(1+G1649*3)</f>
        <v>6.9609517012576507</v>
      </c>
      <c r="D1649">
        <f t="shared" si="52"/>
        <v>7.2936843668264917</v>
      </c>
      <c r="F1649">
        <v>7510.68017578125</v>
      </c>
      <c r="G1649">
        <f t="shared" si="51"/>
        <v>5.1376668354761179E-3</v>
      </c>
    </row>
    <row r="1650" spans="1:7" x14ac:dyDescent="0.25">
      <c r="A1650" s="1">
        <v>43628</v>
      </c>
      <c r="B1650">
        <v>7.1812500953674299</v>
      </c>
      <c r="C1650">
        <f>C1651*(1+G1650*3)</f>
        <v>6.8552910961214177</v>
      </c>
      <c r="D1650">
        <f t="shared" si="52"/>
        <v>7.1839616569980649</v>
      </c>
      <c r="F1650">
        <v>7472.2900390625</v>
      </c>
      <c r="G1650">
        <f t="shared" si="51"/>
        <v>-5.5311269260899243E-3</v>
      </c>
    </row>
    <row r="1651" spans="1:7" x14ac:dyDescent="0.25">
      <c r="A1651" s="1">
        <v>43627</v>
      </c>
      <c r="B1651">
        <v>7.3049998283386204</v>
      </c>
      <c r="C1651">
        <f>C1652*(1+G1651*3)</f>
        <v>6.9709629385520175</v>
      </c>
      <c r="D1651">
        <f t="shared" si="52"/>
        <v>7.3062172779016032</v>
      </c>
      <c r="F1651">
        <v>7513.85009765625</v>
      </c>
      <c r="G1651">
        <f t="shared" si="51"/>
        <v>1.5889139988907175E-3</v>
      </c>
    </row>
    <row r="1652" spans="1:7" x14ac:dyDescent="0.25">
      <c r="A1652" s="1">
        <v>43626</v>
      </c>
      <c r="B1652">
        <v>7.2775001525878897</v>
      </c>
      <c r="C1652">
        <f>C1653*(1+G1652*3)</f>
        <v>6.9378917983484625</v>
      </c>
      <c r="D1652">
        <f t="shared" si="52"/>
        <v>7.2725669019845389</v>
      </c>
      <c r="F1652">
        <v>7501.93017578125</v>
      </c>
      <c r="G1652">
        <f t="shared" si="51"/>
        <v>1.141119415217684E-2</v>
      </c>
    </row>
    <row r="1653" spans="1:7" x14ac:dyDescent="0.25">
      <c r="A1653" s="1">
        <v>43623</v>
      </c>
      <c r="B1653">
        <v>7.0212497711181596</v>
      </c>
      <c r="C1653">
        <f>C1654*(1+G1653*3)</f>
        <v>6.7082445552284762</v>
      </c>
      <c r="D1653">
        <f t="shared" si="52"/>
        <v>7.0327918177860855</v>
      </c>
      <c r="F1653">
        <v>7417.2900390625</v>
      </c>
      <c r="G1653">
        <f t="shared" si="51"/>
        <v>1.9428424938955802E-2</v>
      </c>
    </row>
    <row r="1654" spans="1:7" x14ac:dyDescent="0.25">
      <c r="A1654" s="1">
        <v>43622</v>
      </c>
      <c r="B1654">
        <v>6.6424999237060502</v>
      </c>
      <c r="C1654">
        <f>C1655*(1+G1654*3)</f>
        <v>6.338786634245964</v>
      </c>
      <c r="D1654">
        <f t="shared" si="52"/>
        <v>6.6463368305920083</v>
      </c>
      <c r="F1654">
        <v>7275.93017578125</v>
      </c>
      <c r="G1654">
        <f t="shared" si="51"/>
        <v>7.6209716492037227E-3</v>
      </c>
    </row>
    <row r="1655" spans="1:7" x14ac:dyDescent="0.25">
      <c r="A1655" s="1">
        <v>43621</v>
      </c>
      <c r="B1655">
        <v>6.4924998283386204</v>
      </c>
      <c r="C1655">
        <f>C1656*(1+G1655*3)</f>
        <v>6.1971028000077828</v>
      </c>
      <c r="D1655">
        <f t="shared" si="52"/>
        <v>6.4986663251004542</v>
      </c>
      <c r="F1655">
        <v>7220.89990234375</v>
      </c>
      <c r="G1655">
        <f t="shared" si="51"/>
        <v>7.5557124699130451E-3</v>
      </c>
    </row>
    <row r="1656" spans="1:7" x14ac:dyDescent="0.25">
      <c r="A1656" s="1">
        <v>43620</v>
      </c>
      <c r="B1656">
        <v>6.3524999618530202</v>
      </c>
      <c r="C1656">
        <f>C1657*(1+G1656*3)</f>
        <v>6.0597457113016313</v>
      </c>
      <c r="D1656">
        <f t="shared" si="52"/>
        <v>6.3554934290549285</v>
      </c>
      <c r="F1656">
        <v>7166.75</v>
      </c>
      <c r="G1656">
        <f t="shared" si="51"/>
        <v>2.704635124870669E-2</v>
      </c>
    </row>
    <row r="1657" spans="1:7" x14ac:dyDescent="0.25">
      <c r="A1657" s="1">
        <v>43619</v>
      </c>
      <c r="B1657">
        <v>5.8762497901916504</v>
      </c>
      <c r="C1657">
        <f>C1658*(1+G1657*3)</f>
        <v>5.6049642183443122</v>
      </c>
      <c r="D1657">
        <f t="shared" si="52"/>
        <v>5.8792759543222308</v>
      </c>
      <c r="F1657">
        <v>6978.02001953125</v>
      </c>
      <c r="G1657">
        <f t="shared" si="51"/>
        <v>-2.1035463474535221E-2</v>
      </c>
    </row>
    <row r="1658" spans="1:7" x14ac:dyDescent="0.25">
      <c r="A1658" s="1">
        <v>43616</v>
      </c>
      <c r="B1658">
        <v>6.2775001525878897</v>
      </c>
      <c r="C1658">
        <f>C1659*(1+G1658*3)</f>
        <v>5.9824980777470902</v>
      </c>
      <c r="D1658">
        <f t="shared" si="52"/>
        <v>6.276222578365183</v>
      </c>
      <c r="F1658">
        <v>7127.9599609375</v>
      </c>
      <c r="G1658">
        <f t="shared" si="51"/>
        <v>-1.620889709183071E-2</v>
      </c>
    </row>
    <row r="1659" spans="1:7" x14ac:dyDescent="0.25">
      <c r="A1659" s="1">
        <v>43615</v>
      </c>
      <c r="B1659">
        <v>6.5949997901916504</v>
      </c>
      <c r="C1659">
        <f>C1660*(1+G1659*3)</f>
        <v>6.2882761402753005</v>
      </c>
      <c r="D1659">
        <f t="shared" si="52"/>
        <v>6.5979824602560457</v>
      </c>
      <c r="F1659">
        <v>7245.39990234375</v>
      </c>
      <c r="G1659">
        <f t="shared" si="51"/>
        <v>3.9546339548186538E-3</v>
      </c>
    </row>
    <row r="1660" spans="1:7" x14ac:dyDescent="0.25">
      <c r="A1660" s="1">
        <v>43614</v>
      </c>
      <c r="B1660">
        <v>6.5174999237060502</v>
      </c>
      <c r="C1660">
        <f>C1661*(1+G1660*3)</f>
        <v>6.2145473602611485</v>
      </c>
      <c r="D1660">
        <f t="shared" si="52"/>
        <v>6.5215228959502394</v>
      </c>
      <c r="F1660">
        <v>7216.85986328125</v>
      </c>
      <c r="G1660">
        <f t="shared" si="51"/>
        <v>-8.4524331680634335E-3</v>
      </c>
    </row>
    <row r="1661" spans="1:7" x14ac:dyDescent="0.25">
      <c r="A1661" s="1">
        <v>43613</v>
      </c>
      <c r="B1661">
        <v>6.6849999427795401</v>
      </c>
      <c r="C1661">
        <f>C1662*(1+G1661*3)</f>
        <v>6.376231368787507</v>
      </c>
      <c r="D1661">
        <f t="shared" si="52"/>
        <v>6.6921528014667384</v>
      </c>
      <c r="F1661">
        <v>7278.3798828125</v>
      </c>
      <c r="G1661">
        <f t="shared" si="51"/>
        <v>-3.0927546851113874E-3</v>
      </c>
    </row>
    <row r="1662" spans="1:7" x14ac:dyDescent="0.25">
      <c r="A1662" s="1">
        <v>43609</v>
      </c>
      <c r="B1662">
        <v>6.7575001716613698</v>
      </c>
      <c r="C1662">
        <f>C1663*(1+G1662*3)</f>
        <v>6.4359457731162921</v>
      </c>
      <c r="D1662">
        <f t="shared" si="52"/>
        <v>6.7557785709137317</v>
      </c>
      <c r="F1662">
        <v>7300.9599609375</v>
      </c>
      <c r="G1662">
        <f t="shared" si="51"/>
        <v>-9.5378782720856314E-4</v>
      </c>
    </row>
    <row r="1663" spans="1:7" x14ac:dyDescent="0.25">
      <c r="A1663" s="1">
        <v>43608</v>
      </c>
      <c r="B1663">
        <v>6.7674999237060502</v>
      </c>
      <c r="C1663">
        <f>C1664*(1+G1663*3)</f>
        <v>6.454414198198303</v>
      </c>
      <c r="D1663">
        <f t="shared" si="52"/>
        <v>6.7761142097863853</v>
      </c>
      <c r="F1663">
        <v>7307.93017578125</v>
      </c>
      <c r="G1663">
        <f t="shared" si="51"/>
        <v>-1.5191368166052488E-2</v>
      </c>
    </row>
    <row r="1664" spans="1:7" x14ac:dyDescent="0.25">
      <c r="A1664" s="1">
        <v>43607</v>
      </c>
      <c r="B1664">
        <v>7.1024999618530202</v>
      </c>
      <c r="C1664">
        <f>C1665*(1+G1664*3)</f>
        <v>6.762614288461374</v>
      </c>
      <c r="D1664">
        <f t="shared" si="52"/>
        <v>7.1007150014395775</v>
      </c>
      <c r="F1664">
        <v>7420.66015625</v>
      </c>
      <c r="G1664">
        <f t="shared" si="51"/>
        <v>-4.0745915595002957E-3</v>
      </c>
    </row>
    <row r="1665" spans="1:7" x14ac:dyDescent="0.25">
      <c r="A1665" s="1">
        <v>43606</v>
      </c>
      <c r="B1665">
        <v>7.1962499618530202</v>
      </c>
      <c r="C1665">
        <f>C1666*(1+G1665*3)</f>
        <v>6.8463019407662848</v>
      </c>
      <c r="D1665">
        <f t="shared" si="52"/>
        <v>7.1896035786936903</v>
      </c>
      <c r="F1665">
        <v>7451.02001953125</v>
      </c>
      <c r="G1665">
        <f t="shared" si="51"/>
        <v>1.0074941674595328E-2</v>
      </c>
    </row>
    <row r="1666" spans="1:7" x14ac:dyDescent="0.25">
      <c r="A1666" s="1">
        <v>43605</v>
      </c>
      <c r="B1666">
        <v>6.9862499237060502</v>
      </c>
      <c r="C1666">
        <f>C1667*(1+G1666*3)</f>
        <v>6.6454445422708739</v>
      </c>
      <c r="D1666">
        <f t="shared" si="52"/>
        <v>6.9796209038549968</v>
      </c>
      <c r="F1666">
        <v>7376.7001953125</v>
      </c>
      <c r="G1666">
        <f t="shared" ref="G1666:G1729" si="53">F1666/F1667-1</f>
        <v>-1.6922360427699012E-2</v>
      </c>
    </row>
    <row r="1667" spans="1:7" x14ac:dyDescent="0.25">
      <c r="A1667" s="1">
        <v>43602</v>
      </c>
      <c r="B1667">
        <v>7.3550000190734801</v>
      </c>
      <c r="C1667">
        <f>C1668*(1+G1667*3)</f>
        <v>7.0008576517275163</v>
      </c>
      <c r="D1667">
        <f t="shared" si="52"/>
        <v>7.3539889063099508</v>
      </c>
      <c r="F1667">
        <v>7503.68017578125</v>
      </c>
      <c r="G1667">
        <f t="shared" si="53"/>
        <v>-1.0086879603600218E-2</v>
      </c>
    </row>
    <row r="1668" spans="1:7" x14ac:dyDescent="0.25">
      <c r="A1668" s="1">
        <v>43601</v>
      </c>
      <c r="B1668">
        <v>7.5912499427795401</v>
      </c>
      <c r="C1668">
        <f>C1669*(1+G1668*3)</f>
        <v>7.2193188519668903</v>
      </c>
      <c r="D1668">
        <f t="shared" si="52"/>
        <v>7.5845622697464234</v>
      </c>
      <c r="F1668">
        <v>7580.14013671875</v>
      </c>
      <c r="G1668">
        <f t="shared" si="53"/>
        <v>1.0247577612201297E-2</v>
      </c>
    </row>
    <row r="1669" spans="1:7" x14ac:dyDescent="0.25">
      <c r="A1669" s="1">
        <v>43600</v>
      </c>
      <c r="B1669">
        <v>7.3612499237060502</v>
      </c>
      <c r="C1669">
        <f>C1670*(1+G1669*3)</f>
        <v>7.0039968480780121</v>
      </c>
      <c r="D1669">
        <f t="shared" si="52"/>
        <v>7.3593441177686971</v>
      </c>
      <c r="F1669">
        <v>7503.25</v>
      </c>
      <c r="G1669">
        <f t="shared" si="53"/>
        <v>1.3695185384308362E-2</v>
      </c>
    </row>
    <row r="1670" spans="1:7" x14ac:dyDescent="0.25">
      <c r="A1670" s="1">
        <v>43599</v>
      </c>
      <c r="B1670">
        <v>7.06750011444091</v>
      </c>
      <c r="C1670">
        <f>C1671*(1+G1670*3)</f>
        <v>6.7275900685430265</v>
      </c>
      <c r="D1670">
        <f t="shared" si="52"/>
        <v>7.0698626332378076</v>
      </c>
      <c r="F1670">
        <v>7401.8798828125</v>
      </c>
      <c r="G1670">
        <f t="shared" si="53"/>
        <v>1.0615595469225081E-2</v>
      </c>
    </row>
    <row r="1671" spans="1:7" x14ac:dyDescent="0.25">
      <c r="A1671" s="1">
        <v>43598</v>
      </c>
      <c r="B1671">
        <v>6.8524999618530202</v>
      </c>
      <c r="C1671">
        <f>C1672*(1+G1671*3)</f>
        <v>6.5199505945691865</v>
      </c>
      <c r="D1671">
        <f t="shared" si="52"/>
        <v>6.8525871513010932</v>
      </c>
      <c r="F1671">
        <v>7324.1298828125</v>
      </c>
      <c r="G1671">
        <f t="shared" si="53"/>
        <v>-3.4587605898174889E-2</v>
      </c>
    </row>
    <row r="1672" spans="1:7" x14ac:dyDescent="0.25">
      <c r="A1672" s="1">
        <v>43595</v>
      </c>
      <c r="B1672">
        <v>7.6424999237060502</v>
      </c>
      <c r="C1672">
        <f>C1673*(1+G1672*3)</f>
        <v>7.2748048432863532</v>
      </c>
      <c r="D1672">
        <f t="shared" si="52"/>
        <v>7.6471448566134788</v>
      </c>
      <c r="F1672">
        <v>7586.52978515625</v>
      </c>
      <c r="G1672">
        <f t="shared" si="53"/>
        <v>4.9847155138316168E-4</v>
      </c>
    </row>
    <row r="1673" spans="1:7" x14ac:dyDescent="0.25">
      <c r="A1673" s="1">
        <v>43594</v>
      </c>
      <c r="B1673">
        <v>7.6212501525878897</v>
      </c>
      <c r="C1673">
        <f>C1674*(1+G1673*3)</f>
        <v>7.263942237617325</v>
      </c>
      <c r="D1673">
        <f t="shared" si="52"/>
        <v>7.6367916476640998</v>
      </c>
      <c r="F1673">
        <v>7582.75</v>
      </c>
      <c r="G1673">
        <f t="shared" si="53"/>
        <v>-4.5683724530538594E-3</v>
      </c>
    </row>
    <row r="1674" spans="1:7" x14ac:dyDescent="0.25">
      <c r="A1674" s="1">
        <v>43593</v>
      </c>
      <c r="B1674">
        <v>7.7437500953674299</v>
      </c>
      <c r="C1674">
        <f>C1675*(1+G1674*3)</f>
        <v>7.3648787654335894</v>
      </c>
      <c r="D1674">
        <f t="shared" si="52"/>
        <v>7.7440061005764056</v>
      </c>
      <c r="F1674">
        <v>7617.5498046875</v>
      </c>
      <c r="G1674">
        <f t="shared" si="53"/>
        <v>-2.9580699259993404E-3</v>
      </c>
    </row>
    <row r="1675" spans="1:7" x14ac:dyDescent="0.25">
      <c r="A1675" s="1">
        <v>43592</v>
      </c>
      <c r="B1675">
        <v>7.8125</v>
      </c>
      <c r="C1675">
        <f>C1676*(1+G1675*3)</f>
        <v>7.4308214336587213</v>
      </c>
      <c r="D1675">
        <f t="shared" si="52"/>
        <v>7.8144449056781742</v>
      </c>
      <c r="F1675">
        <v>7640.14990234375</v>
      </c>
      <c r="G1675">
        <f t="shared" si="53"/>
        <v>-1.9750855390728295E-2</v>
      </c>
    </row>
    <row r="1676" spans="1:7" x14ac:dyDescent="0.25">
      <c r="A1676" s="1">
        <v>43591</v>
      </c>
      <c r="B1676">
        <v>8.29500007629394</v>
      </c>
      <c r="C1676">
        <f>C1677*(1+G1676*3)</f>
        <v>7.8988484756459973</v>
      </c>
      <c r="D1676">
        <f t="shared" si="52"/>
        <v>8.307868131368112</v>
      </c>
      <c r="F1676">
        <v>7794.08984375</v>
      </c>
      <c r="G1676">
        <f t="shared" si="53"/>
        <v>-6.5819416226793326E-3</v>
      </c>
    </row>
    <row r="1677" spans="1:7" x14ac:dyDescent="0.25">
      <c r="A1677" s="1">
        <v>43588</v>
      </c>
      <c r="B1677">
        <v>8.4462499618530202</v>
      </c>
      <c r="C1677">
        <f>C1678*(1+G1677*3)</f>
        <v>8.0579595333859739</v>
      </c>
      <c r="D1677">
        <f t="shared" si="52"/>
        <v>8.4764264325306513</v>
      </c>
      <c r="F1677">
        <v>7845.72998046875</v>
      </c>
      <c r="G1677">
        <f t="shared" si="53"/>
        <v>1.5752068336085889E-2</v>
      </c>
    </row>
    <row r="1678" spans="1:7" x14ac:dyDescent="0.25">
      <c r="A1678" s="1">
        <v>43587</v>
      </c>
      <c r="B1678">
        <v>8.0662498474121094</v>
      </c>
      <c r="C1678">
        <f>C1679*(1+G1678*3)</f>
        <v>7.6943535830589198</v>
      </c>
      <c r="D1678">
        <f t="shared" si="52"/>
        <v>8.0950176025980785</v>
      </c>
      <c r="F1678">
        <v>7724.06005859375</v>
      </c>
      <c r="G1678">
        <f t="shared" si="53"/>
        <v>-3.5849556831474283E-3</v>
      </c>
    </row>
    <row r="1679" spans="1:7" x14ac:dyDescent="0.25">
      <c r="A1679" s="1">
        <v>43586</v>
      </c>
      <c r="B1679">
        <v>8.1662502288818306</v>
      </c>
      <c r="C1679">
        <f>C1680*(1+G1679*3)</f>
        <v>7.7780049926649291</v>
      </c>
      <c r="D1679">
        <f t="shared" si="52"/>
        <v>8.1841808179298177</v>
      </c>
      <c r="F1679">
        <v>7751.85009765625</v>
      </c>
      <c r="G1679">
        <f t="shared" si="53"/>
        <v>-3.8051809596001407E-3</v>
      </c>
    </row>
    <row r="1680" spans="1:7" x14ac:dyDescent="0.25">
      <c r="A1680" s="1">
        <v>43585</v>
      </c>
      <c r="B1680">
        <v>8.2612495422363192</v>
      </c>
      <c r="C1680">
        <f>C1681*(1+G1680*3)</f>
        <v>7.8678204341941749</v>
      </c>
      <c r="D1680">
        <f t="shared" si="52"/>
        <v>8.2798566828380569</v>
      </c>
      <c r="F1680">
        <v>7781.4599609375</v>
      </c>
      <c r="G1680">
        <f t="shared" si="53"/>
        <v>-7.3452971075634865E-3</v>
      </c>
    </row>
    <row r="1681" spans="1:7" x14ac:dyDescent="0.25">
      <c r="A1681" s="1">
        <v>43584</v>
      </c>
      <c r="B1681">
        <v>8.4549999237060494</v>
      </c>
      <c r="C1681">
        <f>C1682*(1+G1681*3)</f>
        <v>8.0451014146473678</v>
      </c>
      <c r="D1681">
        <f t="shared" si="52"/>
        <v>8.4676315315831534</v>
      </c>
      <c r="F1681">
        <v>7839.0400390625</v>
      </c>
      <c r="G1681">
        <f t="shared" si="53"/>
        <v>1.5791961602693583E-3</v>
      </c>
    </row>
    <row r="1682" spans="1:7" x14ac:dyDescent="0.25">
      <c r="A1682" s="1">
        <v>43581</v>
      </c>
      <c r="B1682">
        <v>8.4099998474121094</v>
      </c>
      <c r="C1682">
        <f>C1683*(1+G1682*3)</f>
        <v>8.0071667536712656</v>
      </c>
      <c r="D1682">
        <f t="shared" si="52"/>
        <v>8.4288766088322618</v>
      </c>
      <c r="F1682">
        <v>7826.68017578125</v>
      </c>
      <c r="G1682">
        <f t="shared" si="53"/>
        <v>1.2486061010983374E-3</v>
      </c>
    </row>
    <row r="1683" spans="1:7" x14ac:dyDescent="0.25">
      <c r="A1683" s="1">
        <v>43580</v>
      </c>
      <c r="B1683">
        <v>8.3800001144409109</v>
      </c>
      <c r="C1683">
        <f>C1684*(1+G1683*3)</f>
        <v>7.9772852924123407</v>
      </c>
      <c r="D1683">
        <f t="shared" si="52"/>
        <v>8.3985904097466797</v>
      </c>
      <c r="F1683">
        <v>7816.919921875</v>
      </c>
      <c r="G1683">
        <f t="shared" si="53"/>
        <v>4.1762657635528999E-3</v>
      </c>
    </row>
    <row r="1684" spans="1:7" x14ac:dyDescent="0.25">
      <c r="A1684" s="1">
        <v>43579</v>
      </c>
      <c r="B1684">
        <v>8.2875003814697195</v>
      </c>
      <c r="C1684">
        <f>C1685*(1+G1684*3)</f>
        <v>7.8785762081612818</v>
      </c>
      <c r="D1684">
        <f t="shared" si="52"/>
        <v>8.2958128869336072</v>
      </c>
      <c r="F1684">
        <v>7784.41015625</v>
      </c>
      <c r="G1684">
        <f t="shared" si="53"/>
        <v>-3.3671464974411869E-3</v>
      </c>
    </row>
    <row r="1685" spans="1:7" x14ac:dyDescent="0.25">
      <c r="A1685" s="1">
        <v>43578</v>
      </c>
      <c r="B1685">
        <v>8.3687496185302699</v>
      </c>
      <c r="C1685">
        <f>C1686*(1+G1685*3)</f>
        <v>7.958973295325027</v>
      </c>
      <c r="D1685">
        <f t="shared" si="52"/>
        <v>8.3816506517217775</v>
      </c>
      <c r="F1685">
        <v>7810.7099609375</v>
      </c>
      <c r="G1685">
        <f t="shared" si="53"/>
        <v>1.2603856828552473E-2</v>
      </c>
    </row>
    <row r="1686" spans="1:7" x14ac:dyDescent="0.25">
      <c r="A1686" s="1">
        <v>43577</v>
      </c>
      <c r="B1686">
        <v>8.0625</v>
      </c>
      <c r="C1686">
        <f>C1687*(1+G1686*3)</f>
        <v>7.6689964938437925</v>
      </c>
      <c r="D1686">
        <f t="shared" si="52"/>
        <v>8.0773614447568001</v>
      </c>
      <c r="F1686">
        <v>7713.490234375</v>
      </c>
      <c r="G1686">
        <f t="shared" si="53"/>
        <v>3.0911423130020044E-3</v>
      </c>
    </row>
    <row r="1687" spans="1:7" x14ac:dyDescent="0.25">
      <c r="A1687" s="1">
        <v>43573</v>
      </c>
      <c r="B1687">
        <v>7.9949998855590803</v>
      </c>
      <c r="C1687">
        <f>C1688*(1+G1687*3)</f>
        <v>7.598532061923847</v>
      </c>
      <c r="D1687">
        <f t="shared" si="52"/>
        <v>8.0042528907787158</v>
      </c>
      <c r="F1687">
        <v>7689.72021484375</v>
      </c>
      <c r="G1687">
        <f t="shared" si="53"/>
        <v>1.1717651142411079E-3</v>
      </c>
    </row>
    <row r="1688" spans="1:7" x14ac:dyDescent="0.25">
      <c r="A1688" s="1">
        <v>43572</v>
      </c>
      <c r="B1688">
        <v>7.9699997901916504</v>
      </c>
      <c r="C1688">
        <f>C1689*(1+G1688*3)</f>
        <v>7.5719145459848471</v>
      </c>
      <c r="D1688">
        <f t="shared" si="52"/>
        <v>7.9773247763358244</v>
      </c>
      <c r="F1688">
        <v>7680.72021484375</v>
      </c>
      <c r="G1688">
        <f t="shared" si="53"/>
        <v>3.3953169401552685E-3</v>
      </c>
    </row>
    <row r="1689" spans="1:7" x14ac:dyDescent="0.25">
      <c r="A1689" s="1">
        <v>43571</v>
      </c>
      <c r="B1689">
        <v>7.8912501335143999</v>
      </c>
      <c r="C1689">
        <f>C1690*(1+G1689*3)</f>
        <v>7.495565088620558</v>
      </c>
      <c r="D1689">
        <f t="shared" si="52"/>
        <v>7.8979797952042219</v>
      </c>
      <c r="F1689">
        <v>7654.72998046875</v>
      </c>
      <c r="G1689">
        <f t="shared" si="53"/>
        <v>3.3568567394230975E-3</v>
      </c>
    </row>
    <row r="1690" spans="1:7" x14ac:dyDescent="0.25">
      <c r="A1690" s="1">
        <v>43570</v>
      </c>
      <c r="B1690">
        <v>7.8150000572204501</v>
      </c>
      <c r="C1690">
        <f>C1691*(1+G1690*3)</f>
        <v>7.4208330681299008</v>
      </c>
      <c r="D1690">
        <f t="shared" si="52"/>
        <v>7.8203173424455361</v>
      </c>
      <c r="F1690">
        <v>7629.1201171875</v>
      </c>
      <c r="G1690">
        <f t="shared" si="53"/>
        <v>1.2718874906370026E-4</v>
      </c>
    </row>
    <row r="1691" spans="1:7" x14ac:dyDescent="0.25">
      <c r="A1691" s="1">
        <v>43567</v>
      </c>
      <c r="B1691">
        <v>7.8087501525878897</v>
      </c>
      <c r="C1691">
        <f>C1692*(1+G1691*3)</f>
        <v>7.4180026087128406</v>
      </c>
      <c r="D1691">
        <f t="shared" si="52"/>
        <v>7.818426432795011</v>
      </c>
      <c r="F1691">
        <v>7628.14990234375</v>
      </c>
      <c r="G1691">
        <f t="shared" si="53"/>
        <v>4.3792293273867688E-3</v>
      </c>
    </row>
    <row r="1692" spans="1:7" x14ac:dyDescent="0.25">
      <c r="A1692" s="1">
        <v>43566</v>
      </c>
      <c r="B1692">
        <v>7.7137498855590803</v>
      </c>
      <c r="C1692">
        <f>C1693*(1+G1692*3)</f>
        <v>7.3218109411042454</v>
      </c>
      <c r="D1692">
        <f t="shared" si="52"/>
        <v>7.7181066774343998</v>
      </c>
      <c r="F1692">
        <v>7594.89013671875</v>
      </c>
      <c r="G1692">
        <f t="shared" si="53"/>
        <v>-2.1809260926698437E-3</v>
      </c>
    </row>
    <row r="1693" spans="1:7" x14ac:dyDescent="0.25">
      <c r="A1693" s="1">
        <v>43565</v>
      </c>
      <c r="B1693">
        <v>7.77250003814697</v>
      </c>
      <c r="C1693">
        <f>C1694*(1+G1693*3)</f>
        <v>7.3700314226043089</v>
      </c>
      <c r="D1693">
        <f t="shared" si="52"/>
        <v>7.7700298362014264</v>
      </c>
      <c r="F1693">
        <v>7611.490234375</v>
      </c>
      <c r="G1693">
        <f t="shared" si="53"/>
        <v>5.68145015299093E-3</v>
      </c>
    </row>
    <row r="1694" spans="1:7" x14ac:dyDescent="0.25">
      <c r="A1694" s="1">
        <v>43564</v>
      </c>
      <c r="B1694">
        <v>7.6487498283386204</v>
      </c>
      <c r="C1694">
        <f>C1695*(1+G1694*3)</f>
        <v>7.2465192095884055</v>
      </c>
      <c r="D1694">
        <f t="shared" si="52"/>
        <v>7.6408638058116773</v>
      </c>
      <c r="F1694">
        <v>7568.490234375</v>
      </c>
      <c r="G1694">
        <f t="shared" si="53"/>
        <v>-4.1119826515452207E-3</v>
      </c>
    </row>
    <row r="1695" spans="1:7" x14ac:dyDescent="0.25">
      <c r="A1695" s="1">
        <v>43563</v>
      </c>
      <c r="B1695">
        <v>7.7337498664855904</v>
      </c>
      <c r="C1695">
        <f>C1696*(1+G1695*3)</f>
        <v>7.337028410198295</v>
      </c>
      <c r="D1695">
        <f t="shared" si="52"/>
        <v>7.7373928984330114</v>
      </c>
      <c r="F1695">
        <v>7599.740234375</v>
      </c>
      <c r="G1695">
        <f t="shared" si="53"/>
        <v>2.7577295543770308E-3</v>
      </c>
    </row>
    <row r="1696" spans="1:7" x14ac:dyDescent="0.25">
      <c r="A1696" s="1">
        <v>43560</v>
      </c>
      <c r="B1696">
        <v>7.6737499237060502</v>
      </c>
      <c r="C1696">
        <f>C1697*(1+G1696*3)</f>
        <v>7.2768258570144635</v>
      </c>
      <c r="D1696">
        <f t="shared" si="52"/>
        <v>7.6749687291892101</v>
      </c>
      <c r="F1696">
        <v>7578.83984375</v>
      </c>
      <c r="G1696">
        <f t="shared" si="53"/>
        <v>5.075215855482762E-3</v>
      </c>
    </row>
    <row r="1697" spans="1:7" x14ac:dyDescent="0.25">
      <c r="A1697" s="1">
        <v>43559</v>
      </c>
      <c r="B1697">
        <v>7.5599999427795401</v>
      </c>
      <c r="C1697">
        <f>C1698*(1+G1697*3)</f>
        <v>7.1676930881892273</v>
      </c>
      <c r="D1697">
        <f t="shared" si="52"/>
        <v>7.5609054070539798</v>
      </c>
      <c r="F1697">
        <v>7540.56982421875</v>
      </c>
      <c r="G1697">
        <f t="shared" si="53"/>
        <v>-5.8322173576552672E-4</v>
      </c>
    </row>
    <row r="1698" spans="1:7" x14ac:dyDescent="0.25">
      <c r="A1698" s="1">
        <v>43558</v>
      </c>
      <c r="B1698">
        <v>7.5712499618530202</v>
      </c>
      <c r="C1698">
        <f>C1699*(1+G1698*3)</f>
        <v>7.1802561325237821</v>
      </c>
      <c r="D1698">
        <f t="shared" si="52"/>
        <v>7.575217860698169</v>
      </c>
      <c r="F1698">
        <v>7544.97021484375</v>
      </c>
      <c r="G1698">
        <f t="shared" si="53"/>
        <v>6.0443004329049366E-3</v>
      </c>
    </row>
    <row r="1699" spans="1:7" x14ac:dyDescent="0.25">
      <c r="A1699" s="1">
        <v>43557</v>
      </c>
      <c r="B1699">
        <v>7.44250011444091</v>
      </c>
      <c r="C1699">
        <f>C1700*(1+G1699*3)</f>
        <v>7.0523760929096353</v>
      </c>
      <c r="D1699">
        <f t="shared" si="52"/>
        <v>7.4413247061343144</v>
      </c>
      <c r="F1699">
        <v>7499.64013671875</v>
      </c>
      <c r="G1699">
        <f t="shared" si="53"/>
        <v>2.8375265183597786E-3</v>
      </c>
    </row>
    <row r="1700" spans="1:7" x14ac:dyDescent="0.25">
      <c r="A1700" s="1">
        <v>43556</v>
      </c>
      <c r="B1700">
        <v>7.3612499237060502</v>
      </c>
      <c r="C1700">
        <f>C1701*(1+G1700*3)</f>
        <v>6.992848910244529</v>
      </c>
      <c r="D1700">
        <f t="shared" si="52"/>
        <v>7.379536831057921</v>
      </c>
      <c r="F1700">
        <v>7478.419921875</v>
      </c>
      <c r="G1700">
        <f t="shared" si="53"/>
        <v>1.3504947583402371E-2</v>
      </c>
    </row>
    <row r="1701" spans="1:7" x14ac:dyDescent="0.25">
      <c r="A1701" s="1">
        <v>43553</v>
      </c>
      <c r="B1701">
        <v>7.0824999809265101</v>
      </c>
      <c r="C1701">
        <f>C1702*(1+G1701*3)</f>
        <v>6.7205662263899857</v>
      </c>
      <c r="D1701">
        <f t="shared" si="52"/>
        <v>7.0931499821594111</v>
      </c>
      <c r="F1701">
        <v>7378.77001953125</v>
      </c>
      <c r="G1701">
        <f t="shared" si="53"/>
        <v>7.963942612495778E-3</v>
      </c>
    </row>
    <row r="1702" spans="1:7" x14ac:dyDescent="0.25">
      <c r="A1702" s="1">
        <v>43552</v>
      </c>
      <c r="B1702">
        <v>6.9262499809265101</v>
      </c>
      <c r="C1702">
        <f>C1703*(1+G1702*3)</f>
        <v>6.5637463291255775</v>
      </c>
      <c r="D1702">
        <f t="shared" ref="D1702:D1759" si="54">D1703*(1+3*G1702-0.000139713277571264)</f>
        <v>6.9285815201549736</v>
      </c>
      <c r="F1702">
        <v>7320.47021484375</v>
      </c>
      <c r="G1702">
        <f t="shared" si="53"/>
        <v>1.6803440435946282E-3</v>
      </c>
    </row>
    <row r="1703" spans="1:7" x14ac:dyDescent="0.25">
      <c r="A1703" s="1">
        <v>43551</v>
      </c>
      <c r="B1703">
        <v>6.8825001716613698</v>
      </c>
      <c r="C1703">
        <f>C1704*(1+G1703*3)</f>
        <v>6.5308242343198692</v>
      </c>
      <c r="D1703">
        <f t="shared" si="54"/>
        <v>6.8947879659087619</v>
      </c>
      <c r="F1703">
        <v>7308.18994140625</v>
      </c>
      <c r="G1703">
        <f t="shared" si="53"/>
        <v>-5.8439783582433513E-3</v>
      </c>
    </row>
    <row r="1704" spans="1:7" x14ac:dyDescent="0.25">
      <c r="A1704" s="1">
        <v>43550</v>
      </c>
      <c r="B1704">
        <v>7.0199999809265101</v>
      </c>
      <c r="C1704">
        <f>C1705*(1+G1704*3)</f>
        <v>6.6473654131614213</v>
      </c>
      <c r="D1704">
        <f t="shared" si="54"/>
        <v>7.018822122301426</v>
      </c>
      <c r="F1704">
        <v>7351.14990234375</v>
      </c>
      <c r="G1704">
        <f t="shared" si="53"/>
        <v>4.6726976215227811E-3</v>
      </c>
    </row>
    <row r="1705" spans="1:7" x14ac:dyDescent="0.25">
      <c r="A1705" s="1">
        <v>43549</v>
      </c>
      <c r="B1705">
        <v>6.9250001907348597</v>
      </c>
      <c r="C1705">
        <f>C1706*(1+G1705*3)</f>
        <v>6.5554702228071973</v>
      </c>
      <c r="D1705">
        <f t="shared" si="54"/>
        <v>6.9227456306549717</v>
      </c>
      <c r="F1705">
        <v>7316.9599609375</v>
      </c>
      <c r="G1705">
        <f t="shared" si="53"/>
        <v>-1.2421543890532849E-3</v>
      </c>
    </row>
    <row r="1706" spans="1:7" x14ac:dyDescent="0.25">
      <c r="A1706" s="1">
        <v>43546</v>
      </c>
      <c r="B1706">
        <v>6.96875</v>
      </c>
      <c r="C1706">
        <f>C1707*(1+G1706*3)</f>
        <v>6.579990314353906</v>
      </c>
      <c r="D1706">
        <f t="shared" si="54"/>
        <v>6.9496140648524758</v>
      </c>
      <c r="F1706">
        <v>7326.06005859375</v>
      </c>
      <c r="G1706">
        <f t="shared" si="53"/>
        <v>-2.2314685110995103E-2</v>
      </c>
    </row>
    <row r="1707" spans="1:7" x14ac:dyDescent="0.25">
      <c r="A1707" s="1">
        <v>43545</v>
      </c>
      <c r="B1707">
        <v>7.4562501907348597</v>
      </c>
      <c r="C1707">
        <f>C1708*(1+G1707*3)</f>
        <v>7.0520855174468098</v>
      </c>
      <c r="D1707">
        <f t="shared" si="54"/>
        <v>7.449344143688049</v>
      </c>
      <c r="F1707">
        <v>7493.27001953125</v>
      </c>
      <c r="G1707">
        <f t="shared" si="53"/>
        <v>1.5245065817328873E-2</v>
      </c>
    </row>
    <row r="1708" spans="1:7" x14ac:dyDescent="0.25">
      <c r="A1708" s="1">
        <v>43544</v>
      </c>
      <c r="B1708">
        <v>7.1262497901916504</v>
      </c>
      <c r="C1708">
        <f>C1709*(1+G1708*3)</f>
        <v>6.7436627691501183</v>
      </c>
      <c r="D1708">
        <f t="shared" si="54"/>
        <v>7.1244991552062089</v>
      </c>
      <c r="F1708">
        <v>7380.75</v>
      </c>
      <c r="G1708">
        <f t="shared" si="53"/>
        <v>4.2820814778765648E-3</v>
      </c>
    </row>
    <row r="1709" spans="1:7" x14ac:dyDescent="0.25">
      <c r="A1709" s="1">
        <v>43543</v>
      </c>
      <c r="B1709">
        <v>7.0475001335143999</v>
      </c>
      <c r="C1709">
        <f>C1710*(1+G1709*3)</f>
        <v>6.6581307935056673</v>
      </c>
      <c r="D1709">
        <f t="shared" si="54"/>
        <v>7.035107344546514</v>
      </c>
      <c r="F1709">
        <v>7349.27978515625</v>
      </c>
      <c r="G1709">
        <f t="shared" si="53"/>
        <v>3.139383244221694E-3</v>
      </c>
    </row>
    <row r="1710" spans="1:7" x14ac:dyDescent="0.25">
      <c r="A1710" s="1">
        <v>43542</v>
      </c>
      <c r="B1710">
        <v>6.9774999618530202</v>
      </c>
      <c r="C1710">
        <f>C1711*(1+G1710*3)</f>
        <v>6.596008596902097</v>
      </c>
      <c r="D1710">
        <f t="shared" si="54"/>
        <v>6.9704326283399496</v>
      </c>
      <c r="F1710">
        <v>7326.27978515625</v>
      </c>
      <c r="G1710">
        <f t="shared" si="53"/>
        <v>2.639876359832094E-3</v>
      </c>
    </row>
    <row r="1711" spans="1:7" x14ac:dyDescent="0.25">
      <c r="A1711" s="1">
        <v>43539</v>
      </c>
      <c r="B1711">
        <v>6.9149999618530202</v>
      </c>
      <c r="C1711">
        <f>C1712*(1+G1711*3)</f>
        <v>6.5441811098827793</v>
      </c>
      <c r="D1711">
        <f t="shared" si="54"/>
        <v>6.9166218923834553</v>
      </c>
      <c r="F1711">
        <v>7306.990234375</v>
      </c>
      <c r="G1711">
        <f t="shared" si="53"/>
        <v>8.8334091517656699E-3</v>
      </c>
    </row>
    <row r="1712" spans="1:7" x14ac:dyDescent="0.25">
      <c r="A1712" s="1">
        <v>43538</v>
      </c>
      <c r="B1712">
        <v>6.7474999427795401</v>
      </c>
      <c r="C1712">
        <f>C1713*(1+G1712*3)</f>
        <v>6.3752359082334165</v>
      </c>
      <c r="D1712">
        <f t="shared" si="54"/>
        <v>6.7389789424281821</v>
      </c>
      <c r="F1712">
        <v>7243.009765625</v>
      </c>
      <c r="G1712">
        <f t="shared" si="53"/>
        <v>-1.9250728100875802E-3</v>
      </c>
    </row>
    <row r="1713" spans="1:7" x14ac:dyDescent="0.25">
      <c r="A1713" s="1">
        <v>43537</v>
      </c>
      <c r="B1713">
        <v>6.7775001525878897</v>
      </c>
      <c r="C1713">
        <f>C1714*(1+G1713*3)</f>
        <v>6.4122681574762606</v>
      </c>
      <c r="D1713">
        <f t="shared" si="54"/>
        <v>6.7790767182588505</v>
      </c>
      <c r="F1713">
        <v>7256.97998046875</v>
      </c>
      <c r="G1713">
        <f t="shared" si="53"/>
        <v>7.7347633995992204E-3</v>
      </c>
    </row>
    <row r="1714" spans="1:7" x14ac:dyDescent="0.25">
      <c r="A1714" s="1">
        <v>43536</v>
      </c>
      <c r="B1714">
        <v>6.6337499618530202</v>
      </c>
      <c r="C1714">
        <f>C1715*(1+G1714*3)</f>
        <v>6.2668503434738581</v>
      </c>
      <c r="D1714">
        <f t="shared" si="54"/>
        <v>6.6262451766823558</v>
      </c>
      <c r="F1714">
        <v>7201.27978515625</v>
      </c>
      <c r="G1714">
        <f t="shared" si="53"/>
        <v>5.2009577755811609E-3</v>
      </c>
    </row>
    <row r="1715" spans="1:7" x14ac:dyDescent="0.25">
      <c r="A1715" s="1">
        <v>43535</v>
      </c>
      <c r="B1715">
        <v>6.5275001525878897</v>
      </c>
      <c r="C1715">
        <f>C1716*(1+G1715*3)</f>
        <v>6.1705716949637495</v>
      </c>
      <c r="D1715">
        <f t="shared" si="54"/>
        <v>6.5253427572512734</v>
      </c>
      <c r="F1715">
        <v>7164.02001953125</v>
      </c>
      <c r="G1715">
        <f t="shared" si="53"/>
        <v>2.1142621661422556E-2</v>
      </c>
    </row>
    <row r="1716" spans="1:7" x14ac:dyDescent="0.25">
      <c r="A1716" s="1">
        <v>43532</v>
      </c>
      <c r="B1716">
        <v>6.1437501907348597</v>
      </c>
      <c r="C1716">
        <f>C1717*(1+G1716*3)</f>
        <v>5.8025296290830566</v>
      </c>
      <c r="D1716">
        <f t="shared" si="54"/>
        <v>6.1369467408974403</v>
      </c>
      <c r="F1716">
        <v>7015.68994140625</v>
      </c>
      <c r="G1716">
        <f t="shared" si="53"/>
        <v>-1.5924480840522337E-3</v>
      </c>
    </row>
    <row r="1717" spans="1:7" x14ac:dyDescent="0.25">
      <c r="A1717" s="1">
        <v>43531</v>
      </c>
      <c r="B1717">
        <v>6.17875003814697</v>
      </c>
      <c r="C1717">
        <f>C1718*(1+G1717*3)</f>
        <v>5.8303833775999037</v>
      </c>
      <c r="D1717">
        <f t="shared" si="54"/>
        <v>6.1672715700086282</v>
      </c>
      <c r="F1717">
        <v>7026.8798828125</v>
      </c>
      <c r="G1717">
        <f t="shared" si="53"/>
        <v>-1.2033840486617819E-2</v>
      </c>
    </row>
    <row r="1718" spans="1:7" x14ac:dyDescent="0.25">
      <c r="A1718" s="1">
        <v>43530</v>
      </c>
      <c r="B1718">
        <v>6.4124999046325604</v>
      </c>
      <c r="C1718">
        <f>C1719*(1+G1718*3)</f>
        <v>6.0487525474987738</v>
      </c>
      <c r="D1718">
        <f t="shared" si="54"/>
        <v>6.3991859709087677</v>
      </c>
      <c r="F1718">
        <v>7112.47021484375</v>
      </c>
      <c r="G1718">
        <f t="shared" si="53"/>
        <v>-6.1926958841670432E-3</v>
      </c>
    </row>
    <row r="1719" spans="1:7" x14ac:dyDescent="0.25">
      <c r="A1719" s="1">
        <v>43529</v>
      </c>
      <c r="B1719">
        <v>6.5250000953674299</v>
      </c>
      <c r="C1719">
        <f>C1720*(1+G1719*3)</f>
        <v>6.163254020924132</v>
      </c>
      <c r="D1719">
        <f t="shared" si="54"/>
        <v>6.5212494193556161</v>
      </c>
      <c r="F1719">
        <v>7156.7900390625</v>
      </c>
      <c r="G1719">
        <f t="shared" si="53"/>
        <v>8.33464209383461E-4</v>
      </c>
    </row>
    <row r="1720" spans="1:7" x14ac:dyDescent="0.25">
      <c r="A1720" s="1">
        <v>43528</v>
      </c>
      <c r="B1720">
        <v>6.5087499618530202</v>
      </c>
      <c r="C1720">
        <f>C1721*(1+G1720*3)</f>
        <v>6.1478819023367901</v>
      </c>
      <c r="D1720">
        <f t="shared" si="54"/>
        <v>6.5058910965867875</v>
      </c>
      <c r="F1720">
        <v>7150.830078125</v>
      </c>
      <c r="G1720">
        <f t="shared" si="53"/>
        <v>-1.0343828165459978E-4</v>
      </c>
    </row>
    <row r="1721" spans="1:7" x14ac:dyDescent="0.25">
      <c r="A1721" s="1">
        <v>43525</v>
      </c>
      <c r="B1721">
        <v>6.5075001716613698</v>
      </c>
      <c r="C1721">
        <f>C1722*(1+G1721*3)</f>
        <v>6.1497902735520871</v>
      </c>
      <c r="D1721">
        <f t="shared" si="54"/>
        <v>6.5088202487432474</v>
      </c>
      <c r="F1721">
        <v>7151.56982421875</v>
      </c>
      <c r="G1721">
        <f t="shared" si="53"/>
        <v>7.6139221247819577E-3</v>
      </c>
    </row>
    <row r="1722" spans="1:7" x14ac:dyDescent="0.25">
      <c r="A1722" s="1">
        <v>43524</v>
      </c>
      <c r="B1722">
        <v>6.38000011444091</v>
      </c>
      <c r="C1722">
        <f>C1723*(1+G1722*3)</f>
        <v>6.0124551770614234</v>
      </c>
      <c r="D1722">
        <f t="shared" si="54"/>
        <v>6.3643367381871698</v>
      </c>
      <c r="F1722">
        <v>7097.52978515625</v>
      </c>
      <c r="G1722">
        <f t="shared" si="53"/>
        <v>-2.7357334331530314E-3</v>
      </c>
    </row>
    <row r="1723" spans="1:7" x14ac:dyDescent="0.25">
      <c r="A1723" s="1">
        <v>43523</v>
      </c>
      <c r="B1723">
        <v>6.42000007629394</v>
      </c>
      <c r="C1723">
        <f>C1724*(1+G1723*3)</f>
        <v>6.0622089400899126</v>
      </c>
      <c r="D1723">
        <f t="shared" si="54"/>
        <v>6.4179064486595969</v>
      </c>
      <c r="F1723">
        <v>7117</v>
      </c>
      <c r="G1723">
        <f t="shared" si="53"/>
        <v>-8.7323073780420923E-4</v>
      </c>
    </row>
    <row r="1724" spans="1:7" x14ac:dyDescent="0.25">
      <c r="A1724" s="1">
        <v>43522</v>
      </c>
      <c r="B1724">
        <v>6.4400000572204501</v>
      </c>
      <c r="C1724">
        <f>C1725*(1+G1724*3)</f>
        <v>6.0781317745718546</v>
      </c>
      <c r="D1724">
        <f t="shared" si="54"/>
        <v>6.4356650581592145</v>
      </c>
      <c r="F1724">
        <v>7123.22021484375</v>
      </c>
      <c r="G1724">
        <f t="shared" si="53"/>
        <v>1.0948092905211926E-3</v>
      </c>
    </row>
    <row r="1725" spans="1:7" x14ac:dyDescent="0.25">
      <c r="A1725" s="1">
        <v>43521</v>
      </c>
      <c r="B1725">
        <v>6.42000007629394</v>
      </c>
      <c r="C1725">
        <f>C1726*(1+G1725*3)</f>
        <v>6.0582339421597728</v>
      </c>
      <c r="D1725">
        <f t="shared" si="54"/>
        <v>6.4154901725858702</v>
      </c>
      <c r="F1725">
        <v>7115.43017578125</v>
      </c>
      <c r="G1725">
        <f t="shared" si="53"/>
        <v>3.4976149338812323E-3</v>
      </c>
    </row>
    <row r="1726" spans="1:7" x14ac:dyDescent="0.25">
      <c r="A1726" s="1">
        <v>43518</v>
      </c>
      <c r="B1726">
        <v>6.3499999046325604</v>
      </c>
      <c r="C1726">
        <f>C1727*(1+G1726*3)</f>
        <v>5.995325917769347</v>
      </c>
      <c r="D1726">
        <f t="shared" si="54"/>
        <v>6.3497503718411714</v>
      </c>
      <c r="F1726">
        <v>7090.6298828125</v>
      </c>
      <c r="G1726">
        <f t="shared" si="53"/>
        <v>7.8846430401759982E-3</v>
      </c>
    </row>
    <row r="1727" spans="1:7" x14ac:dyDescent="0.25">
      <c r="A1727" s="1">
        <v>43517</v>
      </c>
      <c r="B1727">
        <v>6.2150001525878897</v>
      </c>
      <c r="C1727">
        <f>C1728*(1+G1727*3)</f>
        <v>5.8567898263431957</v>
      </c>
      <c r="D1727">
        <f t="shared" si="54"/>
        <v>6.2038712052588121</v>
      </c>
      <c r="F1727">
        <v>7035.16015625</v>
      </c>
      <c r="G1727">
        <f t="shared" si="53"/>
        <v>-3.8485386007094391E-3</v>
      </c>
    </row>
    <row r="1728" spans="1:7" x14ac:dyDescent="0.25">
      <c r="A1728" s="1">
        <v>43516</v>
      </c>
      <c r="B1728">
        <v>6.28625011444091</v>
      </c>
      <c r="C1728">
        <f>C1729*(1+G1728*3)</f>
        <v>5.9251999080321411</v>
      </c>
      <c r="D1728">
        <f t="shared" si="54"/>
        <v>6.2772226172478867</v>
      </c>
      <c r="F1728">
        <v>7062.33984375</v>
      </c>
      <c r="G1728">
        <f t="shared" si="53"/>
        <v>-6.0425290398968823E-4</v>
      </c>
    </row>
    <row r="1729" spans="1:7" x14ac:dyDescent="0.25">
      <c r="A1729" s="1">
        <v>43515</v>
      </c>
      <c r="B1729">
        <v>6.2912502288818297</v>
      </c>
      <c r="C1729">
        <f>C1730*(1+G1729*3)</f>
        <v>5.935960371910225</v>
      </c>
      <c r="D1729">
        <f t="shared" si="54"/>
        <v>6.2895026950881849</v>
      </c>
      <c r="F1729">
        <v>7066.60986328125</v>
      </c>
      <c r="G1729">
        <f t="shared" si="53"/>
        <v>1.6200419004515076E-3</v>
      </c>
    </row>
    <row r="1730" spans="1:7" x14ac:dyDescent="0.25">
      <c r="A1730" s="1">
        <v>43511</v>
      </c>
      <c r="B1730">
        <v>6.2537498474120996</v>
      </c>
      <c r="C1730">
        <f>C1731*(1+G1730*3)</f>
        <v>5.9072503924535251</v>
      </c>
      <c r="D1730">
        <f t="shared" si="54"/>
        <v>6.2599531345396038</v>
      </c>
      <c r="F1730">
        <v>7055.18017578125</v>
      </c>
      <c r="G1730">
        <f t="shared" ref="G1730:G1793" si="55">F1730/F1731-1</f>
        <v>4.6650946925290704E-3</v>
      </c>
    </row>
    <row r="1731" spans="1:7" x14ac:dyDescent="0.25">
      <c r="A1731" s="1">
        <v>43510</v>
      </c>
      <c r="B1731">
        <v>6.1799998283386204</v>
      </c>
      <c r="C1731">
        <f>C1732*(1+G1731*3)</f>
        <v>5.8257178166535972</v>
      </c>
      <c r="D1731">
        <f t="shared" si="54"/>
        <v>6.1744032531181769</v>
      </c>
      <c r="F1731">
        <v>7022.419921875</v>
      </c>
      <c r="G1731">
        <f t="shared" si="55"/>
        <v>9.3217660104505384E-4</v>
      </c>
    </row>
    <row r="1732" spans="1:7" x14ac:dyDescent="0.25">
      <c r="A1732" s="1">
        <v>43509</v>
      </c>
      <c r="B1732">
        <v>6.1574997901916504</v>
      </c>
      <c r="C1732">
        <f>C1733*(1+G1732*3)</f>
        <v>5.8094714565847951</v>
      </c>
      <c r="D1732">
        <f t="shared" si="54"/>
        <v>6.1580424641343408</v>
      </c>
      <c r="F1732">
        <v>7015.8798828125</v>
      </c>
      <c r="G1732">
        <f t="shared" si="55"/>
        <v>1.7249007451192178E-4</v>
      </c>
    </row>
    <row r="1733" spans="1:7" x14ac:dyDescent="0.25">
      <c r="A1733" s="1">
        <v>43508</v>
      </c>
      <c r="B1733">
        <v>6.1449999809265101</v>
      </c>
      <c r="C1733">
        <f>C1734*(1+G1733*3)</f>
        <v>5.8064667829206842</v>
      </c>
      <c r="D1733">
        <f t="shared" si="54"/>
        <v>6.1557170992427102</v>
      </c>
      <c r="F1733">
        <v>7014.669921875</v>
      </c>
      <c r="G1733">
        <f t="shared" si="55"/>
        <v>1.5268055458087959E-2</v>
      </c>
    </row>
    <row r="1734" spans="1:7" x14ac:dyDescent="0.25">
      <c r="A1734" s="1">
        <v>43507</v>
      </c>
      <c r="B1734">
        <v>5.8899998664855904</v>
      </c>
      <c r="C1734">
        <f>C1735*(1+G1734*3)</f>
        <v>5.5521549536863413</v>
      </c>
      <c r="D1734">
        <f t="shared" si="54"/>
        <v>5.8868952473356106</v>
      </c>
      <c r="F1734">
        <v>6909.18017578125</v>
      </c>
      <c r="G1734">
        <f t="shared" si="55"/>
        <v>-5.7133412769660996E-4</v>
      </c>
    </row>
    <row r="1735" spans="1:7" x14ac:dyDescent="0.25">
      <c r="A1735" s="1">
        <v>43504</v>
      </c>
      <c r="B1735">
        <v>5.9037499427795401</v>
      </c>
      <c r="C1735">
        <f>C1736*(1+G1735*3)</f>
        <v>5.5616876996575559</v>
      </c>
      <c r="D1735">
        <f t="shared" si="54"/>
        <v>5.8978281437295292</v>
      </c>
      <c r="F1735">
        <v>6913.1298828125</v>
      </c>
      <c r="G1735">
        <f t="shared" si="55"/>
        <v>1.1802934066140747E-3</v>
      </c>
    </row>
    <row r="1736" spans="1:7" x14ac:dyDescent="0.25">
      <c r="A1736" s="1">
        <v>43503</v>
      </c>
      <c r="B1736">
        <v>5.8737502098083496</v>
      </c>
      <c r="C1736">
        <f>C1737*(1+G1736*3)</f>
        <v>5.5420639151632534</v>
      </c>
      <c r="D1736">
        <f t="shared" si="54"/>
        <v>5.8778366400572981</v>
      </c>
      <c r="F1736">
        <v>6904.97998046875</v>
      </c>
      <c r="G1736">
        <f t="shared" si="55"/>
        <v>-1.3238806218017984E-2</v>
      </c>
    </row>
    <row r="1737" spans="1:7" x14ac:dyDescent="0.25">
      <c r="A1737" s="1">
        <v>43502</v>
      </c>
      <c r="B1737">
        <v>6.1237502098083496</v>
      </c>
      <c r="C1737">
        <f>C1738*(1+G1737*3)</f>
        <v>5.7712784252704017</v>
      </c>
      <c r="D1737">
        <f t="shared" si="54"/>
        <v>6.1218290670151099</v>
      </c>
      <c r="F1737">
        <v>6997.6201171875</v>
      </c>
      <c r="G1737">
        <f t="shared" si="55"/>
        <v>-3.6875957172082252E-3</v>
      </c>
    </row>
    <row r="1738" spans="1:7" x14ac:dyDescent="0.25">
      <c r="A1738" s="1">
        <v>43501</v>
      </c>
      <c r="B1738">
        <v>6.1725001335143999</v>
      </c>
      <c r="C1738">
        <f>C1739*(1+G1738*3)</f>
        <v>5.8358390707613701</v>
      </c>
      <c r="D1738">
        <f t="shared" si="54"/>
        <v>6.191185828920827</v>
      </c>
      <c r="F1738">
        <v>7023.52001953125</v>
      </c>
      <c r="G1738">
        <f t="shared" si="55"/>
        <v>9.1322448621080632E-3</v>
      </c>
    </row>
    <row r="1739" spans="1:7" x14ac:dyDescent="0.25">
      <c r="A1739" s="1">
        <v>43500</v>
      </c>
      <c r="B1739">
        <v>6.01375007629394</v>
      </c>
      <c r="C1739">
        <f>C1740*(1+G1739*3)</f>
        <v>5.6802196019351179</v>
      </c>
      <c r="D1739">
        <f t="shared" si="54"/>
        <v>6.0269102089300794</v>
      </c>
      <c r="F1739">
        <v>6959.9599609375</v>
      </c>
      <c r="G1739">
        <f t="shared" si="55"/>
        <v>1.2281244351900922E-2</v>
      </c>
    </row>
    <row r="1740" spans="1:7" x14ac:dyDescent="0.25">
      <c r="A1740" s="1">
        <v>43497</v>
      </c>
      <c r="B1740">
        <v>5.8012499809265101</v>
      </c>
      <c r="C1740">
        <f>C1741*(1+G1740*3)</f>
        <v>5.4783757868650369</v>
      </c>
      <c r="D1740">
        <f t="shared" si="54"/>
        <v>5.8135302786034524</v>
      </c>
      <c r="F1740">
        <v>6875.52001953125</v>
      </c>
      <c r="G1740">
        <f t="shared" si="55"/>
        <v>-4.534609883431906E-3</v>
      </c>
    </row>
    <row r="1741" spans="1:7" x14ac:dyDescent="0.25">
      <c r="A1741" s="1">
        <v>43496</v>
      </c>
      <c r="B1741">
        <v>5.8762497901916504</v>
      </c>
      <c r="C1741">
        <f>C1742*(1+G1741*3)</f>
        <v>5.5539305114321396</v>
      </c>
      <c r="D1741">
        <f t="shared" si="54"/>
        <v>5.8945421719842397</v>
      </c>
      <c r="F1741">
        <v>6906.83984375</v>
      </c>
      <c r="G1741">
        <f t="shared" si="55"/>
        <v>1.4531579475850931E-2</v>
      </c>
    </row>
    <row r="1742" spans="1:7" x14ac:dyDescent="0.25">
      <c r="A1742" s="1">
        <v>43495</v>
      </c>
      <c r="B1742">
        <v>5.6287498474120996</v>
      </c>
      <c r="C1742">
        <f>C1743*(1+G1742*3)</f>
        <v>5.3219226840876779</v>
      </c>
      <c r="D1742">
        <f t="shared" si="54"/>
        <v>5.649062039005452</v>
      </c>
      <c r="F1742">
        <v>6807.91015625</v>
      </c>
      <c r="G1742">
        <f t="shared" si="55"/>
        <v>2.6402180101610995E-2</v>
      </c>
    </row>
    <row r="1743" spans="1:7" x14ac:dyDescent="0.25">
      <c r="A1743" s="1">
        <v>43494</v>
      </c>
      <c r="B1743">
        <v>5.2362499237060502</v>
      </c>
      <c r="C1743">
        <f>C1744*(1+G1743*3)</f>
        <v>4.9313291620568256</v>
      </c>
      <c r="D1743">
        <f t="shared" si="54"/>
        <v>5.2351364137178997</v>
      </c>
      <c r="F1743">
        <v>6632.7900390625</v>
      </c>
      <c r="G1743">
        <f t="shared" si="55"/>
        <v>-9.6011560525064432E-3</v>
      </c>
    </row>
    <row r="1744" spans="1:7" x14ac:dyDescent="0.25">
      <c r="A1744" s="1">
        <v>43493</v>
      </c>
      <c r="B1744">
        <v>5.38875007629394</v>
      </c>
      <c r="C1744">
        <f>C1745*(1+G1744*3)</f>
        <v>5.0775811078129376</v>
      </c>
      <c r="D1744">
        <f t="shared" si="54"/>
        <v>5.3911741451491197</v>
      </c>
      <c r="F1744">
        <v>6697.08984375</v>
      </c>
      <c r="G1744">
        <f t="shared" si="55"/>
        <v>-1.330121562236386E-2</v>
      </c>
    </row>
    <row r="1745" spans="1:7" x14ac:dyDescent="0.25">
      <c r="A1745" s="1">
        <v>43490</v>
      </c>
      <c r="B1745">
        <v>5.5949997901916504</v>
      </c>
      <c r="C1745">
        <f>C1746*(1+G1745*3)</f>
        <v>5.2886161802866845</v>
      </c>
      <c r="D1745">
        <f t="shared" si="54"/>
        <v>5.6160600607560305</v>
      </c>
      <c r="F1745">
        <v>6787.3701171875</v>
      </c>
      <c r="G1745">
        <f t="shared" si="55"/>
        <v>1.2654932073862479E-2</v>
      </c>
    </row>
    <row r="1746" spans="1:7" x14ac:dyDescent="0.25">
      <c r="A1746" s="1">
        <v>43489</v>
      </c>
      <c r="B1746">
        <v>5.4025001525878897</v>
      </c>
      <c r="C1746">
        <f>C1747*(1+G1746*3)</f>
        <v>5.0951787570622544</v>
      </c>
      <c r="D1746">
        <f t="shared" si="54"/>
        <v>5.4113743761375064</v>
      </c>
      <c r="F1746">
        <v>6702.5498046875</v>
      </c>
      <c r="G1746">
        <f t="shared" si="55"/>
        <v>6.5763055890017963E-3</v>
      </c>
    </row>
    <row r="1747" spans="1:7" x14ac:dyDescent="0.25">
      <c r="A1747" s="1">
        <v>43488</v>
      </c>
      <c r="B1747">
        <v>5.3087501525878897</v>
      </c>
      <c r="C1747">
        <f>C1748*(1+G1747*3)</f>
        <v>4.9966012273303368</v>
      </c>
      <c r="D1747">
        <f t="shared" si="54"/>
        <v>5.3074065100117398</v>
      </c>
      <c r="F1747">
        <v>6658.759765625</v>
      </c>
      <c r="G1747">
        <f t="shared" si="55"/>
        <v>1.797810818409129E-3</v>
      </c>
    </row>
    <row r="1748" spans="1:7" x14ac:dyDescent="0.25">
      <c r="A1748" s="1">
        <v>43487</v>
      </c>
      <c r="B1748">
        <v>5.30375003814697</v>
      </c>
      <c r="C1748">
        <f>C1749*(1+G1748*3)</f>
        <v>4.9697969630936969</v>
      </c>
      <c r="D1748">
        <f t="shared" si="54"/>
        <v>5.2796686137639393</v>
      </c>
      <c r="F1748">
        <v>6646.81005859375</v>
      </c>
      <c r="G1748">
        <f t="shared" si="55"/>
        <v>-2.0310645337660693E-2</v>
      </c>
    </row>
    <row r="1749" spans="1:7" x14ac:dyDescent="0.25">
      <c r="A1749" s="1">
        <v>43483</v>
      </c>
      <c r="B1749">
        <v>5.6137499809265101</v>
      </c>
      <c r="C1749">
        <f>C1750*(1+G1749*3)</f>
        <v>5.2922649099505543</v>
      </c>
      <c r="D1749">
        <f t="shared" si="54"/>
        <v>5.623079343354223</v>
      </c>
      <c r="F1749">
        <v>6784.60986328125</v>
      </c>
      <c r="G1749">
        <f t="shared" si="55"/>
        <v>9.8474597631028615E-3</v>
      </c>
    </row>
    <row r="1750" spans="1:7" x14ac:dyDescent="0.25">
      <c r="A1750" s="1">
        <v>43482</v>
      </c>
      <c r="B1750">
        <v>5.4637498855590803</v>
      </c>
      <c r="C1750">
        <f>C1751*(1+G1750*3)</f>
        <v>5.1404051124187777</v>
      </c>
      <c r="D1750">
        <f t="shared" si="54"/>
        <v>5.462468214833736</v>
      </c>
      <c r="F1750">
        <v>6718.4501953125</v>
      </c>
      <c r="G1750">
        <f t="shared" si="55"/>
        <v>7.4813957256718577E-3</v>
      </c>
    </row>
    <row r="1751" spans="1:7" x14ac:dyDescent="0.25">
      <c r="A1751" s="1">
        <v>43481</v>
      </c>
      <c r="B1751">
        <v>5.3387498855590803</v>
      </c>
      <c r="C1751">
        <f>C1752*(1+G1751*3)</f>
        <v>5.027565491483224</v>
      </c>
      <c r="D1751">
        <f t="shared" si="54"/>
        <v>5.3432889655641223</v>
      </c>
      <c r="F1751">
        <v>6668.56005859375</v>
      </c>
      <c r="G1751">
        <f t="shared" si="55"/>
        <v>-1.6193949041620748E-4</v>
      </c>
    </row>
    <row r="1752" spans="1:7" x14ac:dyDescent="0.25">
      <c r="A1752" s="1">
        <v>43480</v>
      </c>
      <c r="B1752">
        <v>5.3312501907348597</v>
      </c>
      <c r="C1752">
        <f>C1753*(1+G1752*3)</f>
        <v>5.0300091628450838</v>
      </c>
      <c r="D1752">
        <f t="shared" si="54"/>
        <v>5.3466334545392389</v>
      </c>
      <c r="F1752">
        <v>6669.64013671875</v>
      </c>
      <c r="G1752">
        <f t="shared" si="55"/>
        <v>1.9660496937530025E-2</v>
      </c>
    </row>
    <row r="1753" spans="1:7" x14ac:dyDescent="0.25">
      <c r="A1753" s="1">
        <v>43479</v>
      </c>
      <c r="B1753">
        <v>5.0512499809265101</v>
      </c>
      <c r="C1753">
        <f>C1754*(1+G1753*3)</f>
        <v>4.7498555985009689</v>
      </c>
      <c r="D1753">
        <f t="shared" si="54"/>
        <v>5.0495112376338129</v>
      </c>
      <c r="F1753">
        <v>6541.0400390625</v>
      </c>
      <c r="G1753">
        <f t="shared" si="55"/>
        <v>-9.1434944366602933E-3</v>
      </c>
    </row>
    <row r="1754" spans="1:7" x14ac:dyDescent="0.25">
      <c r="A1754" s="1">
        <v>43476</v>
      </c>
      <c r="B1754">
        <v>5.1862502098083496</v>
      </c>
      <c r="C1754">
        <f>C1755*(1+G1754*3)</f>
        <v>4.8838211736949395</v>
      </c>
      <c r="D1754">
        <f t="shared" si="54"/>
        <v>5.1926742885852351</v>
      </c>
      <c r="F1754">
        <v>6601.39990234375</v>
      </c>
      <c r="G1754">
        <f t="shared" si="55"/>
        <v>-2.951248498766712E-3</v>
      </c>
    </row>
    <row r="1755" spans="1:7" x14ac:dyDescent="0.25">
      <c r="A1755" s="1">
        <v>43475</v>
      </c>
      <c r="B1755">
        <v>5.2487502098083496</v>
      </c>
      <c r="C1755">
        <f>C1756*(1+G1755*3)</f>
        <v>4.9274475401619036</v>
      </c>
      <c r="D1755">
        <f t="shared" si="54"/>
        <v>5.2397981976592893</v>
      </c>
      <c r="F1755">
        <v>6620.93994140625</v>
      </c>
      <c r="G1755">
        <f t="shared" si="55"/>
        <v>3.0678611144832058E-3</v>
      </c>
    </row>
    <row r="1756" spans="1:7" x14ac:dyDescent="0.25">
      <c r="A1756" s="1">
        <v>43474</v>
      </c>
      <c r="B1756">
        <v>5.1987500190734801</v>
      </c>
      <c r="C1756">
        <f>C1757*(1+G1756*3)</f>
        <v>4.8825109437656513</v>
      </c>
      <c r="D1756">
        <f t="shared" si="54"/>
        <v>5.1927319499777562</v>
      </c>
      <c r="F1756">
        <v>6600.68994140625</v>
      </c>
      <c r="G1756">
        <f t="shared" si="55"/>
        <v>7.4543591538320797E-3</v>
      </c>
    </row>
    <row r="1757" spans="1:7" x14ac:dyDescent="0.25">
      <c r="A1757" s="1">
        <v>43473</v>
      </c>
      <c r="B1757">
        <v>5.0787501335143999</v>
      </c>
      <c r="C1757">
        <f>C1758*(1+G1757*3)</f>
        <v>4.7757113411106475</v>
      </c>
      <c r="D1757">
        <f t="shared" si="54"/>
        <v>5.0798407979290197</v>
      </c>
      <c r="F1757">
        <v>6551.85009765625</v>
      </c>
      <c r="G1757">
        <f t="shared" si="55"/>
        <v>9.8023500414210485E-3</v>
      </c>
    </row>
    <row r="1758" spans="1:7" x14ac:dyDescent="0.25">
      <c r="A1758" s="1">
        <v>43472</v>
      </c>
      <c r="B1758">
        <v>4.9362502098083496</v>
      </c>
      <c r="C1758">
        <f>C1759*(1+G1758*3)</f>
        <v>4.6392836930096362</v>
      </c>
      <c r="D1758">
        <f t="shared" si="54"/>
        <v>4.9353949319832111</v>
      </c>
      <c r="F1758">
        <v>6488.25</v>
      </c>
      <c r="G1758">
        <f t="shared" si="55"/>
        <v>1.0210719050287809E-2</v>
      </c>
    </row>
    <row r="1759" spans="1:7" x14ac:dyDescent="0.25">
      <c r="A1759" s="1">
        <v>43469</v>
      </c>
      <c r="B1759">
        <v>4.7837500572204501</v>
      </c>
      <c r="C1759">
        <f>C1760*(1+G1759*3)</f>
        <v>4.5013962167013384</v>
      </c>
      <c r="D1759">
        <f t="shared" si="54"/>
        <v>4.7893557699779317</v>
      </c>
      <c r="F1759">
        <v>6422.669921875</v>
      </c>
      <c r="G1759">
        <f t="shared" si="55"/>
        <v>4.4824177187619885E-2</v>
      </c>
    </row>
    <row r="1760" spans="1:7" x14ac:dyDescent="0.25">
      <c r="A1760" s="1">
        <v>43468</v>
      </c>
      <c r="B1760">
        <v>4.24125003814697</v>
      </c>
      <c r="C1760">
        <f>C1761*(1+G1760*3)</f>
        <v>3.9678318262145793</v>
      </c>
      <c r="D1760">
        <f>D1761*(1+3*G1760-0.000139713277571264)</f>
        <v>4.2221786170462305</v>
      </c>
      <c r="F1760">
        <v>6147.1298828125</v>
      </c>
      <c r="G1760">
        <f t="shared" si="55"/>
        <v>-3.3602357922300485E-2</v>
      </c>
    </row>
    <row r="1761" spans="1:7" x14ac:dyDescent="0.25">
      <c r="A1761" s="1">
        <v>43467</v>
      </c>
      <c r="B1761">
        <v>4.6962499618530202</v>
      </c>
      <c r="C1761">
        <f>C1762*(1+G1761*3)</f>
        <v>4.4126590751070864</v>
      </c>
      <c r="D1761">
        <v>4.6962499618530202</v>
      </c>
      <c r="E1761">
        <v>1.3971327757126401E-4</v>
      </c>
      <c r="F1761">
        <v>6360.8701171875</v>
      </c>
      <c r="G1761">
        <f t="shared" si="55"/>
        <v>4.8815241296538137E-3</v>
      </c>
    </row>
    <row r="1762" spans="1:7" x14ac:dyDescent="0.25">
      <c r="A1762" s="1">
        <v>43465</v>
      </c>
      <c r="B1762">
        <v>4.63000011444091</v>
      </c>
      <c r="C1762">
        <f>C1763*(1+G1762*3)</f>
        <v>4.3489702652403333</v>
      </c>
      <c r="D1762">
        <f t="shared" ref="D1762:D1825" si="56">D1763*(1+3*G1762-0.000127937129161102)</f>
        <v>4.6300001144395191</v>
      </c>
      <c r="F1762">
        <v>6329.97021484375</v>
      </c>
      <c r="G1762">
        <f t="shared" si="55"/>
        <v>7.111897368545117E-3</v>
      </c>
    </row>
    <row r="1763" spans="1:7" x14ac:dyDescent="0.25">
      <c r="A1763" s="1">
        <v>43462</v>
      </c>
      <c r="B1763">
        <v>4.5275001525878897</v>
      </c>
      <c r="C1763">
        <f>C1764*(1+G1763*3)</f>
        <v>4.2581203211201641</v>
      </c>
      <c r="D1763">
        <f t="shared" si="56"/>
        <v>4.5338473898939213</v>
      </c>
      <c r="F1763">
        <v>6285.27001953125</v>
      </c>
      <c r="G1763">
        <f t="shared" si="55"/>
        <v>-4.8181308944450496E-4</v>
      </c>
    </row>
    <row r="1764" spans="1:7" x14ac:dyDescent="0.25">
      <c r="A1764" s="1">
        <v>43461</v>
      </c>
      <c r="B1764">
        <v>4.5462498664855904</v>
      </c>
      <c r="C1764">
        <f>C1765*(1+G1764*3)</f>
        <v>4.2642840847876462</v>
      </c>
      <c r="D1764">
        <f t="shared" si="56"/>
        <v>4.5409920796532584</v>
      </c>
      <c r="F1764">
        <v>6288.2998046875</v>
      </c>
      <c r="G1764">
        <f t="shared" si="55"/>
        <v>4.0764366369245852E-3</v>
      </c>
    </row>
    <row r="1765" spans="1:7" x14ac:dyDescent="0.25">
      <c r="A1765" s="1">
        <v>43460</v>
      </c>
      <c r="B1765">
        <v>4.48250007629394</v>
      </c>
      <c r="C1765">
        <f>C1766*(1+G1765*3)</f>
        <v>4.2127648775192403</v>
      </c>
      <c r="D1765">
        <f t="shared" si="56"/>
        <v>4.4866968880528297</v>
      </c>
      <c r="F1765">
        <v>6262.77001953125</v>
      </c>
      <c r="G1765">
        <f t="shared" si="55"/>
        <v>6.1603382721663325E-2</v>
      </c>
    </row>
    <row r="1766" spans="1:7" x14ac:dyDescent="0.25">
      <c r="A1766" s="1">
        <v>43458</v>
      </c>
      <c r="B1766">
        <v>3.7987499237060498</v>
      </c>
      <c r="C1766">
        <f>C1767*(1+G1766*3)</f>
        <v>3.5556455049307987</v>
      </c>
      <c r="D1766">
        <f t="shared" si="56"/>
        <v>3.7872577525494191</v>
      </c>
      <c r="F1766">
        <v>5899.35009765625</v>
      </c>
      <c r="G1766">
        <f t="shared" si="55"/>
        <v>-2.4346067765964929E-2</v>
      </c>
    </row>
    <row r="1767" spans="1:7" x14ac:dyDescent="0.25">
      <c r="A1767" s="1">
        <v>43455</v>
      </c>
      <c r="B1767">
        <v>4.1024999618530202</v>
      </c>
      <c r="C1767">
        <f>C1768*(1+G1767*3)</f>
        <v>3.8358058741804495</v>
      </c>
      <c r="D1767">
        <f t="shared" si="56"/>
        <v>4.0862315434769165</v>
      </c>
      <c r="F1767">
        <v>6046.56005859375</v>
      </c>
      <c r="G1767">
        <f t="shared" si="55"/>
        <v>-3.1495098604706229E-2</v>
      </c>
    </row>
    <row r="1768" spans="1:7" x14ac:dyDescent="0.25">
      <c r="A1768" s="1">
        <v>43454</v>
      </c>
      <c r="B1768">
        <v>4.5412502288818297</v>
      </c>
      <c r="C1768">
        <f>C1769*(1+G1768*3)</f>
        <v>4.2360503440185404</v>
      </c>
      <c r="D1768">
        <f t="shared" si="56"/>
        <v>4.5132441649889108</v>
      </c>
      <c r="F1768">
        <v>6243.18994140625</v>
      </c>
      <c r="G1768">
        <f t="shared" si="55"/>
        <v>-1.5730843762121971E-2</v>
      </c>
    </row>
    <row r="1769" spans="1:7" x14ac:dyDescent="0.25">
      <c r="A1769" s="1">
        <v>43453</v>
      </c>
      <c r="B1769">
        <v>4.7312498092651296</v>
      </c>
      <c r="C1769">
        <f>C1770*(1+G1769*3)</f>
        <v>4.4458618169078221</v>
      </c>
      <c r="D1769">
        <f t="shared" si="56"/>
        <v>4.7374211530320123</v>
      </c>
      <c r="F1769">
        <v>6342.97021484375</v>
      </c>
      <c r="G1769">
        <f t="shared" si="55"/>
        <v>-2.2883670425501768E-2</v>
      </c>
    </row>
    <row r="1770" spans="1:7" x14ac:dyDescent="0.25">
      <c r="A1770" s="1">
        <v>43452</v>
      </c>
      <c r="B1770">
        <v>5.0999999046325604</v>
      </c>
      <c r="C1770">
        <f>C1771*(1+G1770*3)</f>
        <v>4.7735723888005852</v>
      </c>
      <c r="D1770">
        <f t="shared" si="56"/>
        <v>5.0873217963888644</v>
      </c>
      <c r="F1770">
        <v>6491.52001953125</v>
      </c>
      <c r="G1770">
        <f t="shared" si="55"/>
        <v>6.6884729208469551E-3</v>
      </c>
    </row>
    <row r="1771" spans="1:7" x14ac:dyDescent="0.25">
      <c r="A1771" s="1">
        <v>43451</v>
      </c>
      <c r="B1771">
        <v>5.0162501335143999</v>
      </c>
      <c r="C1771">
        <f>C1772*(1+G1771*3)</f>
        <v>4.6796727945071295</v>
      </c>
      <c r="D1771">
        <f t="shared" si="56"/>
        <v>4.9878761080941638</v>
      </c>
      <c r="F1771">
        <v>6448.39013671875</v>
      </c>
      <c r="G1771">
        <f t="shared" si="55"/>
        <v>-2.2224520707767037E-2</v>
      </c>
    </row>
    <row r="1772" spans="1:7" x14ac:dyDescent="0.25">
      <c r="A1772" s="1">
        <v>43448</v>
      </c>
      <c r="B1772">
        <v>5.3625001907348597</v>
      </c>
      <c r="C1772">
        <f>C1773*(1+G1772*3)</f>
        <v>5.0139721801444974</v>
      </c>
      <c r="D1772">
        <f t="shared" si="56"/>
        <v>5.3449251194666845</v>
      </c>
      <c r="F1772">
        <v>6594.9599609375</v>
      </c>
      <c r="G1772">
        <f t="shared" si="55"/>
        <v>-2.5563093278217708E-2</v>
      </c>
    </row>
    <row r="1773" spans="1:7" x14ac:dyDescent="0.25">
      <c r="A1773" s="1">
        <v>43447</v>
      </c>
      <c r="B1773">
        <v>5.8000001907348597</v>
      </c>
      <c r="C1773">
        <f>C1774*(1+G1773*3)</f>
        <v>5.4304277754368462</v>
      </c>
      <c r="D1773">
        <f t="shared" si="56"/>
        <v>5.7896715771584972</v>
      </c>
      <c r="F1773">
        <v>6767.97021484375</v>
      </c>
      <c r="G1773">
        <f t="shared" si="55"/>
        <v>5.9288551815939172E-4</v>
      </c>
    </row>
    <row r="1774" spans="1:7" x14ac:dyDescent="0.25">
      <c r="A1774" s="1">
        <v>43446</v>
      </c>
      <c r="B1774">
        <v>5.7987499237060502</v>
      </c>
      <c r="C1774">
        <f>C1775*(1+G1774*3)</f>
        <v>5.4207860587829684</v>
      </c>
      <c r="D1774">
        <f t="shared" si="56"/>
        <v>5.7801302039499749</v>
      </c>
      <c r="F1774">
        <v>6763.9599609375</v>
      </c>
      <c r="G1774">
        <f t="shared" si="55"/>
        <v>8.907754566475079E-3</v>
      </c>
    </row>
    <row r="1775" spans="1:7" x14ac:dyDescent="0.25">
      <c r="A1775" s="1">
        <v>43445</v>
      </c>
      <c r="B1775">
        <v>5.65625</v>
      </c>
      <c r="C1775">
        <f>C1776*(1+G1775*3)</f>
        <v>5.279695367231799</v>
      </c>
      <c r="D1775">
        <f t="shared" si="56"/>
        <v>5.6303881912853813</v>
      </c>
      <c r="F1775">
        <v>6704.240234375</v>
      </c>
      <c r="G1775">
        <f t="shared" si="55"/>
        <v>3.217243113746493E-3</v>
      </c>
    </row>
    <row r="1776" spans="1:7" x14ac:dyDescent="0.25">
      <c r="A1776" s="1">
        <v>43444</v>
      </c>
      <c r="B1776">
        <v>5.5962500572204501</v>
      </c>
      <c r="C1776">
        <f>C1777*(1+G1776*3)</f>
        <v>5.2292243095315705</v>
      </c>
      <c r="D1776">
        <f t="shared" si="56"/>
        <v>5.5772714171976272</v>
      </c>
      <c r="F1776">
        <v>6682.740234375</v>
      </c>
      <c r="G1776">
        <f t="shared" si="55"/>
        <v>1.0503177164023381E-2</v>
      </c>
    </row>
    <row r="1777" spans="1:7" x14ac:dyDescent="0.25">
      <c r="A1777" s="1">
        <v>43441</v>
      </c>
      <c r="B1777">
        <v>5.4262499809265101</v>
      </c>
      <c r="C1777">
        <f>C1778*(1+G1777*3)</f>
        <v>5.0694871446970931</v>
      </c>
      <c r="D1777">
        <f t="shared" si="56"/>
        <v>5.4075731501130226</v>
      </c>
      <c r="F1777">
        <v>6613.27978515625</v>
      </c>
      <c r="G1777">
        <f t="shared" si="55"/>
        <v>-3.2983660890199329E-2</v>
      </c>
    </row>
    <row r="1778" spans="1:7" x14ac:dyDescent="0.25">
      <c r="A1778" s="1">
        <v>43440</v>
      </c>
      <c r="B1778">
        <v>6.0149998664855904</v>
      </c>
      <c r="C1778">
        <f>C1779*(1+G1778*3)</f>
        <v>5.626205730430101</v>
      </c>
      <c r="D1778">
        <f t="shared" si="56"/>
        <v>6.0022717516068358</v>
      </c>
      <c r="F1778">
        <v>6838.85009765625</v>
      </c>
      <c r="G1778">
        <f t="shared" si="55"/>
        <v>6.4221910683579519E-3</v>
      </c>
    </row>
    <row r="1779" spans="1:7" x14ac:dyDescent="0.25">
      <c r="A1779" s="1">
        <v>43438</v>
      </c>
      <c r="B1779">
        <v>5.92875003814697</v>
      </c>
      <c r="C1779">
        <f>C1780*(1+G1779*3)</f>
        <v>5.5198570014305011</v>
      </c>
      <c r="D1779">
        <f t="shared" si="56"/>
        <v>5.8895537261917168</v>
      </c>
      <c r="F1779">
        <v>6795.2099609375</v>
      </c>
      <c r="G1779">
        <f t="shared" si="55"/>
        <v>-3.7795951972593667E-2</v>
      </c>
    </row>
    <row r="1780" spans="1:7" x14ac:dyDescent="0.25">
      <c r="A1780" s="1">
        <v>43437</v>
      </c>
      <c r="B1780">
        <v>6.66125011444091</v>
      </c>
      <c r="C1780">
        <f>C1781*(1+G1780*3)</f>
        <v>6.2257854669297457</v>
      </c>
      <c r="D1780">
        <f t="shared" si="56"/>
        <v>6.6437209822775642</v>
      </c>
      <c r="F1780">
        <v>7062.1298828125</v>
      </c>
      <c r="G1780">
        <f t="shared" si="55"/>
        <v>1.6278595224757941E-2</v>
      </c>
    </row>
    <row r="1781" spans="1:7" x14ac:dyDescent="0.25">
      <c r="A1781" s="1">
        <v>43434</v>
      </c>
      <c r="B1781">
        <v>6.3362498283386204</v>
      </c>
      <c r="C1781">
        <f>C1782*(1+G1781*3)</f>
        <v>5.9359010742823983</v>
      </c>
      <c r="D1781">
        <f t="shared" si="56"/>
        <v>6.3351494808535023</v>
      </c>
      <c r="F1781">
        <v>6949.009765625</v>
      </c>
      <c r="G1781">
        <f t="shared" si="55"/>
        <v>8.2133747436796689E-3</v>
      </c>
    </row>
    <row r="1782" spans="1:7" x14ac:dyDescent="0.25">
      <c r="A1782" s="1">
        <v>43433</v>
      </c>
      <c r="B1782">
        <v>6.2062501907348597</v>
      </c>
      <c r="C1782">
        <f>C1783*(1+G1782*3)</f>
        <v>5.7931569669273983</v>
      </c>
      <c r="D1782">
        <f t="shared" si="56"/>
        <v>6.1835764968050428</v>
      </c>
      <c r="F1782">
        <v>6892.39990234375</v>
      </c>
      <c r="G1782">
        <f t="shared" si="55"/>
        <v>-3.027509976339271E-3</v>
      </c>
    </row>
    <row r="1783" spans="1:7" x14ac:dyDescent="0.25">
      <c r="A1783" s="1">
        <v>43432</v>
      </c>
      <c r="B1783">
        <v>6.26375007629394</v>
      </c>
      <c r="C1783">
        <f>C1784*(1+G1783*3)</f>
        <v>5.8462557598388276</v>
      </c>
      <c r="D1783">
        <f t="shared" si="56"/>
        <v>6.2410595703862173</v>
      </c>
      <c r="F1783">
        <v>6913.330078125</v>
      </c>
      <c r="G1783">
        <f t="shared" si="55"/>
        <v>3.1680162754586405E-2</v>
      </c>
    </row>
    <row r="1784" spans="1:7" x14ac:dyDescent="0.25">
      <c r="A1784" s="1">
        <v>43431</v>
      </c>
      <c r="B1784">
        <v>5.7212500572204501</v>
      </c>
      <c r="C1784">
        <f>C1785*(1+G1784*3)</f>
        <v>5.3388489489629327</v>
      </c>
      <c r="D1784">
        <f t="shared" si="56"/>
        <v>5.7000529986791619</v>
      </c>
      <c r="F1784">
        <v>6701.0400390625</v>
      </c>
      <c r="G1784">
        <f t="shared" si="55"/>
        <v>3.3990775916779015E-3</v>
      </c>
    </row>
    <row r="1785" spans="1:7" x14ac:dyDescent="0.25">
      <c r="A1785" s="1">
        <v>43430</v>
      </c>
      <c r="B1785">
        <v>5.6624999046325604</v>
      </c>
      <c r="C1785">
        <f>C1786*(1+G1785*3)</f>
        <v>5.2849570121044573</v>
      </c>
      <c r="D1785">
        <f t="shared" si="56"/>
        <v>5.6432296509264299</v>
      </c>
      <c r="F1785">
        <v>6678.33984375</v>
      </c>
      <c r="G1785">
        <f t="shared" si="55"/>
        <v>2.3131859611447148E-2</v>
      </c>
    </row>
    <row r="1786" spans="1:7" x14ac:dyDescent="0.25">
      <c r="A1786" s="1">
        <v>43427</v>
      </c>
      <c r="B1786">
        <v>5.2987499237060502</v>
      </c>
      <c r="C1786">
        <f>C1787*(1+G1786*3)</f>
        <v>4.9420037979445794</v>
      </c>
      <c r="D1786">
        <f t="shared" si="56"/>
        <v>5.2776586804095844</v>
      </c>
      <c r="F1786">
        <v>6527.35009765625</v>
      </c>
      <c r="G1786">
        <f t="shared" si="55"/>
        <v>-7.3467997806778707E-3</v>
      </c>
    </row>
    <row r="1787" spans="1:7" x14ac:dyDescent="0.25">
      <c r="A1787" s="1">
        <v>43425</v>
      </c>
      <c r="B1787">
        <v>5.4187498092651296</v>
      </c>
      <c r="C1787">
        <f>C1788*(1+G1787*3)</f>
        <v>5.0533823632587929</v>
      </c>
      <c r="D1787">
        <f t="shared" si="56"/>
        <v>5.3973080206500326</v>
      </c>
      <c r="F1787">
        <v>6575.66015625</v>
      </c>
      <c r="G1787">
        <f t="shared" si="55"/>
        <v>7.461390234345E-3</v>
      </c>
    </row>
    <row r="1788" spans="1:7" x14ac:dyDescent="0.25">
      <c r="A1788" s="1">
        <v>43424</v>
      </c>
      <c r="B1788">
        <v>5.3000001907348597</v>
      </c>
      <c r="C1788">
        <f>C1789*(1+G1788*3)</f>
        <v>4.9427431566980067</v>
      </c>
      <c r="D1788">
        <f t="shared" si="56"/>
        <v>5.2797995682361307</v>
      </c>
      <c r="F1788">
        <v>6526.9599609375</v>
      </c>
      <c r="G1788">
        <f t="shared" si="55"/>
        <v>-1.7456173234249972E-2</v>
      </c>
    </row>
    <row r="1789" spans="1:7" x14ac:dyDescent="0.25">
      <c r="A1789" s="1">
        <v>43423</v>
      </c>
      <c r="B1789">
        <v>5.6112499237060502</v>
      </c>
      <c r="C1789">
        <f>C1790*(1+G1789*3)</f>
        <v>5.2158916830702822</v>
      </c>
      <c r="D1789">
        <f t="shared" si="56"/>
        <v>5.5723269916041716</v>
      </c>
      <c r="F1789">
        <v>6642.919921875</v>
      </c>
      <c r="G1789">
        <f t="shared" si="55"/>
        <v>-3.2634257220579221E-2</v>
      </c>
    </row>
    <row r="1790" spans="1:7" x14ac:dyDescent="0.25">
      <c r="A1790" s="1">
        <v>43420</v>
      </c>
      <c r="B1790">
        <v>6.2062501907348597</v>
      </c>
      <c r="C1790">
        <f>C1791*(1+G1790*3)</f>
        <v>5.7819617655608875</v>
      </c>
      <c r="D1790">
        <f t="shared" si="56"/>
        <v>6.1779564403289129</v>
      </c>
      <c r="F1790">
        <v>6867.02001953125</v>
      </c>
      <c r="G1790">
        <f t="shared" si="55"/>
        <v>-3.4003838816205612E-3</v>
      </c>
    </row>
    <row r="1791" spans="1:7" x14ac:dyDescent="0.25">
      <c r="A1791" s="1">
        <v>43419</v>
      </c>
      <c r="B1791">
        <v>6.2750000953674299</v>
      </c>
      <c r="C1791">
        <f>C1792*(1+G1791*3)</f>
        <v>5.8415523266868146</v>
      </c>
      <c r="D1791">
        <f t="shared" si="56"/>
        <v>6.2424351067122199</v>
      </c>
      <c r="F1791">
        <v>6890.4501953125</v>
      </c>
      <c r="G1791">
        <f t="shared" si="55"/>
        <v>1.7811283826386637E-2</v>
      </c>
    </row>
    <row r="1792" spans="1:7" x14ac:dyDescent="0.25">
      <c r="A1792" s="1">
        <v>43418</v>
      </c>
      <c r="B1792">
        <v>5.9562501907348597</v>
      </c>
      <c r="C1792">
        <f>C1793*(1+G1792*3)</f>
        <v>5.5452483499410103</v>
      </c>
      <c r="D1792">
        <f t="shared" si="56"/>
        <v>5.9265167143435846</v>
      </c>
      <c r="F1792">
        <v>6769.8701171875</v>
      </c>
      <c r="G1792">
        <f t="shared" si="55"/>
        <v>-8.9358573991272783E-3</v>
      </c>
    </row>
    <row r="1793" spans="1:7" x14ac:dyDescent="0.25">
      <c r="A1793" s="1">
        <v>43417</v>
      </c>
      <c r="B1793">
        <v>6.1112499237060502</v>
      </c>
      <c r="C1793">
        <f>C1794*(1+G1793*3)</f>
        <v>5.6979978383737402</v>
      </c>
      <c r="D1793">
        <f t="shared" si="56"/>
        <v>6.0905693005422981</v>
      </c>
      <c r="F1793">
        <v>6830.91015625</v>
      </c>
      <c r="G1793">
        <f t="shared" si="55"/>
        <v>2.6505082190420026E-4</v>
      </c>
    </row>
    <row r="1794" spans="1:7" x14ac:dyDescent="0.25">
      <c r="A1794" s="1">
        <v>43416</v>
      </c>
      <c r="B1794">
        <v>6.1137499809265101</v>
      </c>
      <c r="C1794">
        <f>C1795*(1+G1794*3)</f>
        <v>5.6934706611390729</v>
      </c>
      <c r="D1794">
        <f t="shared" si="56"/>
        <v>6.086508288865919</v>
      </c>
      <c r="F1794">
        <v>6829.10009765625</v>
      </c>
      <c r="G1794">
        <f t="shared" ref="G1794:G1857" si="57">F1794/F1795-1</f>
        <v>-2.9840223265818255E-2</v>
      </c>
    </row>
    <row r="1795" spans="1:7" x14ac:dyDescent="0.25">
      <c r="A1795" s="1">
        <v>43413</v>
      </c>
      <c r="B1795">
        <v>6.7024998664855904</v>
      </c>
      <c r="C1795">
        <f>C1796*(1+G1795*3)</f>
        <v>6.2532673420191793</v>
      </c>
      <c r="D1795">
        <f t="shared" si="56"/>
        <v>6.6858889162761805</v>
      </c>
      <c r="F1795">
        <v>7039.14990234375</v>
      </c>
      <c r="G1795">
        <f t="shared" si="57"/>
        <v>-1.6684842128583455E-2</v>
      </c>
    </row>
    <row r="1796" spans="1:7" x14ac:dyDescent="0.25">
      <c r="A1796" s="1">
        <v>43412</v>
      </c>
      <c r="B1796">
        <v>7.0612502098083496</v>
      </c>
      <c r="C1796">
        <f>C1797*(1+G1796*3)</f>
        <v>6.5827645014480938</v>
      </c>
      <c r="D1796">
        <f t="shared" si="56"/>
        <v>7.0391297901469567</v>
      </c>
      <c r="F1796">
        <v>7158.58984375</v>
      </c>
      <c r="G1796">
        <f t="shared" si="57"/>
        <v>-6.1834285632941244E-3</v>
      </c>
    </row>
    <row r="1797" spans="1:7" x14ac:dyDescent="0.25">
      <c r="A1797" s="1">
        <v>43411</v>
      </c>
      <c r="B1797">
        <v>7.1837501525878897</v>
      </c>
      <c r="C1797">
        <f>C1798*(1+G1797*3)</f>
        <v>6.7071846936908655</v>
      </c>
      <c r="D1797">
        <f t="shared" si="56"/>
        <v>7.1731107510609498</v>
      </c>
      <c r="F1797">
        <v>7203.1298828125</v>
      </c>
      <c r="G1797">
        <f t="shared" si="57"/>
        <v>3.0660234825770516E-2</v>
      </c>
    </row>
    <row r="1798" spans="1:7" x14ac:dyDescent="0.25">
      <c r="A1798" s="1">
        <v>43410</v>
      </c>
      <c r="B1798">
        <v>6.5787501335143999</v>
      </c>
      <c r="C1798">
        <f>C1799*(1+G1798*3)</f>
        <v>6.1422190577088376</v>
      </c>
      <c r="D1798">
        <f t="shared" si="56"/>
        <v>6.5696685171964369</v>
      </c>
      <c r="F1798">
        <v>6988.85009765625</v>
      </c>
      <c r="G1798">
        <f t="shared" si="57"/>
        <v>7.4613786288040274E-3</v>
      </c>
    </row>
    <row r="1799" spans="1:7" x14ac:dyDescent="0.25">
      <c r="A1799" s="1">
        <v>43409</v>
      </c>
      <c r="B1799">
        <v>6.44250011444091</v>
      </c>
      <c r="C1799">
        <f>C1800*(1+G1799*3)</f>
        <v>6.0077409675214719</v>
      </c>
      <c r="D1799">
        <f t="shared" si="56"/>
        <v>6.4266360284076853</v>
      </c>
      <c r="F1799">
        <v>6937.08984375</v>
      </c>
      <c r="G1799">
        <f t="shared" si="57"/>
        <v>-4.0486749517031351E-3</v>
      </c>
    </row>
    <row r="1800" spans="1:7" x14ac:dyDescent="0.25">
      <c r="A1800" s="1">
        <v>43406</v>
      </c>
      <c r="B1800">
        <v>6.5062499046325604</v>
      </c>
      <c r="C1800">
        <f>C1801*(1+G1800*3)</f>
        <v>6.0816083334991937</v>
      </c>
      <c r="D1800">
        <f t="shared" si="56"/>
        <v>6.5064965193368138</v>
      </c>
      <c r="F1800">
        <v>6965.2900390625</v>
      </c>
      <c r="G1800">
        <f t="shared" si="57"/>
        <v>-1.4694778023520372E-2</v>
      </c>
    </row>
    <row r="1801" spans="1:7" x14ac:dyDescent="0.25">
      <c r="A1801" s="1">
        <v>43405</v>
      </c>
      <c r="B1801">
        <v>6.8112502098083496</v>
      </c>
      <c r="C1801">
        <f>C1802*(1+G1801*3)</f>
        <v>6.3620762272852103</v>
      </c>
      <c r="D1801">
        <f t="shared" si="56"/>
        <v>6.807470239761173</v>
      </c>
      <c r="F1801">
        <v>7069.169921875</v>
      </c>
      <c r="G1801">
        <f t="shared" si="57"/>
        <v>1.4650259474969562E-2</v>
      </c>
    </row>
    <row r="1802" spans="1:7" x14ac:dyDescent="0.25">
      <c r="A1802" s="1">
        <v>43404</v>
      </c>
      <c r="B1802">
        <v>6.5262498855590803</v>
      </c>
      <c r="C1802">
        <f>C1803*(1+G1802*3)</f>
        <v>6.0942300717320972</v>
      </c>
      <c r="D1802">
        <f t="shared" si="56"/>
        <v>6.5216720409286433</v>
      </c>
      <c r="F1802">
        <v>6967.10009765625</v>
      </c>
      <c r="G1802">
        <f t="shared" si="57"/>
        <v>2.3050985557884873E-2</v>
      </c>
    </row>
    <row r="1803" spans="1:7" x14ac:dyDescent="0.25">
      <c r="A1803" s="1">
        <v>43403</v>
      </c>
      <c r="B1803">
        <v>6.1137499809265101</v>
      </c>
      <c r="C1803">
        <f>C1804*(1+G1803*3)</f>
        <v>5.7000544530994395</v>
      </c>
      <c r="D1803">
        <f t="shared" si="56"/>
        <v>6.100579426763554</v>
      </c>
      <c r="F1803">
        <v>6810.1201171875</v>
      </c>
      <c r="G1803">
        <f t="shared" si="57"/>
        <v>1.4331493802902884E-2</v>
      </c>
    </row>
    <row r="1804" spans="1:7" x14ac:dyDescent="0.25">
      <c r="A1804" s="1">
        <v>43402</v>
      </c>
      <c r="B1804">
        <v>5.8862500190734801</v>
      </c>
      <c r="C1804">
        <f>C1805*(1+G1804*3)</f>
        <v>5.4650859181927078</v>
      </c>
      <c r="D1804">
        <f t="shared" si="56"/>
        <v>5.849817946723058</v>
      </c>
      <c r="F1804">
        <v>6713.89990234375</v>
      </c>
      <c r="G1804">
        <f t="shared" si="57"/>
        <v>-2.0211896849836264E-2</v>
      </c>
    </row>
    <row r="1805" spans="1:7" x14ac:dyDescent="0.25">
      <c r="A1805" s="1">
        <v>43399</v>
      </c>
      <c r="B1805">
        <v>6.21875</v>
      </c>
      <c r="C1805">
        <f>C1806*(1+G1805*3)</f>
        <v>5.8178556106625665</v>
      </c>
      <c r="D1805">
        <f t="shared" si="56"/>
        <v>6.2282702407118107</v>
      </c>
      <c r="F1805">
        <v>6852.39990234375</v>
      </c>
      <c r="G1805">
        <f t="shared" si="57"/>
        <v>-2.3372450958334401E-2</v>
      </c>
    </row>
    <row r="1806" spans="1:7" x14ac:dyDescent="0.25">
      <c r="A1806" s="1">
        <v>43398</v>
      </c>
      <c r="B1806">
        <v>6.7424998283386204</v>
      </c>
      <c r="C1806">
        <f>C1807*(1+G1806*3)</f>
        <v>6.2565482092285114</v>
      </c>
      <c r="D1806">
        <f t="shared" si="56"/>
        <v>6.698831609833638</v>
      </c>
      <c r="F1806">
        <v>7016.39013671875</v>
      </c>
      <c r="G1806">
        <f t="shared" si="57"/>
        <v>3.3471088080784916E-2</v>
      </c>
    </row>
    <row r="1807" spans="1:7" x14ac:dyDescent="0.25">
      <c r="A1807" s="1">
        <v>43397</v>
      </c>
      <c r="B1807">
        <v>6.1149997711181596</v>
      </c>
      <c r="C1807">
        <f>C1808*(1+G1807*3)</f>
        <v>5.6856350359755119</v>
      </c>
      <c r="D1807">
        <f t="shared" si="56"/>
        <v>6.0882676927168413</v>
      </c>
      <c r="F1807">
        <v>6789.14990234375</v>
      </c>
      <c r="G1807">
        <f t="shared" si="57"/>
        <v>-4.6289548911189971E-2</v>
      </c>
    </row>
    <row r="1808" spans="1:7" x14ac:dyDescent="0.25">
      <c r="A1808" s="1">
        <v>43396</v>
      </c>
      <c r="B1808">
        <v>7.0774998664855904</v>
      </c>
      <c r="C1808">
        <f>C1809*(1+G1808*3)</f>
        <v>6.602517739493341</v>
      </c>
      <c r="D1808">
        <f t="shared" si="56"/>
        <v>7.0711307047197529</v>
      </c>
      <c r="F1808">
        <v>7118.669921875</v>
      </c>
      <c r="G1808">
        <f t="shared" si="57"/>
        <v>-3.1563333364785784E-3</v>
      </c>
    </row>
    <row r="1809" spans="1:7" x14ac:dyDescent="0.25">
      <c r="A1809" s="1">
        <v>43395</v>
      </c>
      <c r="B1809">
        <v>7.15625</v>
      </c>
      <c r="C1809">
        <f>C1810*(1+G1809*3)</f>
        <v>6.6656346339046797</v>
      </c>
      <c r="D1809">
        <f t="shared" si="56"/>
        <v>7.1396494718931276</v>
      </c>
      <c r="F1809">
        <v>7141.2099609375</v>
      </c>
      <c r="G1809">
        <f t="shared" si="57"/>
        <v>4.7810441708133755E-3</v>
      </c>
    </row>
    <row r="1810" spans="1:7" x14ac:dyDescent="0.25">
      <c r="A1810" s="1">
        <v>43392</v>
      </c>
      <c r="B1810">
        <v>7.0500001907348597</v>
      </c>
      <c r="C1810">
        <f>C1811*(1+G1810*3)</f>
        <v>6.5713804532737159</v>
      </c>
      <c r="D1810">
        <f t="shared" si="56"/>
        <v>7.0395804602345802</v>
      </c>
      <c r="F1810">
        <v>7107.22998046875</v>
      </c>
      <c r="G1810">
        <f t="shared" si="57"/>
        <v>-1.2450465741423722E-3</v>
      </c>
    </row>
    <row r="1811" spans="1:7" x14ac:dyDescent="0.25">
      <c r="A1811" s="1">
        <v>43391</v>
      </c>
      <c r="B1811">
        <v>7.0787501335143999</v>
      </c>
      <c r="C1811">
        <f>C1812*(1+G1811*3)</f>
        <v>6.5960175002487196</v>
      </c>
      <c r="D1811">
        <f t="shared" si="56"/>
        <v>7.0668803621746408</v>
      </c>
      <c r="F1811">
        <v>7116.08984375</v>
      </c>
      <c r="G1811">
        <f t="shared" si="57"/>
        <v>-2.2331131226539847E-2</v>
      </c>
    </row>
    <row r="1812" spans="1:7" x14ac:dyDescent="0.25">
      <c r="A1812" s="1">
        <v>43390</v>
      </c>
      <c r="B1812">
        <v>7.6062498092651296</v>
      </c>
      <c r="C1812">
        <f>C1813*(1+G1812*3)</f>
        <v>7.0696364372619955</v>
      </c>
      <c r="D1812">
        <f t="shared" si="56"/>
        <v>7.5753477869758088</v>
      </c>
      <c r="F1812">
        <v>7278.6298828125</v>
      </c>
      <c r="G1812">
        <f t="shared" si="57"/>
        <v>3.023057980506838E-4</v>
      </c>
    </row>
    <row r="1813" spans="1:7" x14ac:dyDescent="0.25">
      <c r="A1813" s="1">
        <v>43389</v>
      </c>
      <c r="B1813">
        <v>7.5812501907348597</v>
      </c>
      <c r="C1813">
        <f>C1814*(1+G1813*3)</f>
        <v>7.0632306705080037</v>
      </c>
      <c r="D1813">
        <f t="shared" si="56"/>
        <v>7.5694513337699929</v>
      </c>
      <c r="F1813">
        <v>7276.43017578125</v>
      </c>
      <c r="G1813">
        <f t="shared" si="57"/>
        <v>2.9391703984268158E-2</v>
      </c>
    </row>
    <row r="1814" spans="1:7" x14ac:dyDescent="0.25">
      <c r="A1814" s="1">
        <v>43388</v>
      </c>
      <c r="B1814">
        <v>6.9800000190734801</v>
      </c>
      <c r="C1814">
        <f>C1815*(1+G1814*3)</f>
        <v>6.4908952547467793</v>
      </c>
      <c r="D1814">
        <f t="shared" si="56"/>
        <v>6.9569146530773276</v>
      </c>
      <c r="F1814">
        <v>7068.669921875</v>
      </c>
      <c r="G1814">
        <f t="shared" si="57"/>
        <v>-1.2370747755861888E-2</v>
      </c>
    </row>
    <row r="1815" spans="1:7" x14ac:dyDescent="0.25">
      <c r="A1815" s="1">
        <v>43385</v>
      </c>
      <c r="B1815">
        <v>7.2537498474120996</v>
      </c>
      <c r="C1815">
        <f>C1816*(1+G1815*3)</f>
        <v>6.7410715416860301</v>
      </c>
      <c r="D1815">
        <f t="shared" si="56"/>
        <v>7.2260126683976331</v>
      </c>
      <c r="F1815">
        <v>7157.2099609375</v>
      </c>
      <c r="G1815">
        <f t="shared" si="57"/>
        <v>2.7739711308100823E-2</v>
      </c>
    </row>
    <row r="1816" spans="1:7" x14ac:dyDescent="0.25">
      <c r="A1816" s="1">
        <v>43384</v>
      </c>
      <c r="B1816">
        <v>6.6887497901916504</v>
      </c>
      <c r="C1816">
        <f>C1817*(1+G1816*3)</f>
        <v>6.2231835928381134</v>
      </c>
      <c r="D1816">
        <f t="shared" si="56"/>
        <v>6.671656726395109</v>
      </c>
      <c r="F1816">
        <v>6964.02978515625</v>
      </c>
      <c r="G1816">
        <f t="shared" si="57"/>
        <v>-1.1423126530449301E-2</v>
      </c>
    </row>
    <row r="1817" spans="1:7" x14ac:dyDescent="0.25">
      <c r="A1817" s="1">
        <v>43383</v>
      </c>
      <c r="B1817">
        <v>6.9712500572204501</v>
      </c>
      <c r="C1817">
        <f>C1818*(1+G1817*3)</f>
        <v>6.4440160240593309</v>
      </c>
      <c r="D1817">
        <f t="shared" si="56"/>
        <v>6.9093187518245713</v>
      </c>
      <c r="F1817">
        <v>7044.5</v>
      </c>
      <c r="G1817">
        <f t="shared" si="57"/>
        <v>-4.4375606988319216E-2</v>
      </c>
    </row>
    <row r="1818" spans="1:7" x14ac:dyDescent="0.25">
      <c r="A1818" s="1">
        <v>43382</v>
      </c>
      <c r="B1818">
        <v>8.0100002288818306</v>
      </c>
      <c r="C1818">
        <f>C1819*(1+G1818*3)</f>
        <v>7.4336317928678692</v>
      </c>
      <c r="D1818">
        <f t="shared" si="56"/>
        <v>7.9715681353285648</v>
      </c>
      <c r="F1818">
        <v>7371.6201171875</v>
      </c>
      <c r="G1818">
        <f t="shared" si="57"/>
        <v>2.5568820422914307E-3</v>
      </c>
    </row>
    <row r="1819" spans="1:7" x14ac:dyDescent="0.25">
      <c r="A1819" s="1">
        <v>43381</v>
      </c>
      <c r="B1819">
        <v>7.9487500190734801</v>
      </c>
      <c r="C1819">
        <f>C1820*(1+G1819*3)</f>
        <v>7.3770450905165212</v>
      </c>
      <c r="D1819">
        <f t="shared" si="56"/>
        <v>7.9118910435653387</v>
      </c>
      <c r="F1819">
        <v>7352.81982421875</v>
      </c>
      <c r="G1819">
        <f t="shared" si="57"/>
        <v>-6.2427193461540575E-3</v>
      </c>
    </row>
    <row r="1820" spans="1:7" x14ac:dyDescent="0.25">
      <c r="A1820" s="1">
        <v>43378</v>
      </c>
      <c r="B1820">
        <v>8.09375</v>
      </c>
      <c r="C1820">
        <f>C1821*(1+G1820*3)</f>
        <v>7.5178403935141898</v>
      </c>
      <c r="D1820">
        <f t="shared" si="56"/>
        <v>8.0639455686340362</v>
      </c>
      <c r="F1820">
        <v>7399.009765625</v>
      </c>
      <c r="G1820">
        <f t="shared" si="57"/>
        <v>-1.2148228888518076E-2</v>
      </c>
    </row>
    <row r="1821" spans="1:7" x14ac:dyDescent="0.25">
      <c r="A1821" s="1">
        <v>43377</v>
      </c>
      <c r="B1821">
        <v>8.4099998474121094</v>
      </c>
      <c r="C1821">
        <f>C1822*(1+G1821*3)</f>
        <v>7.8021887165960555</v>
      </c>
      <c r="D1821">
        <f t="shared" si="56"/>
        <v>8.3700606478466852</v>
      </c>
      <c r="F1821">
        <v>7490</v>
      </c>
      <c r="G1821">
        <f t="shared" si="57"/>
        <v>-1.9303636483481101E-2</v>
      </c>
    </row>
    <row r="1822" spans="1:7" x14ac:dyDescent="0.25">
      <c r="A1822" s="1">
        <v>43376</v>
      </c>
      <c r="B1822">
        <v>8.9187498092651296</v>
      </c>
      <c r="C1822">
        <f>C1823*(1+G1822*3)</f>
        <v>8.2817949967393627</v>
      </c>
      <c r="D1822">
        <f t="shared" si="56"/>
        <v>8.8857811359351704</v>
      </c>
      <c r="F1822">
        <v>7637.43017578125</v>
      </c>
      <c r="G1822">
        <f t="shared" si="57"/>
        <v>1.1995352664968539E-3</v>
      </c>
    </row>
    <row r="1823" spans="1:7" x14ac:dyDescent="0.25">
      <c r="A1823" s="1">
        <v>43375</v>
      </c>
      <c r="B1823">
        <v>8.8924999237060494</v>
      </c>
      <c r="C1823">
        <f>C1824*(1+G1823*3)</f>
        <v>8.2520989456156997</v>
      </c>
      <c r="D1823">
        <f t="shared" si="56"/>
        <v>8.8550481975815671</v>
      </c>
      <c r="F1823">
        <v>7628.27978515625</v>
      </c>
      <c r="G1823">
        <f t="shared" si="57"/>
        <v>-2.2458337596361622E-3</v>
      </c>
    </row>
    <row r="1824" spans="1:7" x14ac:dyDescent="0.25">
      <c r="A1824" s="1">
        <v>43374</v>
      </c>
      <c r="B1824">
        <v>8.9437503814697195</v>
      </c>
      <c r="C1824">
        <f>C1825*(1+G1824*3)</f>
        <v>8.308074608918556</v>
      </c>
      <c r="D1824">
        <f t="shared" si="56"/>
        <v>8.9162622468676336</v>
      </c>
      <c r="F1824">
        <v>7645.4501953125</v>
      </c>
      <c r="G1824">
        <f t="shared" si="57"/>
        <v>2.3336536412454922E-3</v>
      </c>
    </row>
    <row r="1825" spans="1:7" x14ac:dyDescent="0.25">
      <c r="A1825" s="1">
        <v>43371</v>
      </c>
      <c r="B1825">
        <v>8.8924999237060494</v>
      </c>
      <c r="C1825">
        <f>C1826*(1+G1825*3)</f>
        <v>8.2503144796380727</v>
      </c>
      <c r="D1825">
        <f t="shared" si="56"/>
        <v>8.8553988796572938</v>
      </c>
      <c r="F1825">
        <v>7627.64990234375</v>
      </c>
      <c r="G1825">
        <f t="shared" si="57"/>
        <v>-2.5164221826834421E-4</v>
      </c>
    </row>
    <row r="1826" spans="1:7" x14ac:dyDescent="0.25">
      <c r="A1826" s="1">
        <v>43370</v>
      </c>
      <c r="B1826">
        <v>8.90625</v>
      </c>
      <c r="C1826">
        <f>C1827*(1+G1826*3)</f>
        <v>8.2565475674734241</v>
      </c>
      <c r="D1826">
        <f t="shared" ref="D1826:D1889" si="58">D1827*(1+3*G1826-0.000127937129161102)</f>
        <v>8.863223899046945</v>
      </c>
      <c r="F1826">
        <v>7629.56982421875</v>
      </c>
      <c r="G1826">
        <f t="shared" si="57"/>
        <v>8.7900556309916666E-3</v>
      </c>
    </row>
    <row r="1827" spans="1:7" x14ac:dyDescent="0.25">
      <c r="A1827" s="1">
        <v>43369</v>
      </c>
      <c r="B1827">
        <v>8.6662502288818306</v>
      </c>
      <c r="C1827">
        <f>C1828*(1+G1827*3)</f>
        <v>8.0444150013319486</v>
      </c>
      <c r="D1827">
        <f t="shared" si="58"/>
        <v>8.6365807623087054</v>
      </c>
      <c r="F1827">
        <v>7563.08984375</v>
      </c>
      <c r="G1827">
        <f t="shared" si="57"/>
        <v>-1.3234846278575851E-5</v>
      </c>
    </row>
    <row r="1828" spans="1:7" x14ac:dyDescent="0.25">
      <c r="A1828" s="1">
        <v>43368</v>
      </c>
      <c r="B1828">
        <v>8.6750001907348597</v>
      </c>
      <c r="C1828">
        <f>C1829*(1+G1828*3)</f>
        <v>8.0447344138019048</v>
      </c>
      <c r="D1828">
        <f t="shared" si="58"/>
        <v>8.6380288558743086</v>
      </c>
      <c r="F1828">
        <v>7563.18994140625</v>
      </c>
      <c r="G1828">
        <f t="shared" si="57"/>
        <v>1.912891724623389E-3</v>
      </c>
    </row>
    <row r="1829" spans="1:7" x14ac:dyDescent="0.25">
      <c r="A1829" s="1">
        <v>43367</v>
      </c>
      <c r="B1829">
        <v>8.6400003433227504</v>
      </c>
      <c r="C1829">
        <f>C1830*(1+G1829*3)</f>
        <v>7.9988317168086889</v>
      </c>
      <c r="D1829">
        <f t="shared" si="58"/>
        <v>8.5898335499777314</v>
      </c>
      <c r="F1829">
        <v>7548.75</v>
      </c>
      <c r="G1829">
        <f t="shared" si="57"/>
        <v>2.3476313716270791E-3</v>
      </c>
    </row>
    <row r="1830" spans="1:7" x14ac:dyDescent="0.25">
      <c r="A1830" s="1">
        <v>43364</v>
      </c>
      <c r="B1830">
        <v>8.5662498474121094</v>
      </c>
      <c r="C1830">
        <f>C1831*(1+G1830*3)</f>
        <v>7.9428907780925169</v>
      </c>
      <c r="D1830">
        <f t="shared" si="58"/>
        <v>8.5308431366359674</v>
      </c>
      <c r="F1830">
        <v>7531.06982421875</v>
      </c>
      <c r="G1830">
        <f t="shared" si="57"/>
        <v>-5.0151686563506548E-3</v>
      </c>
    </row>
    <row r="1831" spans="1:7" x14ac:dyDescent="0.25">
      <c r="A1831" s="1">
        <v>43363</v>
      </c>
      <c r="B1831">
        <v>8.7049999237060494</v>
      </c>
      <c r="C1831">
        <f>C1832*(1+G1831*3)</f>
        <v>8.0642210642504519</v>
      </c>
      <c r="D1831">
        <f t="shared" si="58"/>
        <v>8.6622797454544234</v>
      </c>
      <c r="F1831">
        <v>7569.02978515625</v>
      </c>
      <c r="G1831">
        <f t="shared" si="57"/>
        <v>1.0508224319474735E-2</v>
      </c>
    </row>
    <row r="1832" spans="1:7" x14ac:dyDescent="0.25">
      <c r="A1832" s="1">
        <v>43362</v>
      </c>
      <c r="B1832">
        <v>8.4399995803833008</v>
      </c>
      <c r="C1832">
        <f>C1833*(1+G1832*3)</f>
        <v>7.8177684699699679</v>
      </c>
      <c r="D1832">
        <f t="shared" si="58"/>
        <v>8.3985913902372218</v>
      </c>
      <c r="F1832">
        <v>7490.31982421875</v>
      </c>
      <c r="G1832">
        <f t="shared" si="57"/>
        <v>-5.4441692172368938E-4</v>
      </c>
    </row>
    <row r="1833" spans="1:7" x14ac:dyDescent="0.25">
      <c r="A1833" s="1">
        <v>43361</v>
      </c>
      <c r="B1833">
        <v>8.4587497711181605</v>
      </c>
      <c r="C1833">
        <f>C1834*(1+G1833*3)</f>
        <v>7.8305577343813626</v>
      </c>
      <c r="D1833">
        <f t="shared" si="58"/>
        <v>8.4134089842904203</v>
      </c>
      <c r="F1833">
        <v>7494.39990234375</v>
      </c>
      <c r="G1833">
        <f t="shared" si="57"/>
        <v>8.0258357777289735E-3</v>
      </c>
    </row>
    <row r="1834" spans="1:7" x14ac:dyDescent="0.25">
      <c r="A1834" s="1">
        <v>43360</v>
      </c>
      <c r="B1834">
        <v>8.2624998092651296</v>
      </c>
      <c r="C1834">
        <f>C1835*(1+G1834*3)</f>
        <v>7.6464502718871508</v>
      </c>
      <c r="D1834">
        <f t="shared" si="58"/>
        <v>8.2166243622857493</v>
      </c>
      <c r="F1834">
        <v>7434.72998046875</v>
      </c>
      <c r="G1834">
        <f t="shared" si="57"/>
        <v>-1.4680275598866865E-2</v>
      </c>
    </row>
    <row r="1835" spans="1:7" x14ac:dyDescent="0.25">
      <c r="A1835" s="1">
        <v>43357</v>
      </c>
      <c r="B1835">
        <v>8.6262502670287997</v>
      </c>
      <c r="C1835">
        <f>C1836*(1+G1835*3)</f>
        <v>7.9987205376815984</v>
      </c>
      <c r="D1835">
        <f t="shared" si="58"/>
        <v>8.5963128763533874</v>
      </c>
      <c r="F1835">
        <v>7545.5</v>
      </c>
      <c r="G1835">
        <f t="shared" si="57"/>
        <v>-2.1410480371056861E-3</v>
      </c>
    </row>
    <row r="1836" spans="1:7" x14ac:dyDescent="0.25">
      <c r="A1836" s="1">
        <v>43356</v>
      </c>
      <c r="B1836">
        <v>8.6925001144409109</v>
      </c>
      <c r="C1836">
        <f>C1837*(1+G1836*3)</f>
        <v>8.0504296072067003</v>
      </c>
      <c r="D1836">
        <f t="shared" si="58"/>
        <v>8.6529993782541368</v>
      </c>
      <c r="F1836">
        <v>7561.68994140625</v>
      </c>
      <c r="G1836">
        <f t="shared" si="57"/>
        <v>9.8329717224954205E-3</v>
      </c>
    </row>
    <row r="1837" spans="1:7" x14ac:dyDescent="0.25">
      <c r="A1837" s="1">
        <v>43355</v>
      </c>
      <c r="B1837">
        <v>8.4425001144409109</v>
      </c>
      <c r="C1837">
        <f>C1838*(1+G1837*3)</f>
        <v>7.8197553087241456</v>
      </c>
      <c r="D1837">
        <f t="shared" si="58"/>
        <v>8.4061038856410928</v>
      </c>
      <c r="F1837">
        <v>7488.06005859375</v>
      </c>
      <c r="G1837">
        <f t="shared" si="57"/>
        <v>-2.6385723626730639E-3</v>
      </c>
    </row>
    <row r="1838" spans="1:7" x14ac:dyDescent="0.25">
      <c r="A1838" s="1">
        <v>43354</v>
      </c>
      <c r="B1838">
        <v>8.5162496566772408</v>
      </c>
      <c r="C1838">
        <f>C1839*(1+G1838*3)</f>
        <v>7.8821481636333166</v>
      </c>
      <c r="D1838">
        <f t="shared" si="58"/>
        <v>8.4742679669106504</v>
      </c>
      <c r="F1838">
        <v>7507.8701171875</v>
      </c>
      <c r="G1838">
        <f t="shared" si="57"/>
        <v>8.0817032935944777E-3</v>
      </c>
    </row>
    <row r="1839" spans="1:7" x14ac:dyDescent="0.25">
      <c r="A1839" s="1">
        <v>43353</v>
      </c>
      <c r="B1839">
        <v>8.3312501907348597</v>
      </c>
      <c r="C1839">
        <f>C1840*(1+G1839*3)</f>
        <v>7.6955682654425912</v>
      </c>
      <c r="D1839">
        <f t="shared" si="58"/>
        <v>8.2747054657249688</v>
      </c>
      <c r="F1839">
        <v>7447.68017578125</v>
      </c>
      <c r="G1839">
        <f t="shared" si="57"/>
        <v>2.3445223593450137E-3</v>
      </c>
    </row>
    <row r="1840" spans="1:7" x14ac:dyDescent="0.25">
      <c r="A1840" s="1">
        <v>43350</v>
      </c>
      <c r="B1840">
        <v>8.2587499618530202</v>
      </c>
      <c r="C1840">
        <f>C1841*(1+G1840*3)</f>
        <v>7.6418190187758279</v>
      </c>
      <c r="D1840">
        <f t="shared" si="58"/>
        <v>8.2179553074354352</v>
      </c>
      <c r="F1840">
        <v>7430.259765625</v>
      </c>
      <c r="G1840">
        <f t="shared" si="57"/>
        <v>-3.0738808440096133E-3</v>
      </c>
    </row>
    <row r="1841" spans="1:7" x14ac:dyDescent="0.25">
      <c r="A1841" s="1">
        <v>43349</v>
      </c>
      <c r="B1841">
        <v>8.3412504196166992</v>
      </c>
      <c r="C1841">
        <f>C1842*(1+G1841*3)</f>
        <v>7.7129450408113751</v>
      </c>
      <c r="D1841">
        <f t="shared" si="58"/>
        <v>8.2955148846803421</v>
      </c>
      <c r="F1841">
        <v>7453.169921875</v>
      </c>
      <c r="G1841">
        <f t="shared" si="57"/>
        <v>-9.3164194688919455E-3</v>
      </c>
    </row>
    <row r="1842" spans="1:7" x14ac:dyDescent="0.25">
      <c r="A1842" s="1">
        <v>43348</v>
      </c>
      <c r="B1842">
        <v>8.5749998092651296</v>
      </c>
      <c r="C1842">
        <f>C1843*(1+G1842*3)</f>
        <v>7.9347144246490702</v>
      </c>
      <c r="D1842">
        <f t="shared" si="58"/>
        <v>8.5351581901134583</v>
      </c>
      <c r="F1842">
        <v>7523.259765625</v>
      </c>
      <c r="G1842">
        <f t="shared" si="57"/>
        <v>-1.2996051186280888E-2</v>
      </c>
    </row>
    <row r="1843" spans="1:7" x14ac:dyDescent="0.25">
      <c r="A1843" s="1">
        <v>43347</v>
      </c>
      <c r="B1843">
        <v>8.9300003051757795</v>
      </c>
      <c r="C1843">
        <f>C1844*(1+G1843*3)</f>
        <v>8.2566249875411</v>
      </c>
      <c r="D1843">
        <f t="shared" si="58"/>
        <v>8.8826112159841752</v>
      </c>
      <c r="F1843">
        <v>7622.31982421875</v>
      </c>
      <c r="G1843">
        <f t="shared" si="57"/>
        <v>-4.2105651267710931E-3</v>
      </c>
    </row>
    <row r="1844" spans="1:7" x14ac:dyDescent="0.25">
      <c r="A1844" s="1">
        <v>43343</v>
      </c>
      <c r="B1844">
        <v>9.0375003814697195</v>
      </c>
      <c r="C1844">
        <f>C1845*(1+G1844*3)</f>
        <v>8.3622544382983577</v>
      </c>
      <c r="D1844">
        <f t="shared" si="58"/>
        <v>8.9974149239490249</v>
      </c>
      <c r="F1844">
        <v>7654.5498046875</v>
      </c>
      <c r="G1844">
        <f t="shared" si="57"/>
        <v>1.5544152676929546E-3</v>
      </c>
    </row>
    <row r="1845" spans="1:7" x14ac:dyDescent="0.25">
      <c r="A1845" s="1">
        <v>43342</v>
      </c>
      <c r="B1845">
        <v>9.0112495422363192</v>
      </c>
      <c r="C1845">
        <f>C1846*(1+G1845*3)</f>
        <v>8.3234401907616107</v>
      </c>
      <c r="D1845">
        <f t="shared" si="58"/>
        <v>8.9567931025007663</v>
      </c>
      <c r="F1845">
        <v>7642.669921875</v>
      </c>
      <c r="G1845">
        <f t="shared" si="57"/>
        <v>-2.2858801626639558E-3</v>
      </c>
    </row>
    <row r="1846" spans="1:7" x14ac:dyDescent="0.25">
      <c r="A1846" s="1">
        <v>43341</v>
      </c>
      <c r="B1846">
        <v>9.0625</v>
      </c>
      <c r="C1846">
        <f>C1847*(1+G1846*3)</f>
        <v>8.38091348238477</v>
      </c>
      <c r="D1846">
        <f t="shared" si="58"/>
        <v>9.0198016268564949</v>
      </c>
      <c r="F1846">
        <v>7660.18017578125</v>
      </c>
      <c r="G1846">
        <f t="shared" si="57"/>
        <v>1.1879419541131364E-2</v>
      </c>
    </row>
    <row r="1847" spans="1:7" x14ac:dyDescent="0.25">
      <c r="A1847" s="1">
        <v>43340</v>
      </c>
      <c r="B1847">
        <v>8.7562503814697195</v>
      </c>
      <c r="C1847">
        <f>C1848*(1+G1847*3)</f>
        <v>8.0925105002638347</v>
      </c>
      <c r="D1847">
        <f t="shared" si="58"/>
        <v>8.7104893496773599</v>
      </c>
      <c r="F1847">
        <v>7570.25</v>
      </c>
      <c r="G1847">
        <f t="shared" si="57"/>
        <v>1.4710842861405116E-3</v>
      </c>
    </row>
    <row r="1848" spans="1:7" x14ac:dyDescent="0.25">
      <c r="A1848" s="1">
        <v>43339</v>
      </c>
      <c r="B1848">
        <v>8.7174997329711896</v>
      </c>
      <c r="C1848">
        <f>C1849*(1+G1848*3)</f>
        <v>8.0569531288378222</v>
      </c>
      <c r="D1848">
        <f t="shared" si="58"/>
        <v>8.673321428933022</v>
      </c>
      <c r="F1848">
        <v>7559.1298828125</v>
      </c>
      <c r="G1848">
        <f t="shared" si="57"/>
        <v>9.84983854311694E-3</v>
      </c>
    </row>
    <row r="1849" spans="1:7" x14ac:dyDescent="0.25">
      <c r="A1849" s="1">
        <v>43336</v>
      </c>
      <c r="B1849">
        <v>8.4624996185302699</v>
      </c>
      <c r="C1849">
        <f>C1850*(1+G1849*3)</f>
        <v>7.8257072695650844</v>
      </c>
      <c r="D1849">
        <f t="shared" si="58"/>
        <v>8.4254319222349814</v>
      </c>
      <c r="F1849">
        <v>7485.39990234375</v>
      </c>
      <c r="G1849">
        <f t="shared" si="57"/>
        <v>9.6522261205946869E-3</v>
      </c>
    </row>
    <row r="1850" spans="1:7" x14ac:dyDescent="0.25">
      <c r="A1850" s="1">
        <v>43335</v>
      </c>
      <c r="B1850">
        <v>8.2337503433227504</v>
      </c>
      <c r="C1850">
        <f>C1851*(1+G1850*3)</f>
        <v>7.6054778924458697</v>
      </c>
      <c r="D1850">
        <f t="shared" si="58"/>
        <v>8.1893434587962712</v>
      </c>
      <c r="F1850">
        <v>7413.83984375</v>
      </c>
      <c r="G1850">
        <f t="shared" si="57"/>
        <v>-1.4492705014034213E-3</v>
      </c>
    </row>
    <row r="1851" spans="1:7" x14ac:dyDescent="0.25">
      <c r="A1851" s="1">
        <v>43334</v>
      </c>
      <c r="B1851">
        <v>8.2749996185302699</v>
      </c>
      <c r="C1851">
        <f>C1852*(1+G1851*3)</f>
        <v>7.6386894744198424</v>
      </c>
      <c r="D1851">
        <f t="shared" si="58"/>
        <v>8.2261616907414989</v>
      </c>
      <c r="F1851">
        <v>7424.60009765625</v>
      </c>
      <c r="G1851">
        <f t="shared" si="57"/>
        <v>3.7000495130969924E-3</v>
      </c>
    </row>
    <row r="1852" spans="1:7" x14ac:dyDescent="0.25">
      <c r="A1852" s="1">
        <v>43333</v>
      </c>
      <c r="B1852">
        <v>8.1800003051757795</v>
      </c>
      <c r="C1852">
        <f>C1853*(1+G1852*3)</f>
        <v>7.5548297420935508</v>
      </c>
      <c r="D1852">
        <f t="shared" si="58"/>
        <v>8.1368821001196849</v>
      </c>
      <c r="F1852">
        <v>7397.22998046875</v>
      </c>
      <c r="G1852">
        <f t="shared" si="57"/>
        <v>3.5013686463793992E-3</v>
      </c>
    </row>
    <row r="1853" spans="1:7" x14ac:dyDescent="0.25">
      <c r="A1853" s="1">
        <v>43332</v>
      </c>
      <c r="B1853">
        <v>8.0962495803833008</v>
      </c>
      <c r="C1853">
        <f>C1854*(1+G1853*3)</f>
        <v>7.4762979167435191</v>
      </c>
      <c r="D1853">
        <f t="shared" si="58"/>
        <v>8.0533194975326072</v>
      </c>
      <c r="F1853">
        <v>7371.419921875</v>
      </c>
      <c r="G1853">
        <f t="shared" si="57"/>
        <v>-8.2956068758632817E-4</v>
      </c>
    </row>
    <row r="1854" spans="1:7" x14ac:dyDescent="0.25">
      <c r="A1854" s="1">
        <v>43329</v>
      </c>
      <c r="B1854">
        <v>8.1125001907348597</v>
      </c>
      <c r="C1854">
        <f>C1855*(1+G1854*3)</f>
        <v>7.4949504655283468</v>
      </c>
      <c r="D1854">
        <f t="shared" si="58"/>
        <v>8.0744472511741758</v>
      </c>
      <c r="F1854">
        <v>7377.5400390625</v>
      </c>
      <c r="G1854">
        <f t="shared" si="57"/>
        <v>4.4072039244236194E-4</v>
      </c>
    </row>
    <row r="1855" spans="1:7" x14ac:dyDescent="0.25">
      <c r="A1855" s="1">
        <v>43328</v>
      </c>
      <c r="B1855">
        <v>8.1137504577636701</v>
      </c>
      <c r="C1855">
        <f>C1856*(1+G1855*3)</f>
        <v>7.485054017695953</v>
      </c>
      <c r="D1855">
        <f t="shared" si="58"/>
        <v>8.0648160538985749</v>
      </c>
      <c r="F1855">
        <v>7374.2900390625</v>
      </c>
      <c r="G1855">
        <f t="shared" si="57"/>
        <v>2.669040090971242E-3</v>
      </c>
    </row>
    <row r="1856" spans="1:7" x14ac:dyDescent="0.25">
      <c r="A1856" s="1">
        <v>43327</v>
      </c>
      <c r="B1856">
        <v>8.0399999618530202</v>
      </c>
      <c r="C1856">
        <f>C1857*(1+G1856*3)</f>
        <v>7.4255963744277977</v>
      </c>
      <c r="D1856">
        <f t="shared" si="58"/>
        <v>8.0017686532060264</v>
      </c>
      <c r="F1856">
        <v>7354.66015625</v>
      </c>
      <c r="G1856">
        <f t="shared" si="57"/>
        <v>-1.2422137079653006E-2</v>
      </c>
    </row>
    <row r="1857" spans="1:7" x14ac:dyDescent="0.25">
      <c r="A1857" s="1">
        <v>43326</v>
      </c>
      <c r="B1857">
        <v>8.34375</v>
      </c>
      <c r="C1857">
        <f>C1858*(1+G1857*3)</f>
        <v>7.7130334509092284</v>
      </c>
      <c r="D1857">
        <f t="shared" si="58"/>
        <v>8.3126134150997757</v>
      </c>
      <c r="F1857">
        <v>7447.169921875</v>
      </c>
      <c r="G1857">
        <f t="shared" si="57"/>
        <v>6.2152336030067978E-3</v>
      </c>
    </row>
    <row r="1858" spans="1:7" x14ac:dyDescent="0.25">
      <c r="A1858" s="1">
        <v>43325</v>
      </c>
      <c r="B1858">
        <v>8.1925001144409109</v>
      </c>
      <c r="C1858">
        <f>C1859*(1+G1858*3)</f>
        <v>7.5718509829113758</v>
      </c>
      <c r="D1858">
        <f t="shared" si="58"/>
        <v>8.161481037961158</v>
      </c>
      <c r="F1858">
        <v>7401.169921875</v>
      </c>
      <c r="G1858">
        <f t="shared" ref="G1858:G1921" si="59">F1858/F1859-1</f>
        <v>-9.624182336666065E-4</v>
      </c>
    </row>
    <row r="1859" spans="1:7" x14ac:dyDescent="0.25">
      <c r="A1859" s="1">
        <v>43322</v>
      </c>
      <c r="B1859">
        <v>8.2162504196166992</v>
      </c>
      <c r="C1859">
        <f>C1860*(1+G1859*3)</f>
        <v>7.5937761487953255</v>
      </c>
      <c r="D1859">
        <f t="shared" si="58"/>
        <v>8.1861638924500326</v>
      </c>
      <c r="F1859">
        <v>7408.2998046875</v>
      </c>
      <c r="G1859">
        <f t="shared" si="59"/>
        <v>-7.8559623403464673E-3</v>
      </c>
    </row>
    <row r="1860" spans="1:7" x14ac:dyDescent="0.25">
      <c r="A1860" s="1">
        <v>43321</v>
      </c>
      <c r="B1860">
        <v>8.4125003814697195</v>
      </c>
      <c r="C1860">
        <f>C1861*(1+G1860*3)</f>
        <v>7.7770651414031793</v>
      </c>
      <c r="D1860">
        <f t="shared" si="58"/>
        <v>8.3848498192938603</v>
      </c>
      <c r="F1860">
        <v>7466.9599609375</v>
      </c>
      <c r="G1860">
        <f t="shared" si="59"/>
        <v>-3.4672019301285051E-4</v>
      </c>
    </row>
    <row r="1861" spans="1:7" x14ac:dyDescent="0.25">
      <c r="A1861" s="1">
        <v>43320</v>
      </c>
      <c r="B1861">
        <v>8.42000007629394</v>
      </c>
      <c r="C1861">
        <f>C1862*(1+G1861*3)</f>
        <v>7.7851629610166198</v>
      </c>
      <c r="D1861">
        <f t="shared" si="58"/>
        <v>8.3946555972581436</v>
      </c>
      <c r="F1861">
        <v>7469.5498046875</v>
      </c>
      <c r="G1861">
        <f t="shared" si="59"/>
        <v>9.245914566597957E-4</v>
      </c>
    </row>
    <row r="1862" spans="1:7" x14ac:dyDescent="0.25">
      <c r="A1862" s="1">
        <v>43319</v>
      </c>
      <c r="B1862">
        <v>8.3975000381469709</v>
      </c>
      <c r="C1862">
        <f>C1863*(1+G1862*3)</f>
        <v>7.7636284075217921</v>
      </c>
      <c r="D1862">
        <f t="shared" si="58"/>
        <v>8.3725033161853055</v>
      </c>
      <c r="F1862">
        <v>7462.64990234375</v>
      </c>
      <c r="G1862">
        <f t="shared" si="59"/>
        <v>3.180494559519742E-3</v>
      </c>
    </row>
    <row r="1863" spans="1:7" x14ac:dyDescent="0.25">
      <c r="A1863" s="1">
        <v>43318</v>
      </c>
      <c r="B1863">
        <v>8.3162498474121094</v>
      </c>
      <c r="C1863">
        <f>C1864*(1+G1863*3)</f>
        <v>7.6902519936404641</v>
      </c>
      <c r="D1863">
        <f t="shared" si="58"/>
        <v>8.2944233756383188</v>
      </c>
      <c r="F1863">
        <v>7438.990234375</v>
      </c>
      <c r="G1863">
        <f t="shared" si="59"/>
        <v>5.8819630100797049E-3</v>
      </c>
    </row>
    <row r="1864" spans="1:7" x14ac:dyDescent="0.25">
      <c r="A1864" s="1">
        <v>43315</v>
      </c>
      <c r="B1864">
        <v>8.1662502288818306</v>
      </c>
      <c r="C1864">
        <f>C1865*(1+G1864*3)</f>
        <v>7.5569037093726719</v>
      </c>
      <c r="D1864">
        <f t="shared" si="58"/>
        <v>8.1516236250588463</v>
      </c>
      <c r="F1864">
        <v>7395.490234375</v>
      </c>
      <c r="G1864">
        <f t="shared" si="59"/>
        <v>3.1660143025347143E-3</v>
      </c>
    </row>
    <row r="1865" spans="1:7" x14ac:dyDescent="0.25">
      <c r="A1865" s="1">
        <v>43314</v>
      </c>
      <c r="B1865">
        <v>8.09375</v>
      </c>
      <c r="C1865">
        <f>C1866*(1+G1865*3)</f>
        <v>7.4858032291047536</v>
      </c>
      <c r="D1865">
        <f t="shared" si="58"/>
        <v>8.075951108906855</v>
      </c>
      <c r="F1865">
        <v>7372.14990234375</v>
      </c>
      <c r="G1865">
        <f t="shared" si="59"/>
        <v>1.3647912144838514E-2</v>
      </c>
    </row>
    <row r="1866" spans="1:7" x14ac:dyDescent="0.25">
      <c r="A1866" s="1">
        <v>43313</v>
      </c>
      <c r="B1866">
        <v>7.7837500572204501</v>
      </c>
      <c r="C1866">
        <f>C1867*(1+G1866*3)</f>
        <v>7.1913619988198816</v>
      </c>
      <c r="D1866">
        <f t="shared" si="58"/>
        <v>7.759251074298434</v>
      </c>
      <c r="F1866">
        <v>7272.89013671875</v>
      </c>
      <c r="G1866">
        <f t="shared" si="59"/>
        <v>5.6568403619043917E-3</v>
      </c>
    </row>
    <row r="1867" spans="1:7" x14ac:dyDescent="0.25">
      <c r="A1867" s="1">
        <v>43312</v>
      </c>
      <c r="B1867">
        <v>7.67875003814697</v>
      </c>
      <c r="C1867">
        <f>C1868*(1+G1867*3)</f>
        <v>7.0713573793096929</v>
      </c>
      <c r="D1867">
        <f t="shared" si="58"/>
        <v>7.6307298658825387</v>
      </c>
      <c r="F1867">
        <v>7231.97998046875</v>
      </c>
      <c r="G1867">
        <f t="shared" si="59"/>
        <v>5.405163599095264E-3</v>
      </c>
    </row>
    <row r="1868" spans="1:7" x14ac:dyDescent="0.25">
      <c r="A1868" s="1">
        <v>43311</v>
      </c>
      <c r="B1868">
        <v>7.5287499427795401</v>
      </c>
      <c r="C1868">
        <f>C1869*(1+G1868*3)</f>
        <v>6.9585215373579503</v>
      </c>
      <c r="D1868">
        <f t="shared" si="58"/>
        <v>7.509913725776129</v>
      </c>
      <c r="F1868">
        <v>7193.10009765625</v>
      </c>
      <c r="G1868">
        <f t="shared" si="59"/>
        <v>-1.4208964851990524E-2</v>
      </c>
    </row>
    <row r="1869" spans="1:7" x14ac:dyDescent="0.25">
      <c r="A1869" s="1">
        <v>43308</v>
      </c>
      <c r="B1869">
        <v>7.8674998283386204</v>
      </c>
      <c r="C1869">
        <f>C1870*(1+G1869*3)</f>
        <v>7.2683486696971675</v>
      </c>
      <c r="D1869">
        <f t="shared" si="58"/>
        <v>7.8453399132811166</v>
      </c>
      <c r="F1869">
        <v>7296.77978515625</v>
      </c>
      <c r="G1869">
        <f t="shared" si="59"/>
        <v>-1.4048605187818808E-2</v>
      </c>
    </row>
    <row r="1870" spans="1:7" x14ac:dyDescent="0.25">
      <c r="A1870" s="1">
        <v>43307</v>
      </c>
      <c r="B1870">
        <v>8.2100000381469709</v>
      </c>
      <c r="C1870">
        <f>C1871*(1+G1870*3)</f>
        <v>7.5881577674296672</v>
      </c>
      <c r="D1870">
        <f t="shared" si="58"/>
        <v>8.1916308917480816</v>
      </c>
      <c r="F1870">
        <v>7400.75</v>
      </c>
      <c r="G1870">
        <f t="shared" si="59"/>
        <v>-1.4362196630005486E-2</v>
      </c>
    </row>
    <row r="1871" spans="1:7" x14ac:dyDescent="0.25">
      <c r="A1871" s="1">
        <v>43306</v>
      </c>
      <c r="B1871">
        <v>8.5850000381469709</v>
      </c>
      <c r="C1871">
        <f>C1872*(1+G1871*3)</f>
        <v>7.929826969984167</v>
      </c>
      <c r="D1871">
        <f t="shared" si="58"/>
        <v>8.5616171263840588</v>
      </c>
      <c r="F1871">
        <v>7508.58984375</v>
      </c>
      <c r="G1871">
        <f t="shared" si="59"/>
        <v>1.3818037974683506E-2</v>
      </c>
    </row>
    <row r="1872" spans="1:7" x14ac:dyDescent="0.25">
      <c r="A1872" s="1">
        <v>43305</v>
      </c>
      <c r="B1872">
        <v>8.2412500381469709</v>
      </c>
      <c r="C1872">
        <f>C1873*(1+G1872*3)</f>
        <v>7.6141875709777649</v>
      </c>
      <c r="D1872">
        <f t="shared" si="58"/>
        <v>8.2218399164188547</v>
      </c>
      <c r="F1872">
        <v>7406.25</v>
      </c>
      <c r="G1872">
        <f t="shared" si="59"/>
        <v>4.6759691483404531E-3</v>
      </c>
    </row>
    <row r="1873" spans="1:7" x14ac:dyDescent="0.25">
      <c r="A1873" s="1">
        <v>43304</v>
      </c>
      <c r="B1873">
        <v>8.1374998092651296</v>
      </c>
      <c r="C1873">
        <f>C1874*(1+G1873*3)</f>
        <v>7.50885406118923</v>
      </c>
      <c r="D1873">
        <f t="shared" si="58"/>
        <v>8.1091233426681182</v>
      </c>
      <c r="F1873">
        <v>7371.77978515625</v>
      </c>
      <c r="G1873">
        <f t="shared" si="59"/>
        <v>2.9318544786711698E-3</v>
      </c>
    </row>
    <row r="1874" spans="1:7" x14ac:dyDescent="0.25">
      <c r="A1874" s="1">
        <v>43301</v>
      </c>
      <c r="B1874">
        <v>8.0675001144409109</v>
      </c>
      <c r="C1874">
        <f>C1875*(1+G1874*3)</f>
        <v>7.4433852936601523</v>
      </c>
      <c r="D1874">
        <f t="shared" si="58"/>
        <v>8.0394404768981822</v>
      </c>
      <c r="F1874">
        <v>7350.22998046875</v>
      </c>
      <c r="G1874">
        <f t="shared" si="59"/>
        <v>-2.8968696474407363E-4</v>
      </c>
    </row>
    <row r="1875" spans="1:7" x14ac:dyDescent="0.25">
      <c r="A1875" s="1">
        <v>43300</v>
      </c>
      <c r="B1875">
        <v>8.0787496566772408</v>
      </c>
      <c r="C1875">
        <f>C1876*(1+G1875*3)</f>
        <v>7.4498596753715356</v>
      </c>
      <c r="D1875">
        <f t="shared" si="58"/>
        <v>8.0474637823825468</v>
      </c>
      <c r="F1875">
        <v>7352.35986328125</v>
      </c>
      <c r="G1875">
        <f t="shared" si="59"/>
        <v>-5.1108735746435707E-3</v>
      </c>
    </row>
    <row r="1876" spans="1:7" x14ac:dyDescent="0.25">
      <c r="A1876" s="1">
        <v>43299</v>
      </c>
      <c r="B1876">
        <v>8.1999998092651296</v>
      </c>
      <c r="C1876">
        <f>C1877*(1+G1876*3)</f>
        <v>7.565864201623798</v>
      </c>
      <c r="D1876">
        <f t="shared" si="58"/>
        <v>8.1738358443355725</v>
      </c>
      <c r="F1876">
        <v>7390.1298828125</v>
      </c>
      <c r="G1876">
        <f t="shared" si="59"/>
        <v>-1.8585167597243712E-3</v>
      </c>
    </row>
    <row r="1877" spans="1:7" x14ac:dyDescent="0.25">
      <c r="A1877" s="1">
        <v>43298</v>
      </c>
      <c r="B1877">
        <v>8.2524995803833008</v>
      </c>
      <c r="C1877">
        <f>C1878*(1+G1877*3)</f>
        <v>7.6082845748089021</v>
      </c>
      <c r="D1877">
        <f t="shared" si="58"/>
        <v>8.2207226323566278</v>
      </c>
      <c r="F1877">
        <v>7403.89013671875</v>
      </c>
      <c r="G1877">
        <f t="shared" si="59"/>
        <v>6.2504566500489744E-3</v>
      </c>
    </row>
    <row r="1878" spans="1:7" x14ac:dyDescent="0.25">
      <c r="A1878" s="1">
        <v>43297</v>
      </c>
      <c r="B1878">
        <v>8.1024999618530202</v>
      </c>
      <c r="C1878">
        <f>C1879*(1+G1878*3)</f>
        <v>7.4682447545383104</v>
      </c>
      <c r="D1878">
        <f t="shared" si="58"/>
        <v>8.0704236398627476</v>
      </c>
      <c r="F1878">
        <v>7357.89990234375</v>
      </c>
      <c r="G1878">
        <f t="shared" si="59"/>
        <v>-2.429549840162748E-3</v>
      </c>
    </row>
    <row r="1879" spans="1:7" x14ac:dyDescent="0.25">
      <c r="A1879" s="1">
        <v>43294</v>
      </c>
      <c r="B1879">
        <v>8.1575002670287997</v>
      </c>
      <c r="C1879">
        <f>C1880*(1+G1879*3)</f>
        <v>7.523077832172369</v>
      </c>
      <c r="D1879">
        <f t="shared" si="58"/>
        <v>8.1307258728230867</v>
      </c>
      <c r="F1879">
        <v>7375.81982421875</v>
      </c>
      <c r="G1879">
        <f t="shared" si="59"/>
        <v>1.2991446419481356E-3</v>
      </c>
    </row>
    <row r="1880" spans="1:7" x14ac:dyDescent="0.25">
      <c r="A1880" s="1">
        <v>43293</v>
      </c>
      <c r="B1880">
        <v>8.1337499618530202</v>
      </c>
      <c r="C1880">
        <f>C1881*(1+G1880*3)</f>
        <v>7.4938709652365558</v>
      </c>
      <c r="D1880">
        <f t="shared" si="58"/>
        <v>8.1001922241815159</v>
      </c>
      <c r="F1880">
        <v>7366.25</v>
      </c>
      <c r="G1880">
        <f t="shared" si="59"/>
        <v>1.6878845587772862E-2</v>
      </c>
    </row>
    <row r="1881" spans="1:7" x14ac:dyDescent="0.25">
      <c r="A1881" s="1">
        <v>43292</v>
      </c>
      <c r="B1881">
        <v>7.7512497901916504</v>
      </c>
      <c r="C1881">
        <f>C1882*(1+G1881*3)</f>
        <v>7.132695944805822</v>
      </c>
      <c r="D1881">
        <f t="shared" si="58"/>
        <v>7.7107338550131157</v>
      </c>
      <c r="F1881">
        <v>7243.97998046875</v>
      </c>
      <c r="G1881">
        <f t="shared" si="59"/>
        <v>-5.3030671284461928E-3</v>
      </c>
    </row>
    <row r="1882" spans="1:7" x14ac:dyDescent="0.25">
      <c r="A1882" s="1">
        <v>43291</v>
      </c>
      <c r="B1882">
        <v>7.86625003814697</v>
      </c>
      <c r="C1882">
        <f>C1883*(1+G1882*3)</f>
        <v>7.2480059308010647</v>
      </c>
      <c r="D1882">
        <f t="shared" si="58"/>
        <v>7.8364074060398279</v>
      </c>
      <c r="F1882">
        <v>7282.60009765625</v>
      </c>
      <c r="G1882">
        <f t="shared" si="59"/>
        <v>9.0710523038062263E-4</v>
      </c>
    </row>
    <row r="1883" spans="1:7" x14ac:dyDescent="0.25">
      <c r="A1883" s="1">
        <v>43290</v>
      </c>
      <c r="B1883">
        <v>7.8474998474120996</v>
      </c>
      <c r="C1883">
        <f>C1884*(1+G1883*3)</f>
        <v>7.2283353483966373</v>
      </c>
      <c r="D1883">
        <f t="shared" si="58"/>
        <v>7.8161372033790846</v>
      </c>
      <c r="F1883">
        <v>7276</v>
      </c>
      <c r="G1883">
        <f t="shared" si="59"/>
        <v>9.5277892271674602E-3</v>
      </c>
    </row>
    <row r="1884" spans="1:7" x14ac:dyDescent="0.25">
      <c r="A1884" s="1">
        <v>43287</v>
      </c>
      <c r="B1884">
        <v>7.6350002288818297</v>
      </c>
      <c r="C1884">
        <f>C1885*(1+G1884*3)</f>
        <v>7.0274666842900659</v>
      </c>
      <c r="D1884">
        <f t="shared" si="58"/>
        <v>7.5998793639325308</v>
      </c>
      <c r="F1884">
        <v>7207.330078125</v>
      </c>
      <c r="G1884">
        <f t="shared" si="59"/>
        <v>1.4966839602694071E-2</v>
      </c>
    </row>
    <row r="1885" spans="1:7" x14ac:dyDescent="0.25">
      <c r="A1885" s="1">
        <v>43286</v>
      </c>
      <c r="B1885">
        <v>7.3062500953674299</v>
      </c>
      <c r="C1885">
        <f>C1886*(1+G1885*3)</f>
        <v>6.7254887501695331</v>
      </c>
      <c r="D1885">
        <f t="shared" si="58"/>
        <v>7.2741948795399392</v>
      </c>
      <c r="F1885">
        <v>7101.0498046875</v>
      </c>
      <c r="G1885">
        <f t="shared" si="59"/>
        <v>1.2331511274208395E-2</v>
      </c>
    </row>
    <row r="1886" spans="1:7" x14ac:dyDescent="0.25">
      <c r="A1886" s="1">
        <v>43284</v>
      </c>
      <c r="B1886">
        <v>7.0475001335143999</v>
      </c>
      <c r="C1886">
        <f>C1887*(1+G1886*3)</f>
        <v>6.4855585355668888</v>
      </c>
      <c r="D1886">
        <f t="shared" si="58"/>
        <v>7.0155552341421012</v>
      </c>
      <c r="F1886">
        <v>7014.5498046875</v>
      </c>
      <c r="G1886">
        <f t="shared" si="59"/>
        <v>-1.1731774205809065E-2</v>
      </c>
    </row>
    <row r="1887" spans="1:7" x14ac:dyDescent="0.25">
      <c r="A1887" s="1">
        <v>43283</v>
      </c>
      <c r="B1887">
        <v>7.2987499237060502</v>
      </c>
      <c r="C1887">
        <f>C1888*(1+G1887*3)</f>
        <v>6.7221466557994081</v>
      </c>
      <c r="D1887">
        <f t="shared" si="58"/>
        <v>7.2724415769568358</v>
      </c>
      <c r="F1887">
        <v>7097.81982421875</v>
      </c>
      <c r="G1887">
        <f t="shared" si="59"/>
        <v>8.0985145314440565E-3</v>
      </c>
    </row>
    <row r="1888" spans="1:7" x14ac:dyDescent="0.25">
      <c r="A1888" s="1">
        <v>43280</v>
      </c>
      <c r="B1888">
        <v>7.13875007629394</v>
      </c>
      <c r="C1888">
        <f>C1889*(1+G1888*3)</f>
        <v>6.5627022374918047</v>
      </c>
      <c r="D1888">
        <f t="shared" si="58"/>
        <v>7.1008314762630116</v>
      </c>
      <c r="F1888">
        <v>7040.7998046875</v>
      </c>
      <c r="G1888">
        <f t="shared" si="59"/>
        <v>1.3083376334663832E-3</v>
      </c>
    </row>
    <row r="1889" spans="1:7" x14ac:dyDescent="0.25">
      <c r="A1889" s="1">
        <v>43279</v>
      </c>
      <c r="B1889">
        <v>7.1062498092651296</v>
      </c>
      <c r="C1889">
        <f>C1890*(1+G1889*3)</f>
        <v>6.5370442544625593</v>
      </c>
      <c r="D1889">
        <f t="shared" si="58"/>
        <v>7.0739710720987068</v>
      </c>
      <c r="F1889">
        <v>7031.60009765625</v>
      </c>
      <c r="G1889">
        <f t="shared" si="59"/>
        <v>8.8856683997151631E-3</v>
      </c>
    </row>
    <row r="1890" spans="1:7" x14ac:dyDescent="0.25">
      <c r="A1890" s="1">
        <v>43278</v>
      </c>
      <c r="B1890">
        <v>6.9362502098083496</v>
      </c>
      <c r="C1890">
        <f>C1891*(1+G1890*3)</f>
        <v>6.367310816911572</v>
      </c>
      <c r="D1890">
        <f t="shared" ref="D1890:D1953" si="60">D1891*(1+3*G1890-0.000127937129161102)</f>
        <v>6.8911551480940956</v>
      </c>
      <c r="F1890">
        <v>6969.669921875</v>
      </c>
      <c r="G1890">
        <f t="shared" si="59"/>
        <v>-1.3939938133450624E-2</v>
      </c>
    </row>
    <row r="1891" spans="1:7" x14ac:dyDescent="0.25">
      <c r="A1891" s="1">
        <v>43277</v>
      </c>
      <c r="B1891">
        <v>7.2262501716613698</v>
      </c>
      <c r="C1891">
        <f>C1892*(1+G1891*3)</f>
        <v>6.6452123646522523</v>
      </c>
      <c r="D1891">
        <f t="shared" si="60"/>
        <v>7.1928803038620277</v>
      </c>
      <c r="F1891">
        <v>7068.2001953125</v>
      </c>
      <c r="G1891">
        <f t="shared" si="59"/>
        <v>4.2667730064549492E-3</v>
      </c>
    </row>
    <row r="1892" spans="1:7" x14ac:dyDescent="0.25">
      <c r="A1892" s="1">
        <v>43276</v>
      </c>
      <c r="B1892">
        <v>7.14750003814697</v>
      </c>
      <c r="C1892">
        <f>C1893*(1+G1892*3)</f>
        <v>6.561226571380252</v>
      </c>
      <c r="D1892">
        <f t="shared" si="60"/>
        <v>7.1028700224214241</v>
      </c>
      <c r="F1892">
        <v>7038.169921875</v>
      </c>
      <c r="G1892">
        <f t="shared" si="59"/>
        <v>-2.2138190699094284E-2</v>
      </c>
    </row>
    <row r="1893" spans="1:7" x14ac:dyDescent="0.25">
      <c r="A1893" s="1">
        <v>43273</v>
      </c>
      <c r="B1893">
        <v>7.6350002288818297</v>
      </c>
      <c r="C1893">
        <f>C1894*(1+G1893*3)</f>
        <v>7.0279873435042033</v>
      </c>
      <c r="D1893">
        <f t="shared" si="60"/>
        <v>7.6092056602762677</v>
      </c>
      <c r="F1893">
        <v>7197.509765625</v>
      </c>
      <c r="G1893">
        <f t="shared" si="59"/>
        <v>-2.7683402541839319E-3</v>
      </c>
    </row>
    <row r="1894" spans="1:7" x14ac:dyDescent="0.25">
      <c r="A1894" s="1">
        <v>43272</v>
      </c>
      <c r="B1894">
        <v>7.7125000953674299</v>
      </c>
      <c r="C1894">
        <f>C1895*(1+G1894*3)</f>
        <v>7.0868437278045802</v>
      </c>
      <c r="D1894">
        <f t="shared" si="60"/>
        <v>7.673919500286579</v>
      </c>
      <c r="F1894">
        <v>7217.490234375</v>
      </c>
      <c r="G1894">
        <f t="shared" si="59"/>
        <v>-8.6818519155885676E-3</v>
      </c>
    </row>
    <row r="1895" spans="1:7" x14ac:dyDescent="0.25">
      <c r="A1895" s="1">
        <v>43271</v>
      </c>
      <c r="B1895">
        <v>7.9175000190734801</v>
      </c>
      <c r="C1895">
        <f>C1896*(1+G1895*3)</f>
        <v>7.2763605830027469</v>
      </c>
      <c r="D1895">
        <f t="shared" si="60"/>
        <v>7.8801711024989194</v>
      </c>
      <c r="F1895">
        <v>7280.7001953125</v>
      </c>
      <c r="G1895">
        <f t="shared" si="59"/>
        <v>7.2855374299822806E-3</v>
      </c>
    </row>
    <row r="1896" spans="1:7" x14ac:dyDescent="0.25">
      <c r="A1896" s="1">
        <v>43270</v>
      </c>
      <c r="B1896">
        <v>7.75500011444091</v>
      </c>
      <c r="C1896">
        <f>C1897*(1+G1896*3)</f>
        <v>7.1207256433920447</v>
      </c>
      <c r="D1896">
        <f t="shared" si="60"/>
        <v>7.7125868090751641</v>
      </c>
      <c r="F1896">
        <v>7228.0400390625</v>
      </c>
      <c r="G1896">
        <f t="shared" si="59"/>
        <v>-3.222837583853555E-3</v>
      </c>
    </row>
    <row r="1897" spans="1:7" x14ac:dyDescent="0.25">
      <c r="A1897" s="1">
        <v>43269</v>
      </c>
      <c r="B1897">
        <v>7.8249998092651296</v>
      </c>
      <c r="C1897">
        <f>C1898*(1+G1897*3)</f>
        <v>7.1902446151403696</v>
      </c>
      <c r="D1897">
        <f t="shared" si="60"/>
        <v>7.7888902823526731</v>
      </c>
      <c r="F1897">
        <v>7251.41015625</v>
      </c>
      <c r="G1897">
        <f t="shared" si="59"/>
        <v>-5.9946987159176235E-4</v>
      </c>
    </row>
    <row r="1898" spans="1:7" x14ac:dyDescent="0.25">
      <c r="A1898" s="1">
        <v>43266</v>
      </c>
      <c r="B1898">
        <v>7.8425002098083496</v>
      </c>
      <c r="C1898">
        <f>C1899*(1+G1898*3)</f>
        <v>7.203198917330436</v>
      </c>
      <c r="D1898">
        <f t="shared" si="60"/>
        <v>7.8039233446776226</v>
      </c>
      <c r="F1898">
        <v>7255.759765625</v>
      </c>
      <c r="G1898">
        <f t="shared" si="59"/>
        <v>-3.2735468119071687E-3</v>
      </c>
    </row>
    <row r="1899" spans="1:7" x14ac:dyDescent="0.25">
      <c r="A1899" s="1">
        <v>43265</v>
      </c>
      <c r="B1899">
        <v>7.9212498664855904</v>
      </c>
      <c r="C1899">
        <f>C1900*(1+G1899*3)</f>
        <v>7.2746405464361059</v>
      </c>
      <c r="D1899">
        <f t="shared" si="60"/>
        <v>7.8823414297847236</v>
      </c>
      <c r="F1899">
        <v>7279.58984375</v>
      </c>
      <c r="G1899">
        <f t="shared" si="59"/>
        <v>1.0316085823805388E-2</v>
      </c>
    </row>
    <row r="1900" spans="1:7" x14ac:dyDescent="0.25">
      <c r="A1900" s="1">
        <v>43264</v>
      </c>
      <c r="B1900">
        <v>7.6875</v>
      </c>
      <c r="C1900">
        <f>C1901*(1+G1900*3)</f>
        <v>7.0562615472850743</v>
      </c>
      <c r="D1900">
        <f t="shared" si="60"/>
        <v>7.6466686523676728</v>
      </c>
      <c r="F1900">
        <v>7205.259765625</v>
      </c>
      <c r="G1900">
        <f t="shared" si="59"/>
        <v>-5.4380804206011213E-4</v>
      </c>
    </row>
    <row r="1901" spans="1:7" x14ac:dyDescent="0.25">
      <c r="A1901" s="1">
        <v>43263</v>
      </c>
      <c r="B1901">
        <v>7.6962499618530202</v>
      </c>
      <c r="C1901">
        <f>C1902*(1+G1901*3)</f>
        <v>7.0677921138584496</v>
      </c>
      <c r="D1901">
        <f t="shared" si="60"/>
        <v>7.6601456157743399</v>
      </c>
      <c r="F1901">
        <v>7209.18017578125</v>
      </c>
      <c r="G1901">
        <f t="shared" si="59"/>
        <v>5.6776604556882937E-3</v>
      </c>
    </row>
    <row r="1902" spans="1:7" x14ac:dyDescent="0.25">
      <c r="A1902" s="1">
        <v>43262</v>
      </c>
      <c r="B1902">
        <v>7.57625007629394</v>
      </c>
      <c r="C1902">
        <f>C1903*(1+G1902*3)</f>
        <v>6.9494227260537196</v>
      </c>
      <c r="D1902">
        <f t="shared" si="60"/>
        <v>7.5328032437040973</v>
      </c>
      <c r="F1902">
        <v>7168.47998046875</v>
      </c>
      <c r="G1902">
        <f t="shared" si="59"/>
        <v>2.2173501488131908E-3</v>
      </c>
    </row>
    <row r="1903" spans="1:7" x14ac:dyDescent="0.25">
      <c r="A1903" s="1">
        <v>43259</v>
      </c>
      <c r="B1903">
        <v>7.5174999237060502</v>
      </c>
      <c r="C1903">
        <f>C1904*(1+G1903*3)</f>
        <v>6.9035002938420718</v>
      </c>
      <c r="D1903">
        <f t="shared" si="60"/>
        <v>7.4839769301479144</v>
      </c>
      <c r="F1903">
        <v>7152.6201171875</v>
      </c>
      <c r="G1903">
        <f t="shared" si="59"/>
        <v>-2.9353547505883704E-5</v>
      </c>
    </row>
    <row r="1904" spans="1:7" x14ac:dyDescent="0.25">
      <c r="A1904" s="1">
        <v>43258</v>
      </c>
      <c r="B1904">
        <v>7.52250003814697</v>
      </c>
      <c r="C1904">
        <f>C1905*(1+G1904*3)</f>
        <v>6.904108274052696</v>
      </c>
      <c r="D1904">
        <f t="shared" si="60"/>
        <v>7.4855938017287809</v>
      </c>
      <c r="F1904">
        <v>7152.830078125</v>
      </c>
      <c r="G1904">
        <f t="shared" si="59"/>
        <v>-7.9402724213415432E-3</v>
      </c>
    </row>
    <row r="1905" spans="1:7" x14ac:dyDescent="0.25">
      <c r="A1905" s="1">
        <v>43257</v>
      </c>
      <c r="B1905">
        <v>7.70125007629394</v>
      </c>
      <c r="C1905">
        <f>C1906*(1+G1905*3)</f>
        <v>7.0725829808235439</v>
      </c>
      <c r="D1905">
        <f t="shared" si="60"/>
        <v>7.6692631000895481</v>
      </c>
      <c r="F1905">
        <v>7210.080078125</v>
      </c>
      <c r="G1905">
        <f t="shared" si="59"/>
        <v>6.0459871106151031E-3</v>
      </c>
    </row>
    <row r="1906" spans="1:7" x14ac:dyDescent="0.25">
      <c r="A1906" s="1">
        <v>43256</v>
      </c>
      <c r="B1906">
        <v>7.57625007629394</v>
      </c>
      <c r="C1906">
        <f>C1907*(1+G1906*3)</f>
        <v>6.9465860712744334</v>
      </c>
      <c r="D1906">
        <f t="shared" si="60"/>
        <v>7.5335830863710731</v>
      </c>
      <c r="F1906">
        <v>7166.75</v>
      </c>
      <c r="G1906">
        <f t="shared" si="59"/>
        <v>3.2449008481252317E-3</v>
      </c>
    </row>
    <row r="1907" spans="1:7" x14ac:dyDescent="0.25">
      <c r="A1907" s="1">
        <v>43255</v>
      </c>
      <c r="B1907">
        <v>7.4987502098083496</v>
      </c>
      <c r="C1907">
        <f>C1908*(1+G1907*3)</f>
        <v>6.8796150649968828</v>
      </c>
      <c r="D1907">
        <f t="shared" si="60"/>
        <v>7.4618983790909761</v>
      </c>
      <c r="F1907">
        <v>7143.56982421875</v>
      </c>
      <c r="G1907">
        <f t="shared" si="59"/>
        <v>8.4190056871815688E-3</v>
      </c>
    </row>
    <row r="1908" spans="1:7" x14ac:dyDescent="0.25">
      <c r="A1908" s="1">
        <v>43252</v>
      </c>
      <c r="B1908">
        <v>7.3112502098083496</v>
      </c>
      <c r="C1908">
        <f>C1909*(1+G1908*3)</f>
        <v>6.7101370198024304</v>
      </c>
      <c r="D1908">
        <f t="shared" si="60"/>
        <v>7.2789842032216621</v>
      </c>
      <c r="F1908">
        <v>7083.93017578125</v>
      </c>
      <c r="G1908">
        <f t="shared" si="59"/>
        <v>1.6676908496486176E-2</v>
      </c>
    </row>
    <row r="1909" spans="1:7" x14ac:dyDescent="0.25">
      <c r="A1909" s="1">
        <v>43251</v>
      </c>
      <c r="B1909">
        <v>6.9862499237060502</v>
      </c>
      <c r="C1909">
        <f>C1910*(1+G1909*3)</f>
        <v>6.3904196866949627</v>
      </c>
      <c r="D1909">
        <f t="shared" si="60"/>
        <v>6.9330077831203143</v>
      </c>
      <c r="F1909">
        <v>6967.72998046875</v>
      </c>
      <c r="G1909">
        <f t="shared" si="59"/>
        <v>-1.2384859996839026E-3</v>
      </c>
    </row>
    <row r="1910" spans="1:7" x14ac:dyDescent="0.25">
      <c r="A1910" s="1">
        <v>43250</v>
      </c>
      <c r="B1910">
        <v>7.0012497901916504</v>
      </c>
      <c r="C1910">
        <f>C1911*(1+G1910*3)</f>
        <v>6.4142515689949144</v>
      </c>
      <c r="D1910">
        <f t="shared" si="60"/>
        <v>6.9597568788018469</v>
      </c>
      <c r="F1910">
        <v>6976.3701171875</v>
      </c>
      <c r="G1910">
        <f t="shared" si="59"/>
        <v>7.1940792724767277E-3</v>
      </c>
    </row>
    <row r="1911" spans="1:7" x14ac:dyDescent="0.25">
      <c r="A1911" s="1">
        <v>43249</v>
      </c>
      <c r="B1911">
        <v>6.8550000190734801</v>
      </c>
      <c r="C1911">
        <f>C1912*(1+G1911*3)</f>
        <v>6.2787422603379515</v>
      </c>
      <c r="D1911">
        <f t="shared" si="60"/>
        <v>6.8135763627528645</v>
      </c>
      <c r="F1911">
        <v>6926.5400390625</v>
      </c>
      <c r="G1911">
        <f t="shared" si="59"/>
        <v>-4.9389855361587909E-3</v>
      </c>
    </row>
    <row r="1912" spans="1:7" x14ac:dyDescent="0.25">
      <c r="A1912" s="1">
        <v>43245</v>
      </c>
      <c r="B1912">
        <v>6.9437499046325604</v>
      </c>
      <c r="C1912">
        <f>C1913*(1+G1912*3)</f>
        <v>6.373173292470792</v>
      </c>
      <c r="D1912">
        <f t="shared" si="60"/>
        <v>6.9169494370786158</v>
      </c>
      <c r="F1912">
        <v>6960.919921875</v>
      </c>
      <c r="G1912">
        <f t="shared" si="59"/>
        <v>1.6144187874560512E-3</v>
      </c>
    </row>
    <row r="1913" spans="1:7" x14ac:dyDescent="0.25">
      <c r="A1913" s="1">
        <v>43244</v>
      </c>
      <c r="B1913">
        <v>6.9262499809265101</v>
      </c>
      <c r="C1913">
        <f>C1914*(1+G1913*3)</f>
        <v>6.3424551561825764</v>
      </c>
      <c r="D1913">
        <f t="shared" si="60"/>
        <v>6.884486883665307</v>
      </c>
      <c r="F1913">
        <v>6949.7001953125</v>
      </c>
      <c r="G1913">
        <f t="shared" si="59"/>
        <v>-5.6512750408432844E-4</v>
      </c>
    </row>
    <row r="1914" spans="1:7" x14ac:dyDescent="0.25">
      <c r="A1914" s="1">
        <v>43243</v>
      </c>
      <c r="B1914">
        <v>6.9320831298828098</v>
      </c>
      <c r="C1914">
        <f>C1915*(1+G1914*3)</f>
        <v>6.3532263049563849</v>
      </c>
      <c r="D1914">
        <f t="shared" si="60"/>
        <v>6.8970624330675783</v>
      </c>
      <c r="F1914">
        <v>6953.6298828125</v>
      </c>
      <c r="G1914">
        <f t="shared" si="59"/>
        <v>8.7051164126930036E-3</v>
      </c>
    </row>
    <row r="1915" spans="1:7" x14ac:dyDescent="0.25">
      <c r="A1915" s="1">
        <v>43242</v>
      </c>
      <c r="B1915">
        <v>6.7620830535888601</v>
      </c>
      <c r="C1915">
        <f>C1916*(1+G1915*3)</f>
        <v>6.1915322772179984</v>
      </c>
      <c r="D1915">
        <f t="shared" si="60"/>
        <v>6.722365549193885</v>
      </c>
      <c r="F1915">
        <v>6893.6201171875</v>
      </c>
      <c r="G1915">
        <f t="shared" si="59"/>
        <v>-1.7246566649166128E-3</v>
      </c>
    </row>
    <row r="1916" spans="1:7" x14ac:dyDescent="0.25">
      <c r="A1916" s="1">
        <v>43241</v>
      </c>
      <c r="B1916">
        <v>6.7975001335143999</v>
      </c>
      <c r="C1916">
        <f>C1917*(1+G1916*3)</f>
        <v>6.2237336885780143</v>
      </c>
      <c r="D1916">
        <f t="shared" si="60"/>
        <v>6.7581968813840883</v>
      </c>
      <c r="F1916">
        <v>6905.52978515625</v>
      </c>
      <c r="G1916">
        <f t="shared" si="59"/>
        <v>5.7207041916984558E-3</v>
      </c>
    </row>
    <row r="1917" spans="1:7" x14ac:dyDescent="0.25">
      <c r="A1917" s="1">
        <v>43238</v>
      </c>
      <c r="B1917">
        <v>6.6808328628540004</v>
      </c>
      <c r="C1917">
        <f>C1918*(1+G1917*3)</f>
        <v>6.1187234676109963</v>
      </c>
      <c r="D1917">
        <f t="shared" si="60"/>
        <v>6.645004705393359</v>
      </c>
      <c r="F1917">
        <v>6866.25</v>
      </c>
      <c r="G1917">
        <f t="shared" si="59"/>
        <v>-5.126308337775165E-3</v>
      </c>
    </row>
    <row r="1918" spans="1:7" x14ac:dyDescent="0.25">
      <c r="A1918" s="1">
        <v>43237</v>
      </c>
      <c r="B1918">
        <v>6.7895832061767498</v>
      </c>
      <c r="C1918">
        <f>C1919*(1+G1918*3)</f>
        <v>6.2142926076346727</v>
      </c>
      <c r="D1918">
        <f t="shared" si="60"/>
        <v>6.7496709218861994</v>
      </c>
      <c r="F1918">
        <v>6901.6298828125</v>
      </c>
      <c r="G1918">
        <f t="shared" si="59"/>
        <v>-4.0895315784397201E-3</v>
      </c>
    </row>
    <row r="1919" spans="1:7" x14ac:dyDescent="0.25">
      <c r="A1919" s="1">
        <v>43236</v>
      </c>
      <c r="B1919">
        <v>6.86708307266235</v>
      </c>
      <c r="C1919">
        <f>C1920*(1+G1919*3)</f>
        <v>6.2914802288476777</v>
      </c>
      <c r="D1919">
        <f t="shared" si="60"/>
        <v>6.8343937011772464</v>
      </c>
      <c r="F1919">
        <v>6929.97021484375</v>
      </c>
      <c r="G1919">
        <f t="shared" si="59"/>
        <v>6.0143623389445899E-3</v>
      </c>
    </row>
    <row r="1920" spans="1:7" x14ac:dyDescent="0.25">
      <c r="A1920" s="1">
        <v>43235</v>
      </c>
      <c r="B1920">
        <v>6.7429170608520499</v>
      </c>
      <c r="C1920">
        <f>C1921*(1+G1920*3)</f>
        <v>6.1799744127565059</v>
      </c>
      <c r="D1920">
        <f t="shared" si="60"/>
        <v>6.7141094244755317</v>
      </c>
      <c r="F1920">
        <v>6888.5400390625</v>
      </c>
      <c r="G1920">
        <f t="shared" si="59"/>
        <v>-1.0888289514920713E-2</v>
      </c>
    </row>
    <row r="1921" spans="1:7" x14ac:dyDescent="0.25">
      <c r="A1921" s="1">
        <v>43234</v>
      </c>
      <c r="B1921">
        <v>6.9683327674865696</v>
      </c>
      <c r="C1921">
        <f>C1922*(1+G1921*3)</f>
        <v>6.3886591231928973</v>
      </c>
      <c r="D1921">
        <f t="shared" si="60"/>
        <v>6.9417488453999123</v>
      </c>
      <c r="F1921">
        <v>6964.3701171875</v>
      </c>
      <c r="G1921">
        <f t="shared" si="59"/>
        <v>1.6986632972917359E-3</v>
      </c>
    </row>
    <row r="1922" spans="1:7" x14ac:dyDescent="0.25">
      <c r="A1922" s="1">
        <v>43231</v>
      </c>
      <c r="B1922">
        <v>6.9375</v>
      </c>
      <c r="C1922">
        <f>C1923*(1+G1922*3)</f>
        <v>6.3562676475111273</v>
      </c>
      <c r="D1922">
        <f t="shared" si="60"/>
        <v>6.9074323569954803</v>
      </c>
      <c r="F1922">
        <v>6952.56005859375</v>
      </c>
      <c r="G1922">
        <f t="shared" ref="G1922:G1985" si="61">F1922/F1923-1</f>
        <v>-1.5781815886994899E-3</v>
      </c>
    </row>
    <row r="1923" spans="1:7" x14ac:dyDescent="0.25">
      <c r="A1923" s="1">
        <v>43230</v>
      </c>
      <c r="B1923">
        <v>6.9583330154418901</v>
      </c>
      <c r="C1923">
        <f>C1924*(1+G1923*3)</f>
        <v>6.3865048405777474</v>
      </c>
      <c r="D1923">
        <f t="shared" si="60"/>
        <v>6.9411837372495269</v>
      </c>
      <c r="F1923">
        <v>6963.5498046875</v>
      </c>
      <c r="G1923">
        <f t="shared" si="61"/>
        <v>1.020422185724823E-2</v>
      </c>
    </row>
    <row r="1924" spans="1:7" x14ac:dyDescent="0.25">
      <c r="A1924" s="1">
        <v>43229</v>
      </c>
      <c r="B1924">
        <v>6.7483329772949201</v>
      </c>
      <c r="C1924">
        <f>C1925*(1+G1924*3)</f>
        <v>6.1968041475938564</v>
      </c>
      <c r="D1924">
        <f t="shared" si="60"/>
        <v>6.7358433809495075</v>
      </c>
      <c r="F1924">
        <v>6893.2099609375</v>
      </c>
      <c r="G1924">
        <f t="shared" si="61"/>
        <v>1.1404916556354339E-2</v>
      </c>
    </row>
    <row r="1925" spans="1:7" x14ac:dyDescent="0.25">
      <c r="A1925" s="1">
        <v>43228</v>
      </c>
      <c r="B1925">
        <v>6.5295829772949201</v>
      </c>
      <c r="C1925">
        <f>C1926*(1+G1925*3)</f>
        <v>5.9917963358932598</v>
      </c>
      <c r="D1925">
        <f t="shared" si="60"/>
        <v>6.5138084146001951</v>
      </c>
      <c r="F1925">
        <v>6815.47998046875</v>
      </c>
      <c r="G1925">
        <f t="shared" si="61"/>
        <v>-9.367133365161262E-4</v>
      </c>
    </row>
    <row r="1926" spans="1:7" x14ac:dyDescent="0.25">
      <c r="A1926" s="1">
        <v>43227</v>
      </c>
      <c r="B1926">
        <v>6.5512499809265101</v>
      </c>
      <c r="C1926">
        <f>C1927*(1+G1926*3)</f>
        <v>6.0086815723844538</v>
      </c>
      <c r="D1926">
        <f t="shared" si="60"/>
        <v>6.5330028810120204</v>
      </c>
      <c r="F1926">
        <v>6821.8701171875</v>
      </c>
      <c r="G1926">
        <f t="shared" si="61"/>
        <v>7.7927410190377078E-3</v>
      </c>
    </row>
    <row r="1927" spans="1:7" x14ac:dyDescent="0.25">
      <c r="A1927" s="1">
        <v>43224</v>
      </c>
      <c r="B1927">
        <v>6.3991670608520499</v>
      </c>
      <c r="C1927">
        <f>C1928*(1+G1927*3)</f>
        <v>5.8714182469457521</v>
      </c>
      <c r="D1927">
        <f t="shared" si="60"/>
        <v>6.3845600346815008</v>
      </c>
      <c r="F1927">
        <v>6769.1201171875</v>
      </c>
      <c r="G1927">
        <f t="shared" si="61"/>
        <v>1.8911795788972174E-2</v>
      </c>
    </row>
    <row r="1928" spans="1:7" x14ac:dyDescent="0.25">
      <c r="A1928" s="1">
        <v>43223</v>
      </c>
      <c r="B1928">
        <v>6.0583329200744602</v>
      </c>
      <c r="C1928">
        <f>C1929*(1+G1928*3)</f>
        <v>5.5561858882909689</v>
      </c>
      <c r="D1928">
        <f t="shared" si="60"/>
        <v>6.0425090067696017</v>
      </c>
      <c r="F1928">
        <v>6643.47998046875</v>
      </c>
      <c r="G1928">
        <f t="shared" si="61"/>
        <v>-1.5050086732737444E-4</v>
      </c>
    </row>
    <row r="1929" spans="1:7" x14ac:dyDescent="0.25">
      <c r="A1929" s="1">
        <v>43222</v>
      </c>
      <c r="B1929">
        <v>6.0579171180725098</v>
      </c>
      <c r="C1929">
        <f>C1930*(1+G1929*3)</f>
        <v>5.5586956538423058</v>
      </c>
      <c r="D1929">
        <f t="shared" si="60"/>
        <v>6.046012306514978</v>
      </c>
      <c r="F1929">
        <v>6644.47998046875</v>
      </c>
      <c r="G1929">
        <f t="shared" si="61"/>
        <v>-5.609129759510223E-3</v>
      </c>
    </row>
    <row r="1930" spans="1:7" x14ac:dyDescent="0.25">
      <c r="A1930" s="1">
        <v>43221</v>
      </c>
      <c r="B1930">
        <v>6.1654171943664497</v>
      </c>
      <c r="C1930">
        <f>C1931*(1+G1930*3)</f>
        <v>5.6538349352137027</v>
      </c>
      <c r="D1930">
        <f t="shared" si="60"/>
        <v>6.1502925237580826</v>
      </c>
      <c r="F1930">
        <v>6681.9599609375</v>
      </c>
      <c r="G1930">
        <f t="shared" si="61"/>
        <v>1.1564503706958273E-2</v>
      </c>
    </row>
    <row r="1931" spans="1:7" x14ac:dyDescent="0.25">
      <c r="A1931" s="1">
        <v>43220</v>
      </c>
      <c r="B1931">
        <v>5.9712500572204501</v>
      </c>
      <c r="C1931">
        <f>C1932*(1+G1931*3)</f>
        <v>5.4642605510195486</v>
      </c>
      <c r="D1931">
        <f t="shared" si="60"/>
        <v>5.9448068622930448</v>
      </c>
      <c r="F1931">
        <v>6605.56982421875</v>
      </c>
      <c r="G1931">
        <f t="shared" si="61"/>
        <v>-7.6288465439010578E-3</v>
      </c>
    </row>
    <row r="1932" spans="1:7" x14ac:dyDescent="0.25">
      <c r="A1932" s="1">
        <v>43217</v>
      </c>
      <c r="B1932">
        <v>6.1012501716613698</v>
      </c>
      <c r="C1932">
        <f>C1933*(1+G1932*3)</f>
        <v>5.5922477507985011</v>
      </c>
      <c r="D1932">
        <f t="shared" si="60"/>
        <v>6.0848464187917566</v>
      </c>
      <c r="F1932">
        <v>6656.35009765625</v>
      </c>
      <c r="G1932">
        <f t="shared" si="61"/>
        <v>1.0076012137327783E-3</v>
      </c>
    </row>
    <row r="1933" spans="1:7" x14ac:dyDescent="0.25">
      <c r="A1933" s="1">
        <v>43216</v>
      </c>
      <c r="B1933">
        <v>6.0870828628540004</v>
      </c>
      <c r="C1933">
        <f>C1934*(1+G1933*3)</f>
        <v>5.5753944282197612</v>
      </c>
      <c r="D1933">
        <f t="shared" si="60"/>
        <v>6.0672824460197035</v>
      </c>
      <c r="F1933">
        <v>6649.64990234375</v>
      </c>
      <c r="G1933">
        <f t="shared" si="61"/>
        <v>2.0833775281661859E-2</v>
      </c>
    </row>
    <row r="1934" spans="1:7" x14ac:dyDescent="0.25">
      <c r="A1934" s="1">
        <v>43215</v>
      </c>
      <c r="B1934">
        <v>5.73166704177856</v>
      </c>
      <c r="C1934">
        <f>C1935*(1+G1934*3)</f>
        <v>5.2474235020702338</v>
      </c>
      <c r="D1934">
        <f t="shared" si="60"/>
        <v>5.7110640293369102</v>
      </c>
      <c r="F1934">
        <v>6513.93994140625</v>
      </c>
      <c r="G1934">
        <f t="shared" si="61"/>
        <v>7.5128273180946614E-4</v>
      </c>
    </row>
    <row r="1935" spans="1:7" x14ac:dyDescent="0.25">
      <c r="A1935" s="1">
        <v>43214</v>
      </c>
      <c r="B1935">
        <v>5.70916700363159</v>
      </c>
      <c r="C1935">
        <f>C1936*(1+G1935*3)</f>
        <v>5.2356232021640929</v>
      </c>
      <c r="D1935">
        <f t="shared" si="60"/>
        <v>5.6989485715026644</v>
      </c>
      <c r="F1935">
        <v>6509.0498046875</v>
      </c>
      <c r="G1935">
        <f t="shared" si="61"/>
        <v>-2.1018831083088774E-2</v>
      </c>
    </row>
    <row r="1936" spans="1:7" x14ac:dyDescent="0.25">
      <c r="A1936" s="1">
        <v>43213</v>
      </c>
      <c r="B1936">
        <v>6.09791707992553</v>
      </c>
      <c r="C1936">
        <f>C1937*(1+G1936*3)</f>
        <v>5.5879817346949059</v>
      </c>
      <c r="D1936">
        <f t="shared" si="60"/>
        <v>6.083319658964208</v>
      </c>
      <c r="F1936">
        <v>6648.7998046875</v>
      </c>
      <c r="G1936">
        <f t="shared" si="61"/>
        <v>-2.8420674609126451E-3</v>
      </c>
    </row>
    <row r="1937" spans="1:7" x14ac:dyDescent="0.25">
      <c r="A1937" s="1">
        <v>43210</v>
      </c>
      <c r="B1937">
        <v>6.1462497711181596</v>
      </c>
      <c r="C1937">
        <f>C1938*(1+G1937*3)</f>
        <v>5.6360357158445353</v>
      </c>
      <c r="D1937">
        <f t="shared" si="60"/>
        <v>6.1364251382146424</v>
      </c>
      <c r="F1937">
        <v>6667.75</v>
      </c>
      <c r="G1937">
        <f t="shared" si="61"/>
        <v>-1.5814298764502244E-2</v>
      </c>
    </row>
    <row r="1938" spans="1:7" x14ac:dyDescent="0.25">
      <c r="A1938" s="1">
        <v>43209</v>
      </c>
      <c r="B1938">
        <v>6.4558329582214302</v>
      </c>
      <c r="C1938">
        <f>C1939*(1+G1938*3)</f>
        <v>5.9167431473810508</v>
      </c>
      <c r="D1938">
        <f t="shared" si="60"/>
        <v>6.442920222893445</v>
      </c>
      <c r="F1938">
        <v>6774.89013671875</v>
      </c>
      <c r="G1938">
        <f t="shared" si="61"/>
        <v>-8.534762513099925E-3</v>
      </c>
    </row>
    <row r="1939" spans="1:7" x14ac:dyDescent="0.25">
      <c r="A1939" s="1">
        <v>43208</v>
      </c>
      <c r="B1939">
        <v>6.6362500190734801</v>
      </c>
      <c r="C1939">
        <f>C1940*(1+G1939*3)</f>
        <v>6.0722179620835384</v>
      </c>
      <c r="D1939">
        <f t="shared" si="60"/>
        <v>6.6130897336730117</v>
      </c>
      <c r="F1939">
        <v>6833.2099609375</v>
      </c>
      <c r="G1939">
        <f t="shared" si="61"/>
        <v>2.4705002017919586E-3</v>
      </c>
    </row>
    <row r="1940" spans="1:7" x14ac:dyDescent="0.25">
      <c r="A1940" s="1">
        <v>43207</v>
      </c>
      <c r="B1940">
        <v>6.5904169082641602</v>
      </c>
      <c r="C1940">
        <f>C1941*(1+G1940*3)</f>
        <v>6.0275448100747395</v>
      </c>
      <c r="D1940">
        <f t="shared" si="60"/>
        <v>6.5652711644084807</v>
      </c>
      <c r="F1940">
        <v>6816.3701171875</v>
      </c>
      <c r="G1940">
        <f t="shared" si="61"/>
        <v>2.1151480213000395E-2</v>
      </c>
    </row>
    <row r="1941" spans="1:7" x14ac:dyDescent="0.25">
      <c r="A1941" s="1">
        <v>43206</v>
      </c>
      <c r="B1941">
        <v>6.1941671371459899</v>
      </c>
      <c r="C1941">
        <f>C1942*(1+G1941*3)</f>
        <v>5.6678918999604253</v>
      </c>
      <c r="D1941">
        <f t="shared" si="60"/>
        <v>6.1742758623412097</v>
      </c>
      <c r="F1941">
        <v>6675.18017578125</v>
      </c>
      <c r="G1941">
        <f t="shared" si="61"/>
        <v>7.0666762923172755E-3</v>
      </c>
    </row>
    <row r="1942" spans="1:7" x14ac:dyDescent="0.25">
      <c r="A1942" s="1">
        <v>43203</v>
      </c>
      <c r="B1942">
        <v>6.0604171752929599</v>
      </c>
      <c r="C1942">
        <f>C1943*(1+G1942*3)</f>
        <v>5.5502269287963077</v>
      </c>
      <c r="D1942">
        <f t="shared" si="60"/>
        <v>6.0468559587918724</v>
      </c>
      <c r="F1942">
        <v>6628.33984375</v>
      </c>
      <c r="G1942">
        <f t="shared" si="61"/>
        <v>-4.194536099565549E-3</v>
      </c>
    </row>
    <row r="1943" spans="1:7" x14ac:dyDescent="0.25">
      <c r="A1943" s="1">
        <v>43202</v>
      </c>
      <c r="B1943">
        <v>6.1516671180725098</v>
      </c>
      <c r="C1943">
        <f>C1944*(1+G1943*3)</f>
        <v>5.620958873523815</v>
      </c>
      <c r="D1943">
        <f t="shared" si="60"/>
        <v>6.1247104944748667</v>
      </c>
      <c r="F1943">
        <v>6656.259765625</v>
      </c>
      <c r="G1943">
        <f t="shared" si="61"/>
        <v>1.1061060003107581E-2</v>
      </c>
    </row>
    <row r="1944" spans="1:7" x14ac:dyDescent="0.25">
      <c r="A1944" s="1">
        <v>43201</v>
      </c>
      <c r="B1944">
        <v>5.9433331489562899</v>
      </c>
      <c r="C1944">
        <f>C1945*(1+G1944*3)</f>
        <v>5.4404281663519676</v>
      </c>
      <c r="D1944">
        <f t="shared" si="60"/>
        <v>5.9287347280665772</v>
      </c>
      <c r="F1944">
        <v>6583.43994140625</v>
      </c>
      <c r="G1944">
        <f t="shared" si="61"/>
        <v>-4.9018761261649946E-3</v>
      </c>
    </row>
    <row r="1945" spans="1:7" x14ac:dyDescent="0.25">
      <c r="A1945" s="1">
        <v>43200</v>
      </c>
      <c r="B1945">
        <v>6.04500007629394</v>
      </c>
      <c r="C1945">
        <f>C1946*(1+G1945*3)</f>
        <v>5.5216271634624494</v>
      </c>
      <c r="D1945">
        <f t="shared" si="60"/>
        <v>6.0180031723488971</v>
      </c>
      <c r="F1945">
        <v>6615.8701171875</v>
      </c>
      <c r="G1945">
        <f t="shared" si="61"/>
        <v>2.2175948250940491E-2</v>
      </c>
    </row>
    <row r="1946" spans="1:7" x14ac:dyDescent="0.25">
      <c r="A1946" s="1">
        <v>43199</v>
      </c>
      <c r="B1946">
        <v>5.6704168319702104</v>
      </c>
      <c r="C1946">
        <f>C1947*(1+G1946*3)</f>
        <v>5.177199255160696</v>
      </c>
      <c r="D1946">
        <f t="shared" si="60"/>
        <v>5.6432892851231289</v>
      </c>
      <c r="F1946">
        <v>6472.33984375</v>
      </c>
      <c r="G1946">
        <f t="shared" si="61"/>
        <v>6.0824818481126641E-3</v>
      </c>
    </row>
    <row r="1947" spans="1:7" x14ac:dyDescent="0.25">
      <c r="A1947" s="1">
        <v>43196</v>
      </c>
      <c r="B1947">
        <v>5.5591669082641602</v>
      </c>
      <c r="C1947">
        <f>C1948*(1+G1947*3)</f>
        <v>5.0844215498061498</v>
      </c>
      <c r="D1947">
        <f t="shared" si="60"/>
        <v>5.542855468811883</v>
      </c>
      <c r="F1947">
        <v>6433.2099609375</v>
      </c>
      <c r="G1947">
        <f t="shared" si="61"/>
        <v>-2.4508537984539336E-2</v>
      </c>
    </row>
    <row r="1948" spans="1:7" x14ac:dyDescent="0.25">
      <c r="A1948" s="1">
        <v>43195</v>
      </c>
      <c r="B1948">
        <v>6.0075001716613698</v>
      </c>
      <c r="C1948">
        <f>C1949*(1+G1948*3)</f>
        <v>5.4879245733962572</v>
      </c>
      <c r="D1948">
        <f t="shared" si="60"/>
        <v>5.9835663809050752</v>
      </c>
      <c r="F1948">
        <v>6594.83984375</v>
      </c>
      <c r="G1948">
        <f t="shared" si="61"/>
        <v>5.3017479787687005E-3</v>
      </c>
    </row>
    <row r="1949" spans="1:7" x14ac:dyDescent="0.25">
      <c r="A1949" s="1">
        <v>43194</v>
      </c>
      <c r="B1949">
        <v>5.9145832061767498</v>
      </c>
      <c r="C1949">
        <f>C1950*(1+G1949*3)</f>
        <v>5.4020043760501864</v>
      </c>
      <c r="D1949">
        <f t="shared" si="60"/>
        <v>5.8906281335551753</v>
      </c>
      <c r="F1949">
        <v>6560.06005859375</v>
      </c>
      <c r="G1949">
        <f t="shared" si="61"/>
        <v>1.567311405382843E-2</v>
      </c>
    </row>
    <row r="1950" spans="1:7" x14ac:dyDescent="0.25">
      <c r="A1950" s="1">
        <v>43193</v>
      </c>
      <c r="B1950">
        <v>5.64750003814697</v>
      </c>
      <c r="C1950">
        <f>C1951*(1+G1950*3)</f>
        <v>5.1594122080860441</v>
      </c>
      <c r="D1950">
        <f t="shared" si="60"/>
        <v>5.6267804905450483</v>
      </c>
      <c r="F1950">
        <v>6458.830078125</v>
      </c>
      <c r="G1950">
        <f t="shared" si="61"/>
        <v>1.0638701021664865E-2</v>
      </c>
    </row>
    <row r="1951" spans="1:7" x14ac:dyDescent="0.25">
      <c r="A1951" s="1">
        <v>43192</v>
      </c>
      <c r="B1951">
        <v>5.4641671180725098</v>
      </c>
      <c r="C1951">
        <f>C1952*(1+G1951*3)</f>
        <v>4.9998368983307566</v>
      </c>
      <c r="D1951">
        <f t="shared" si="60"/>
        <v>5.4534260774754575</v>
      </c>
      <c r="F1951">
        <v>6390.83984375</v>
      </c>
      <c r="G1951">
        <f t="shared" si="61"/>
        <v>-2.8914493780082928E-2</v>
      </c>
    </row>
    <row r="1952" spans="1:7" x14ac:dyDescent="0.25">
      <c r="A1952" s="1">
        <v>43188</v>
      </c>
      <c r="B1952">
        <v>5.9966669082641602</v>
      </c>
      <c r="C1952">
        <f>C1953*(1+G1952*3)</f>
        <v>5.4747344214616316</v>
      </c>
      <c r="D1952">
        <f t="shared" si="60"/>
        <v>5.9722433267113395</v>
      </c>
      <c r="F1952">
        <v>6581.1298828125</v>
      </c>
      <c r="G1952">
        <f t="shared" si="61"/>
        <v>1.8623024532149479E-2</v>
      </c>
    </row>
    <row r="1953" spans="1:7" x14ac:dyDescent="0.25">
      <c r="A1953" s="1">
        <v>43187</v>
      </c>
      <c r="B1953">
        <v>5.6820831298828098</v>
      </c>
      <c r="C1953">
        <f>C1954*(1+G1953*3)</f>
        <v>5.1850504559375574</v>
      </c>
      <c r="D1953">
        <f t="shared" si="60"/>
        <v>5.6569201676611875</v>
      </c>
      <c r="F1953">
        <v>6460.81005859375</v>
      </c>
      <c r="G1953">
        <f t="shared" si="61"/>
        <v>-1.0571436177308602E-2</v>
      </c>
    </row>
    <row r="1954" spans="1:7" x14ac:dyDescent="0.25">
      <c r="A1954" s="1">
        <v>43186</v>
      </c>
      <c r="B1954">
        <v>5.8850002288818297</v>
      </c>
      <c r="C1954">
        <f>C1955*(1+G1954*3)</f>
        <v>5.3548766666955503</v>
      </c>
      <c r="D1954">
        <f t="shared" ref="D1954:D2010" si="62">D1955*(1+3*G1954-0.000127937129161102)</f>
        <v>5.8429735673851013</v>
      </c>
      <c r="F1954">
        <v>6529.83984375</v>
      </c>
      <c r="G1954">
        <f t="shared" si="61"/>
        <v>-3.3164920020786859E-2</v>
      </c>
    </row>
    <row r="1955" spans="1:7" x14ac:dyDescent="0.25">
      <c r="A1955" s="1">
        <v>43185</v>
      </c>
      <c r="B1955">
        <v>6.5091671943664497</v>
      </c>
      <c r="C1955">
        <f>C1956*(1+G1955*3)</f>
        <v>5.9465247165761959</v>
      </c>
      <c r="D1955">
        <f t="shared" si="62"/>
        <v>6.4894723014002675</v>
      </c>
      <c r="F1955">
        <v>6753.830078125</v>
      </c>
      <c r="G1955">
        <f t="shared" si="61"/>
        <v>3.7759195136341628E-2</v>
      </c>
    </row>
    <row r="1956" spans="1:7" x14ac:dyDescent="0.25">
      <c r="A1956" s="1">
        <v>43182</v>
      </c>
      <c r="B1956">
        <v>5.8508329391479403</v>
      </c>
      <c r="C1956">
        <f>C1957*(1+G1956*3)</f>
        <v>5.3414573279056965</v>
      </c>
      <c r="D1956">
        <f t="shared" si="62"/>
        <v>5.8298291801361728</v>
      </c>
      <c r="F1956">
        <v>6508.08984375</v>
      </c>
      <c r="G1956">
        <f t="shared" si="61"/>
        <v>-2.6064524275301038E-2</v>
      </c>
    </row>
    <row r="1957" spans="1:7" x14ac:dyDescent="0.25">
      <c r="A1957" s="1">
        <v>43181</v>
      </c>
      <c r="B1957">
        <v>6.3649997711181596</v>
      </c>
      <c r="C1957">
        <f>C1958*(1+G1957*3)</f>
        <v>5.7945542257505682</v>
      </c>
      <c r="D1957">
        <f t="shared" si="62"/>
        <v>6.3252308078188353</v>
      </c>
      <c r="F1957">
        <v>6682.259765625</v>
      </c>
      <c r="G1957">
        <f t="shared" si="61"/>
        <v>-2.4978722367397954E-2</v>
      </c>
    </row>
    <row r="1958" spans="1:7" x14ac:dyDescent="0.25">
      <c r="A1958" s="1">
        <v>43180</v>
      </c>
      <c r="B1958">
        <v>6.8666667938232404</v>
      </c>
      <c r="C1958">
        <f>C1959*(1+G1958*3)</f>
        <v>6.2639506806777359</v>
      </c>
      <c r="D1958">
        <f t="shared" si="62"/>
        <v>6.8385612849011652</v>
      </c>
      <c r="F1958">
        <v>6853.4501953125</v>
      </c>
      <c r="G1958">
        <f t="shared" si="61"/>
        <v>-4.7153796342230825E-3</v>
      </c>
    </row>
    <row r="1959" spans="1:7" x14ac:dyDescent="0.25">
      <c r="A1959" s="1">
        <v>43179</v>
      </c>
      <c r="B1959">
        <v>6.9675002098083496</v>
      </c>
      <c r="C1959">
        <f>C1960*(1+G1959*3)</f>
        <v>6.3538328832079429</v>
      </c>
      <c r="D1959">
        <f t="shared" si="62"/>
        <v>6.9375889571531566</v>
      </c>
      <c r="F1959">
        <v>6885.919921875</v>
      </c>
      <c r="G1959">
        <f t="shared" si="61"/>
        <v>3.0648808750721734E-3</v>
      </c>
    </row>
    <row r="1960" spans="1:7" x14ac:dyDescent="0.25">
      <c r="A1960" s="1">
        <v>43178</v>
      </c>
      <c r="B1960">
        <v>6.9166669845581001</v>
      </c>
      <c r="C1960">
        <f>C1961*(1+G1960*3)</f>
        <v>6.2959439287942782</v>
      </c>
      <c r="D1960">
        <f t="shared" si="62"/>
        <v>6.8752530624252941</v>
      </c>
      <c r="F1960">
        <v>6864.8798828125</v>
      </c>
      <c r="G1960">
        <f t="shared" si="61"/>
        <v>-2.2089944826609531E-2</v>
      </c>
    </row>
    <row r="1961" spans="1:7" x14ac:dyDescent="0.25">
      <c r="A1961" s="1">
        <v>43175</v>
      </c>
      <c r="B1961">
        <v>7.38000011444091</v>
      </c>
      <c r="C1961">
        <f>C1962*(1+G1961*3)</f>
        <v>6.7427873290211986</v>
      </c>
      <c r="D1961">
        <f t="shared" si="62"/>
        <v>7.3642209212313574</v>
      </c>
      <c r="F1961">
        <v>7019.9501953125</v>
      </c>
      <c r="G1961">
        <f t="shared" si="61"/>
        <v>-1.5673540342959758E-3</v>
      </c>
    </row>
    <row r="1962" spans="1:7" x14ac:dyDescent="0.25">
      <c r="A1962" s="1">
        <v>43174</v>
      </c>
      <c r="B1962">
        <v>7.4291667938232404</v>
      </c>
      <c r="C1962">
        <f>C1963*(1+G1962*3)</f>
        <v>6.774642116980079</v>
      </c>
      <c r="D1962">
        <f t="shared" si="62"/>
        <v>7.39996273556131</v>
      </c>
      <c r="F1962">
        <v>7030.97021484375</v>
      </c>
      <c r="G1962">
        <f t="shared" si="61"/>
        <v>-1.4216438127598874E-3</v>
      </c>
    </row>
    <row r="1963" spans="1:7" x14ac:dyDescent="0.25">
      <c r="A1963" s="1">
        <v>43173</v>
      </c>
      <c r="B1963">
        <v>7.4625000953674299</v>
      </c>
      <c r="C1963">
        <f>C1964*(1+G1963*3)</f>
        <v>6.8036592572416312</v>
      </c>
      <c r="D1963">
        <f t="shared" si="62"/>
        <v>7.4326132285871154</v>
      </c>
      <c r="F1963">
        <v>7040.97998046875</v>
      </c>
      <c r="G1963">
        <f t="shared" si="61"/>
        <v>-7.8475519656917569E-4</v>
      </c>
    </row>
    <row r="1964" spans="1:7" x14ac:dyDescent="0.25">
      <c r="A1964" s="1">
        <v>43172</v>
      </c>
      <c r="B1964">
        <v>7.4879169464111301</v>
      </c>
      <c r="C1964">
        <f>C1965*(1+G1964*3)</f>
        <v>6.8197146768369317</v>
      </c>
      <c r="D1964">
        <f t="shared" si="62"/>
        <v>7.4511083900915862</v>
      </c>
      <c r="F1964">
        <v>7046.509765625</v>
      </c>
      <c r="G1964">
        <f t="shared" si="61"/>
        <v>-1.1864945502540469E-2</v>
      </c>
    </row>
    <row r="1965" spans="1:7" x14ac:dyDescent="0.25">
      <c r="A1965" s="1">
        <v>43171</v>
      </c>
      <c r="B1965">
        <v>7.7699999809265101</v>
      </c>
      <c r="C1965">
        <f>C1966*(1+G1965*3)</f>
        <v>7.0714207420259481</v>
      </c>
      <c r="D1965">
        <f t="shared" si="62"/>
        <v>7.7271433840592989</v>
      </c>
      <c r="F1965">
        <v>7131.1201171875</v>
      </c>
      <c r="G1965">
        <f t="shared" si="61"/>
        <v>4.216192332136659E-3</v>
      </c>
    </row>
    <row r="1966" spans="1:7" x14ac:dyDescent="0.25">
      <c r="A1966" s="1">
        <v>43168</v>
      </c>
      <c r="B1966">
        <v>7.6554169654846103</v>
      </c>
      <c r="C1966">
        <f>C1967*(1+G1966*3)</f>
        <v>6.9830945331501884</v>
      </c>
      <c r="D1966">
        <f t="shared" si="62"/>
        <v>7.6315909817625069</v>
      </c>
      <c r="F1966">
        <v>7101.18017578125</v>
      </c>
      <c r="G1966">
        <f t="shared" si="61"/>
        <v>1.9342761873715197E-2</v>
      </c>
    </row>
    <row r="1967" spans="1:7" x14ac:dyDescent="0.25">
      <c r="A1967" s="1">
        <v>43167</v>
      </c>
      <c r="B1967">
        <v>7.2341670989990199</v>
      </c>
      <c r="C1967">
        <f>C1968*(1+G1967*3)</f>
        <v>6.6001019330504613</v>
      </c>
      <c r="D1967">
        <f t="shared" si="62"/>
        <v>7.2139034575810337</v>
      </c>
      <c r="F1967">
        <v>6966.43017578125</v>
      </c>
      <c r="G1967">
        <f t="shared" si="61"/>
        <v>5.345353390657781E-3</v>
      </c>
    </row>
    <row r="1968" spans="1:7" x14ac:dyDescent="0.25">
      <c r="A1968" s="1">
        <v>43166</v>
      </c>
      <c r="B1968">
        <v>7.1279168128967196</v>
      </c>
      <c r="C1968">
        <f>C1969*(1+G1968*3)</f>
        <v>6.4959327643679634</v>
      </c>
      <c r="D1968">
        <f t="shared" si="62"/>
        <v>7.100940817339076</v>
      </c>
      <c r="F1968">
        <v>6929.39013671875</v>
      </c>
      <c r="G1968">
        <f t="shared" si="61"/>
        <v>2.3680124086506993E-3</v>
      </c>
    </row>
    <row r="1969" spans="1:7" x14ac:dyDescent="0.25">
      <c r="A1969" s="1">
        <v>43165</v>
      </c>
      <c r="B1969">
        <v>7.0749998092651296</v>
      </c>
      <c r="C1969">
        <f>C1970*(1+G1969*3)</f>
        <v>6.4501109361659204</v>
      </c>
      <c r="D1969">
        <f t="shared" si="62"/>
        <v>7.0517471235479476</v>
      </c>
      <c r="F1969">
        <v>6913.02001953125</v>
      </c>
      <c r="G1969">
        <f t="shared" si="61"/>
        <v>4.6125481547003577E-3</v>
      </c>
    </row>
    <row r="1970" spans="1:7" x14ac:dyDescent="0.25">
      <c r="A1970" s="1">
        <v>43164</v>
      </c>
      <c r="B1970">
        <v>6.9866671562194798</v>
      </c>
      <c r="C1970">
        <f>C1971*(1+G1970*3)</f>
        <v>6.3620748069335589</v>
      </c>
      <c r="D1970">
        <f t="shared" si="62"/>
        <v>6.9563772276454872</v>
      </c>
      <c r="F1970">
        <v>6881.27978515625</v>
      </c>
      <c r="G1970">
        <f t="shared" si="61"/>
        <v>1.031263150574846E-2</v>
      </c>
    </row>
    <row r="1971" spans="1:7" x14ac:dyDescent="0.25">
      <c r="A1971" s="1">
        <v>43161</v>
      </c>
      <c r="B1971">
        <v>6.7741670608520499</v>
      </c>
      <c r="C1971">
        <f>C1972*(1+G1971*3)</f>
        <v>6.1711523465850586</v>
      </c>
      <c r="D1971">
        <f t="shared" si="62"/>
        <v>6.7484575384505305</v>
      </c>
      <c r="F1971">
        <v>6811.0400390625</v>
      </c>
      <c r="G1971">
        <f t="shared" si="61"/>
        <v>8.9622459314235847E-3</v>
      </c>
    </row>
    <row r="1972" spans="1:7" x14ac:dyDescent="0.25">
      <c r="A1972" s="1">
        <v>43160</v>
      </c>
      <c r="B1972">
        <v>6.5929169654846103</v>
      </c>
      <c r="C1972">
        <f>C1973*(1+G1972*3)</f>
        <v>6.009574492938289</v>
      </c>
      <c r="D1972">
        <f t="shared" si="62"/>
        <v>6.5725830974899289</v>
      </c>
      <c r="F1972">
        <v>6750.5400390625</v>
      </c>
      <c r="G1972">
        <f t="shared" si="61"/>
        <v>-1.5155167613962628E-2</v>
      </c>
    </row>
    <row r="1973" spans="1:7" x14ac:dyDescent="0.25">
      <c r="A1973" s="1">
        <v>43159</v>
      </c>
      <c r="B1973">
        <v>6.9262499809265101</v>
      </c>
      <c r="C1973">
        <f>C1974*(1+G1973*3)</f>
        <v>6.2958169776265764</v>
      </c>
      <c r="D1973">
        <f t="shared" si="62"/>
        <v>6.8865652990592983</v>
      </c>
      <c r="F1973">
        <v>6854.419921875</v>
      </c>
      <c r="G1973">
        <f t="shared" si="61"/>
        <v>-6.6562094866534638E-3</v>
      </c>
    </row>
    <row r="1974" spans="1:7" x14ac:dyDescent="0.25">
      <c r="A1974" s="1">
        <v>43158</v>
      </c>
      <c r="B1974">
        <v>7.0683331489562899</v>
      </c>
      <c r="C1974">
        <f>C1975*(1+G1974*3)</f>
        <v>6.4240973916306494</v>
      </c>
      <c r="D1974">
        <f t="shared" si="62"/>
        <v>7.0277999415315104</v>
      </c>
      <c r="F1974">
        <v>6900.35009765625</v>
      </c>
      <c r="G1974">
        <f t="shared" si="61"/>
        <v>-1.2698344387679028E-2</v>
      </c>
    </row>
    <row r="1975" spans="1:7" x14ac:dyDescent="0.25">
      <c r="A1975" s="1">
        <v>43157</v>
      </c>
      <c r="B1975">
        <v>7.3308329582214302</v>
      </c>
      <c r="C1975">
        <f>C1976*(1+G1975*3)</f>
        <v>6.6785156674624959</v>
      </c>
      <c r="D1975">
        <f t="shared" si="62"/>
        <v>7.3070989683197487</v>
      </c>
      <c r="F1975">
        <v>6989.10009765625</v>
      </c>
      <c r="G1975">
        <f t="shared" si="61"/>
        <v>1.3412405923236781E-2</v>
      </c>
    </row>
    <row r="1976" spans="1:7" x14ac:dyDescent="0.25">
      <c r="A1976" s="1">
        <v>43154</v>
      </c>
      <c r="B1976">
        <v>7.0479168891906703</v>
      </c>
      <c r="C1976">
        <f>C1977*(1+G1976*3)</f>
        <v>6.4201852744524643</v>
      </c>
      <c r="D1976">
        <f t="shared" si="62"/>
        <v>7.0253184971291542</v>
      </c>
      <c r="F1976">
        <v>6896.60009765625</v>
      </c>
      <c r="G1976">
        <f t="shared" si="61"/>
        <v>1.9927978002160396E-2</v>
      </c>
    </row>
    <row r="1977" spans="1:7" x14ac:dyDescent="0.25">
      <c r="A1977" s="1">
        <v>43153</v>
      </c>
      <c r="B1977">
        <v>6.6516671180725098</v>
      </c>
      <c r="C1977">
        <f>C1978*(1+G1977*3)</f>
        <v>6.0580134010723752</v>
      </c>
      <c r="D1977">
        <f t="shared" si="62"/>
        <v>6.6298105402431835</v>
      </c>
      <c r="F1977">
        <v>6761.85009765625</v>
      </c>
      <c r="G1977">
        <f t="shared" si="61"/>
        <v>3.832271759141026E-4</v>
      </c>
    </row>
    <row r="1978" spans="1:7" x14ac:dyDescent="0.25">
      <c r="A1978" s="1">
        <v>43152</v>
      </c>
      <c r="B1978">
        <v>6.6504168510437003</v>
      </c>
      <c r="C1978">
        <f>C1979*(1+G1978*3)</f>
        <v>6.0510566130610162</v>
      </c>
      <c r="D1978">
        <f t="shared" si="62"/>
        <v>6.6230434826632125</v>
      </c>
      <c r="F1978">
        <v>6759.259765625</v>
      </c>
      <c r="G1978">
        <f t="shared" si="61"/>
        <v>-3.0134380713304765E-3</v>
      </c>
    </row>
    <row r="1979" spans="1:7" x14ac:dyDescent="0.25">
      <c r="A1979" s="1">
        <v>43151</v>
      </c>
      <c r="B1979">
        <v>6.71083307266235</v>
      </c>
      <c r="C1979">
        <f>C1980*(1+G1979*3)</f>
        <v>6.1062591141247529</v>
      </c>
      <c r="D1979">
        <f t="shared" si="62"/>
        <v>6.684327073331354</v>
      </c>
      <c r="F1979">
        <v>6779.68994140625</v>
      </c>
      <c r="G1979">
        <f t="shared" si="61"/>
        <v>1.3336639187118138E-3</v>
      </c>
    </row>
    <row r="1980" spans="1:7" x14ac:dyDescent="0.25">
      <c r="A1980" s="1">
        <v>43147</v>
      </c>
      <c r="B1980">
        <v>6.6774997711181596</v>
      </c>
      <c r="C1980">
        <f>C1981*(1+G1980*3)</f>
        <v>6.081925380814682</v>
      </c>
      <c r="D1980">
        <f t="shared" si="62"/>
        <v>6.6585381911811146</v>
      </c>
      <c r="F1980">
        <v>6770.66015625</v>
      </c>
      <c r="G1980">
        <f t="shared" si="61"/>
        <v>-3.5702798419889881E-3</v>
      </c>
    </row>
    <row r="1981" spans="1:7" x14ac:dyDescent="0.25">
      <c r="A1981" s="1">
        <v>43146</v>
      </c>
      <c r="B1981">
        <v>6.7529168128967196</v>
      </c>
      <c r="C1981">
        <f>C1982*(1+G1981*3)</f>
        <v>6.1477731929261559</v>
      </c>
      <c r="D1981">
        <f t="shared" si="62"/>
        <v>6.7314994098384808</v>
      </c>
      <c r="F1981">
        <v>6794.919921875</v>
      </c>
      <c r="G1981">
        <f t="shared" si="61"/>
        <v>1.7960989025900487E-2</v>
      </c>
    </row>
    <row r="1982" spans="1:7" x14ac:dyDescent="0.25">
      <c r="A1982" s="1">
        <v>43145</v>
      </c>
      <c r="B1982">
        <v>6.4175000190734801</v>
      </c>
      <c r="C1982">
        <f>C1983*(1+G1982*3)</f>
        <v>5.8334496191481655</v>
      </c>
      <c r="D1982">
        <f t="shared" si="62"/>
        <v>6.3881065508813855</v>
      </c>
      <c r="F1982">
        <v>6675.02978515625</v>
      </c>
      <c r="G1982">
        <f t="shared" si="61"/>
        <v>1.8488329687039506E-2</v>
      </c>
    </row>
    <row r="1983" spans="1:7" x14ac:dyDescent="0.25">
      <c r="A1983" s="1">
        <v>43144</v>
      </c>
      <c r="B1983">
        <v>6.0625</v>
      </c>
      <c r="C1983">
        <f>C1984*(1+G1983*3)</f>
        <v>5.5269001621145861</v>
      </c>
      <c r="D1983">
        <f t="shared" si="62"/>
        <v>6.0531434380958862</v>
      </c>
      <c r="F1983">
        <v>6553.85986328125</v>
      </c>
      <c r="G1983">
        <f t="shared" si="61"/>
        <v>4.6000084575488209E-3</v>
      </c>
    </row>
    <row r="1984" spans="1:7" x14ac:dyDescent="0.25">
      <c r="A1984" s="1">
        <v>43143</v>
      </c>
      <c r="B1984">
        <v>5.9895830154418901</v>
      </c>
      <c r="C1984">
        <f>C1985*(1+G1984*3)</f>
        <v>5.4516670189301308</v>
      </c>
      <c r="D1984">
        <f t="shared" si="62"/>
        <v>5.9715005555543259</v>
      </c>
      <c r="F1984">
        <v>6523.85009765625</v>
      </c>
      <c r="G1984">
        <f t="shared" si="61"/>
        <v>1.7335952960020551E-2</v>
      </c>
    </row>
    <row r="1985" spans="1:7" x14ac:dyDescent="0.25">
      <c r="A1985" s="1">
        <v>43140</v>
      </c>
      <c r="B1985">
        <v>5.6720829010009703</v>
      </c>
      <c r="C1985">
        <f>C1986*(1+G1985*3)</f>
        <v>5.18215427091374</v>
      </c>
      <c r="D1985">
        <f t="shared" si="62"/>
        <v>5.6769793130136943</v>
      </c>
      <c r="F1985">
        <v>6412.68017578125</v>
      </c>
      <c r="G1985">
        <f t="shared" si="61"/>
        <v>1.6901107891486244E-2</v>
      </c>
    </row>
    <row r="1986" spans="1:7" x14ac:dyDescent="0.25">
      <c r="A1986" s="1">
        <v>43139</v>
      </c>
      <c r="B1986">
        <v>5.4170827865600497</v>
      </c>
      <c r="C1986">
        <f>C1987*(1+G1986*3)</f>
        <v>4.9320813536508199</v>
      </c>
      <c r="D1986">
        <f t="shared" si="62"/>
        <v>5.4036858141916122</v>
      </c>
      <c r="F1986">
        <v>6306.10009765625</v>
      </c>
      <c r="G1986">
        <f t="shared" ref="G1986:G2049" si="63">F1986/F1987-1</f>
        <v>-4.1920249567191425E-2</v>
      </c>
    </row>
    <row r="1987" spans="1:7" x14ac:dyDescent="0.25">
      <c r="A1987" s="1">
        <v>43138</v>
      </c>
      <c r="B1987">
        <v>6.1833329200744602</v>
      </c>
      <c r="C1987">
        <f>C1988*(1+G1987*3)</f>
        <v>5.6415693373703606</v>
      </c>
      <c r="D1987">
        <f t="shared" si="62"/>
        <v>6.1819195411366481</v>
      </c>
      <c r="F1987">
        <v>6582.02001953125</v>
      </c>
      <c r="G1987">
        <f t="shared" si="63"/>
        <v>-1.259529149254901E-2</v>
      </c>
    </row>
    <row r="1988" spans="1:7" x14ac:dyDescent="0.25">
      <c r="A1988" s="1">
        <v>43137</v>
      </c>
      <c r="B1988">
        <v>6.4379172325134197</v>
      </c>
      <c r="C1988">
        <f>C1989*(1+G1988*3)</f>
        <v>5.8631121573981746</v>
      </c>
      <c r="D1988">
        <f t="shared" si="62"/>
        <v>6.4255361065532517</v>
      </c>
      <c r="F1988">
        <v>6665.97998046875</v>
      </c>
      <c r="G1988">
        <f t="shared" si="63"/>
        <v>2.6179518934812185E-2</v>
      </c>
    </row>
    <row r="1989" spans="1:7" x14ac:dyDescent="0.25">
      <c r="A1989" s="1">
        <v>43136</v>
      </c>
      <c r="B1989">
        <v>5.9770832061767498</v>
      </c>
      <c r="C1989">
        <f>C1990*(1+G1989*3)</f>
        <v>5.4361637054216967</v>
      </c>
      <c r="D1989">
        <f t="shared" si="62"/>
        <v>5.9583390494504505</v>
      </c>
      <c r="F1989">
        <v>6495.919921875</v>
      </c>
      <c r="G1989">
        <f t="shared" si="63"/>
        <v>-3.910632763681865E-2</v>
      </c>
    </row>
    <row r="1990" spans="1:7" x14ac:dyDescent="0.25">
      <c r="A1990" s="1">
        <v>43133</v>
      </c>
      <c r="B1990">
        <v>6.7570829391479403</v>
      </c>
      <c r="C1990">
        <f>C1991*(1+G1990*3)</f>
        <v>6.1586956105007324</v>
      </c>
      <c r="D1990">
        <f t="shared" si="62"/>
        <v>6.7512529101568779</v>
      </c>
      <c r="F1990">
        <v>6760.2900390625</v>
      </c>
      <c r="G1990">
        <f t="shared" si="63"/>
        <v>-2.0460763737955467E-2</v>
      </c>
    </row>
    <row r="1991" spans="1:7" x14ac:dyDescent="0.25">
      <c r="A1991" s="1">
        <v>43132</v>
      </c>
      <c r="B1991">
        <v>7.1966671943664497</v>
      </c>
      <c r="C1991">
        <f>C1992*(1+G1991*3)</f>
        <v>6.5614526050925024</v>
      </c>
      <c r="D1991">
        <f t="shared" si="62"/>
        <v>7.193741598522748</v>
      </c>
      <c r="F1991">
        <v>6901.5</v>
      </c>
      <c r="G1991">
        <f t="shared" si="63"/>
        <v>-6.9770219438820558E-3</v>
      </c>
    </row>
    <row r="1992" spans="1:7" x14ac:dyDescent="0.25">
      <c r="A1992" s="1">
        <v>43131</v>
      </c>
      <c r="B1992">
        <v>7.3812499046325604</v>
      </c>
      <c r="C1992">
        <f>C1993*(1+G1992*3)</f>
        <v>6.7017268918515605</v>
      </c>
      <c r="D1992">
        <f t="shared" si="62"/>
        <v>7.3484935458625404</v>
      </c>
      <c r="F1992">
        <v>6949.990234375</v>
      </c>
      <c r="G1992">
        <f t="shared" si="63"/>
        <v>2.7789646921070332E-3</v>
      </c>
    </row>
    <row r="1993" spans="1:7" x14ac:dyDescent="0.25">
      <c r="A1993" s="1">
        <v>43130</v>
      </c>
      <c r="B1993">
        <v>7.2912502288818297</v>
      </c>
      <c r="C1993">
        <f>C1994*(1+G1993*3)</f>
        <v>6.6463172489494431</v>
      </c>
      <c r="D1993">
        <f t="shared" si="62"/>
        <v>7.2886612395446848</v>
      </c>
      <c r="F1993">
        <v>6930.72998046875</v>
      </c>
      <c r="G1993">
        <f t="shared" si="63"/>
        <v>-8.2408712249282257E-3</v>
      </c>
    </row>
    <row r="1994" spans="1:7" x14ac:dyDescent="0.25">
      <c r="A1994" s="1">
        <v>43129</v>
      </c>
      <c r="B1994">
        <v>7.48250007629394</v>
      </c>
      <c r="C1994">
        <f>C1995*(1+G1994*3)</f>
        <v>6.814796838458804</v>
      </c>
      <c r="D1994">
        <f t="shared" si="62"/>
        <v>7.4744043034159544</v>
      </c>
      <c r="F1994">
        <v>6988.31982421875</v>
      </c>
      <c r="G1994">
        <f t="shared" si="63"/>
        <v>-4.9338655248406527E-3</v>
      </c>
    </row>
    <row r="1995" spans="1:7" x14ac:dyDescent="0.25">
      <c r="A1995" s="1">
        <v>43126</v>
      </c>
      <c r="B1995">
        <v>7.5829172134399396</v>
      </c>
      <c r="C1995">
        <f>C1996*(1+G1995*3)</f>
        <v>6.917182178497395</v>
      </c>
      <c r="D1995">
        <f t="shared" si="62"/>
        <v>7.5876849008765177</v>
      </c>
      <c r="F1995">
        <v>7022.97021484375</v>
      </c>
      <c r="G1995">
        <f t="shared" si="63"/>
        <v>1.5423046017171593E-2</v>
      </c>
    </row>
    <row r="1996" spans="1:7" x14ac:dyDescent="0.25">
      <c r="A1996" s="1">
        <v>43125</v>
      </c>
      <c r="B1996">
        <v>7.2587499618530202</v>
      </c>
      <c r="C1996">
        <f>C1997*(1+G1996*3)</f>
        <v>6.6112837767339521</v>
      </c>
      <c r="D1996">
        <f t="shared" si="62"/>
        <v>7.2530217662650767</v>
      </c>
      <c r="F1996">
        <v>6916.2998046875</v>
      </c>
      <c r="G1996">
        <f t="shared" si="63"/>
        <v>-4.4083518331916594E-4</v>
      </c>
    </row>
    <row r="1997" spans="1:7" x14ac:dyDescent="0.25">
      <c r="A1997" s="1">
        <v>43124</v>
      </c>
      <c r="B1997">
        <v>7.2679171562194798</v>
      </c>
      <c r="C1997">
        <f>C1998*(1+G1997*3)</f>
        <v>6.6200388148074687</v>
      </c>
      <c r="D1997">
        <f t="shared" si="62"/>
        <v>7.2635571395424856</v>
      </c>
      <c r="F1997">
        <v>6919.35009765625</v>
      </c>
      <c r="G1997">
        <f t="shared" si="63"/>
        <v>-6.3344750352110069E-3</v>
      </c>
    </row>
    <row r="1998" spans="1:7" x14ac:dyDescent="0.25">
      <c r="A1998" s="1">
        <v>43123</v>
      </c>
      <c r="B1998">
        <v>7.4183330535888601</v>
      </c>
      <c r="C1998">
        <f>C1999*(1+G1998*3)</f>
        <v>6.7482792338192512</v>
      </c>
      <c r="D1998">
        <f t="shared" si="62"/>
        <v>7.4052292630047267</v>
      </c>
      <c r="F1998">
        <v>6963.4599609375</v>
      </c>
      <c r="G1998">
        <f t="shared" si="63"/>
        <v>8.2794467586078113E-3</v>
      </c>
    </row>
    <row r="1999" spans="1:7" x14ac:dyDescent="0.25">
      <c r="A1999" s="1">
        <v>43122</v>
      </c>
      <c r="B1999">
        <v>7.2350001335143999</v>
      </c>
      <c r="C1999">
        <f>C2000*(1+G1999*3)</f>
        <v>6.5847255792587047</v>
      </c>
      <c r="D1999">
        <f t="shared" si="62"/>
        <v>7.2266556875629266</v>
      </c>
      <c r="F1999">
        <v>6906.27978515625</v>
      </c>
      <c r="G1999">
        <f t="shared" si="63"/>
        <v>1.0527689796772322E-2</v>
      </c>
    </row>
    <row r="2000" spans="1:7" x14ac:dyDescent="0.25">
      <c r="A2000" s="1">
        <v>43119</v>
      </c>
      <c r="B2000">
        <v>7.0158329010009703</v>
      </c>
      <c r="C2000">
        <f>C2001*(1+G2000*3)</f>
        <v>6.3831268413026487</v>
      </c>
      <c r="D2000">
        <f t="shared" si="62"/>
        <v>7.0062724606553202</v>
      </c>
      <c r="F2000">
        <v>6834.330078125</v>
      </c>
      <c r="G2000">
        <f t="shared" si="63"/>
        <v>3.3693900072160332E-3</v>
      </c>
    </row>
    <row r="2001" spans="1:7" x14ac:dyDescent="0.25">
      <c r="A2001" s="1">
        <v>43118</v>
      </c>
      <c r="B2001">
        <v>6.9491667747497496</v>
      </c>
      <c r="C2001">
        <f>C2002*(1+G2001*3)</f>
        <v>6.3192507800088862</v>
      </c>
      <c r="D2001">
        <f t="shared" si="62"/>
        <v>6.937039193915731</v>
      </c>
      <c r="F2001">
        <v>6811.3798828125</v>
      </c>
      <c r="G2001">
        <f t="shared" si="63"/>
        <v>1.6153486948478069E-4</v>
      </c>
    </row>
    <row r="2002" spans="1:7" x14ac:dyDescent="0.25">
      <c r="A2002" s="1">
        <v>43117</v>
      </c>
      <c r="B2002">
        <v>6.94250011444091</v>
      </c>
      <c r="C2002">
        <f>C2003*(1+G2002*3)</f>
        <v>6.316189925263231</v>
      </c>
      <c r="D2002">
        <f t="shared" si="62"/>
        <v>6.9345658597905269</v>
      </c>
      <c r="F2002">
        <v>6810.27978515625</v>
      </c>
      <c r="G2002">
        <f t="shared" si="63"/>
        <v>1.0856186297635961E-2</v>
      </c>
    </row>
    <row r="2003" spans="1:7" x14ac:dyDescent="0.25">
      <c r="A2003" s="1">
        <v>43116</v>
      </c>
      <c r="B2003">
        <v>6.7304167747497496</v>
      </c>
      <c r="C2003">
        <f>C2004*(1+G2003*3)</f>
        <v>6.1169690582437246</v>
      </c>
      <c r="D2003">
        <f t="shared" si="62"/>
        <v>6.7166728174100871</v>
      </c>
      <c r="F2003">
        <v>6737.14013671875</v>
      </c>
      <c r="G2003">
        <f t="shared" si="63"/>
        <v>-3.1663498655130073E-3</v>
      </c>
    </row>
    <row r="2004" spans="1:7" x14ac:dyDescent="0.25">
      <c r="A2004" s="1">
        <v>43112</v>
      </c>
      <c r="B2004">
        <v>6.7829170227050701</v>
      </c>
      <c r="C2004">
        <f>C2005*(1+G2004*3)</f>
        <v>6.17563168995658</v>
      </c>
      <c r="D2004">
        <f t="shared" si="62"/>
        <v>6.7819626821250996</v>
      </c>
      <c r="F2004">
        <v>6758.5400390625</v>
      </c>
      <c r="G2004">
        <f t="shared" si="63"/>
        <v>7.4606659529798947E-3</v>
      </c>
    </row>
    <row r="2005" spans="1:7" x14ac:dyDescent="0.25">
      <c r="A2005" s="1">
        <v>43111</v>
      </c>
      <c r="B2005">
        <v>6.6420831680297798</v>
      </c>
      <c r="C2005">
        <f>C2006*(1+G2005*3)</f>
        <v>6.040434693577855</v>
      </c>
      <c r="D2005">
        <f t="shared" si="62"/>
        <v>6.6343220757504389</v>
      </c>
      <c r="F2005">
        <v>6708.490234375</v>
      </c>
      <c r="G2005">
        <f t="shared" si="63"/>
        <v>6.8786456235514493E-3</v>
      </c>
    </row>
    <row r="2006" spans="1:7" x14ac:dyDescent="0.25">
      <c r="A2006" s="1">
        <v>43110</v>
      </c>
      <c r="B2006">
        <v>6.5116667747497496</v>
      </c>
      <c r="C2006">
        <f>C2007*(1+G2006*3)</f>
        <v>5.9183049267286014</v>
      </c>
      <c r="D2006">
        <f t="shared" si="62"/>
        <v>6.5009995780836523</v>
      </c>
      <c r="F2006">
        <v>6662.66015625</v>
      </c>
      <c r="G2006">
        <f t="shared" si="63"/>
        <v>-2.2880986187834296E-3</v>
      </c>
    </row>
    <row r="2007" spans="1:7" x14ac:dyDescent="0.25">
      <c r="A2007" s="1">
        <v>43109</v>
      </c>
      <c r="B2007">
        <v>6.5583329200744602</v>
      </c>
      <c r="C2007">
        <f>C2008*(1+G2007*3)</f>
        <v>5.9592107121269731</v>
      </c>
      <c r="D2007">
        <f t="shared" si="62"/>
        <v>6.546776162314548</v>
      </c>
      <c r="F2007">
        <v>6677.93994140625</v>
      </c>
      <c r="G2007">
        <f t="shared" si="63"/>
        <v>1.9621554837456756E-4</v>
      </c>
    </row>
    <row r="2008" spans="1:7" x14ac:dyDescent="0.25">
      <c r="A2008" s="1">
        <v>43108</v>
      </c>
      <c r="B2008">
        <v>6.5533328056335396</v>
      </c>
      <c r="C2008">
        <f>C2009*(1+G2008*3)</f>
        <v>5.9557049064144651</v>
      </c>
      <c r="D2008">
        <f t="shared" si="62"/>
        <v>6.543761389172368</v>
      </c>
      <c r="F2008">
        <v>6676.6298828125</v>
      </c>
      <c r="G2008">
        <f t="shared" si="63"/>
        <v>3.5080153747948373E-3</v>
      </c>
    </row>
    <row r="2009" spans="1:7" x14ac:dyDescent="0.25">
      <c r="A2009" s="1">
        <v>43105</v>
      </c>
      <c r="B2009">
        <v>6.4812498092651296</v>
      </c>
      <c r="C2009">
        <f>C2010*(1+G2009*3)</f>
        <v>5.8936795509776347</v>
      </c>
      <c r="D2009">
        <f t="shared" si="62"/>
        <v>6.4764316993260547</v>
      </c>
      <c r="F2009">
        <v>6653.2900390625</v>
      </c>
      <c r="G2009">
        <f t="shared" si="63"/>
        <v>1.0434979926170929E-2</v>
      </c>
    </row>
    <row r="2010" spans="1:7" x14ac:dyDescent="0.25">
      <c r="A2010" s="1">
        <v>43104</v>
      </c>
      <c r="B2010">
        <v>6.2912502288818297</v>
      </c>
      <c r="C2010">
        <f>C2011*(1+G2010*3)</f>
        <v>5.7147787464718096</v>
      </c>
      <c r="D2010">
        <f t="shared" si="62"/>
        <v>6.2806207689722342</v>
      </c>
      <c r="F2010">
        <v>6584.580078125</v>
      </c>
      <c r="G2010">
        <f t="shared" si="63"/>
        <v>1.3352403811381919E-3</v>
      </c>
    </row>
    <row r="2011" spans="1:7" x14ac:dyDescent="0.25">
      <c r="A2011" s="1">
        <v>43103</v>
      </c>
      <c r="B2011">
        <v>6.2545828819274902</v>
      </c>
      <c r="C2011">
        <f>C2012*(1+G2011*3)</f>
        <v>5.6919782687727301</v>
      </c>
      <c r="D2011">
        <f>D2012*(1+3*G2011-0.000127937129161102)</f>
        <v>6.2563599563460999</v>
      </c>
      <c r="F2011">
        <v>6575.7998046875</v>
      </c>
      <c r="G2011">
        <f t="shared" si="63"/>
        <v>9.8996462301645938E-3</v>
      </c>
    </row>
    <row r="2012" spans="1:7" x14ac:dyDescent="0.25">
      <c r="A2012" s="1">
        <v>43102</v>
      </c>
      <c r="B2012">
        <v>6.0766668319702104</v>
      </c>
      <c r="C2012">
        <f>C2013*(1+G2012*3)</f>
        <v>5.5278082310266621</v>
      </c>
      <c r="D2012">
        <v>6.0766668319702104</v>
      </c>
      <c r="E2012">
        <v>1.2793712916110201E-4</v>
      </c>
      <c r="F2012">
        <v>6511.33984375</v>
      </c>
      <c r="G2012">
        <f t="shared" si="63"/>
        <v>1.7966287904580325E-2</v>
      </c>
    </row>
    <row r="2013" spans="1:7" x14ac:dyDescent="0.25">
      <c r="A2013" s="1">
        <v>43098</v>
      </c>
      <c r="B2013">
        <v>5.7800002098083496</v>
      </c>
      <c r="C2013">
        <f>C2014*(1+G2013*3)</f>
        <v>5.2451031321427823</v>
      </c>
      <c r="D2013">
        <f t="shared" ref="D2013:D2076" si="64">D2014*(1+3*G2013-0.0000188888884265817)</f>
        <v>5.7800002098140313</v>
      </c>
      <c r="F2013">
        <v>6396.419921875</v>
      </c>
      <c r="G2013">
        <f t="shared" si="63"/>
        <v>-6.9860373249662766E-3</v>
      </c>
    </row>
    <row r="2014" spans="1:7" x14ac:dyDescent="0.25">
      <c r="A2014" s="1">
        <v>43097</v>
      </c>
      <c r="B2014">
        <v>5.8912501335143999</v>
      </c>
      <c r="C2014">
        <f>C2015*(1+G2014*3)</f>
        <v>5.3573837813242839</v>
      </c>
      <c r="D2014">
        <f t="shared" si="64"/>
        <v>5.9038451751500949</v>
      </c>
      <c r="F2014">
        <v>6441.419921875</v>
      </c>
      <c r="G2014">
        <f t="shared" si="63"/>
        <v>9.7433931243262606E-4</v>
      </c>
    </row>
    <row r="2015" spans="1:7" x14ac:dyDescent="0.25">
      <c r="A2015" s="1">
        <v>43096</v>
      </c>
      <c r="B2015">
        <v>5.8754172325134197</v>
      </c>
      <c r="C2015">
        <f>C2016*(1+G2015*3)</f>
        <v>5.3417696926956202</v>
      </c>
      <c r="D2015">
        <f t="shared" si="64"/>
        <v>5.8867492955175589</v>
      </c>
      <c r="F2015">
        <v>6435.14990234375</v>
      </c>
      <c r="G2015">
        <f t="shared" si="63"/>
        <v>3.0929528341006041E-4</v>
      </c>
    </row>
    <row r="2016" spans="1:7" x14ac:dyDescent="0.25">
      <c r="A2016" s="1">
        <v>43095</v>
      </c>
      <c r="B2016">
        <v>5.8754172325134197</v>
      </c>
      <c r="C2016">
        <f>C2017*(1+G2016*3)</f>
        <v>5.3368177350340247</v>
      </c>
      <c r="D2016">
        <f t="shared" si="64"/>
        <v>5.8814031179521979</v>
      </c>
      <c r="F2016">
        <v>6433.16015625</v>
      </c>
      <c r="G2016">
        <f t="shared" si="63"/>
        <v>-4.9511097174251839E-3</v>
      </c>
    </row>
    <row r="2017" spans="1:7" x14ac:dyDescent="0.25">
      <c r="A2017" s="1">
        <v>43091</v>
      </c>
      <c r="B2017">
        <v>5.9720830917358398</v>
      </c>
      <c r="C2017">
        <f>C2018*(1+G2017*3)</f>
        <v>5.4172824138375884</v>
      </c>
      <c r="D2017">
        <f t="shared" si="64"/>
        <v>5.970193131955746</v>
      </c>
      <c r="F2017">
        <v>6465.169921875</v>
      </c>
      <c r="G2017">
        <f t="shared" si="63"/>
        <v>-1.161807470978049E-3</v>
      </c>
    </row>
    <row r="2018" spans="1:7" x14ac:dyDescent="0.25">
      <c r="A2018" s="1">
        <v>43090</v>
      </c>
      <c r="B2018">
        <v>5.99208307266235</v>
      </c>
      <c r="C2018">
        <f>C2019*(1+G2018*3)</f>
        <v>5.436229971622546</v>
      </c>
      <c r="D2018">
        <f t="shared" si="64"/>
        <v>5.9911881201939199</v>
      </c>
      <c r="F2018">
        <v>6472.68994140625</v>
      </c>
      <c r="G2018">
        <f t="shared" si="63"/>
        <v>3.2439024629349333E-5</v>
      </c>
    </row>
    <row r="2019" spans="1:7" x14ac:dyDescent="0.25">
      <c r="A2019" s="1">
        <v>43089</v>
      </c>
      <c r="B2019">
        <v>5.9949998855590803</v>
      </c>
      <c r="C2019">
        <f>C2020*(1+G2019*3)</f>
        <v>5.435700985108145</v>
      </c>
      <c r="D2019">
        <f t="shared" si="64"/>
        <v>5.990718279029684</v>
      </c>
      <c r="F2019">
        <v>6472.47998046875</v>
      </c>
      <c r="G2019">
        <f t="shared" si="63"/>
        <v>-1.2637491964535563E-3</v>
      </c>
    </row>
    <row r="2020" spans="1:7" x14ac:dyDescent="0.25">
      <c r="A2020" s="1">
        <v>43088</v>
      </c>
      <c r="B2020">
        <v>6.0199999809265101</v>
      </c>
      <c r="C2020">
        <f>C2021*(1+G2020*3)</f>
        <v>5.4563875010681873</v>
      </c>
      <c r="D2020">
        <f t="shared" si="64"/>
        <v>6.0136310339962664</v>
      </c>
      <c r="F2020">
        <v>6480.669921875</v>
      </c>
      <c r="G2020">
        <f t="shared" si="63"/>
        <v>-5.0051813541419632E-3</v>
      </c>
    </row>
    <row r="2021" spans="1:7" x14ac:dyDescent="0.25">
      <c r="A2021" s="1">
        <v>43087</v>
      </c>
      <c r="B2021">
        <v>6.1195831298828098</v>
      </c>
      <c r="C2021">
        <f>C2022*(1+G2021*3)</f>
        <v>5.5395671151728303</v>
      </c>
      <c r="D2021">
        <f t="shared" si="64"/>
        <v>6.1054226007234629</v>
      </c>
      <c r="F2021">
        <v>6513.27001953125</v>
      </c>
      <c r="G2021">
        <f t="shared" si="63"/>
        <v>7.260728913632386E-3</v>
      </c>
    </row>
    <row r="2022" spans="1:7" x14ac:dyDescent="0.25">
      <c r="A2022" s="1">
        <v>43084</v>
      </c>
      <c r="B2022">
        <v>5.9662499427795401</v>
      </c>
      <c r="C2022">
        <f>C2023*(1+G2022*3)</f>
        <v>5.4214755229213543</v>
      </c>
      <c r="D2022">
        <f t="shared" si="64"/>
        <v>5.9753786552675789</v>
      </c>
      <c r="F2022">
        <v>6466.31982421875</v>
      </c>
      <c r="G2022">
        <f t="shared" si="63"/>
        <v>1.1957862646005069E-2</v>
      </c>
    </row>
    <row r="2023" spans="1:7" x14ac:dyDescent="0.25">
      <c r="A2023" s="1">
        <v>43083</v>
      </c>
      <c r="B2023">
        <v>5.7783331871032697</v>
      </c>
      <c r="C2023">
        <f>C2024*(1+G2023*3)</f>
        <v>5.2337230971524349</v>
      </c>
      <c r="D2023">
        <f t="shared" si="64"/>
        <v>5.7685490646034365</v>
      </c>
      <c r="F2023">
        <v>6389.91015625</v>
      </c>
      <c r="G2023">
        <f t="shared" si="63"/>
        <v>-7.4433327805045746E-4</v>
      </c>
    </row>
    <row r="2024" spans="1:7" x14ac:dyDescent="0.25">
      <c r="A2024" s="1">
        <v>43082</v>
      </c>
      <c r="B2024">
        <v>5.7866668701171804</v>
      </c>
      <c r="C2024">
        <f>C2025*(1+G2024*3)</f>
        <v>5.2454361552170861</v>
      </c>
      <c r="D2024">
        <f t="shared" si="64"/>
        <v>5.7815685135378843</v>
      </c>
      <c r="F2024">
        <v>6394.669921875</v>
      </c>
      <c r="G2024">
        <f t="shared" si="63"/>
        <v>1.7262882049975392E-3</v>
      </c>
    </row>
    <row r="2025" spans="1:7" x14ac:dyDescent="0.25">
      <c r="A2025" s="1">
        <v>43081</v>
      </c>
      <c r="B2025">
        <v>5.7579169273376403</v>
      </c>
      <c r="C2025">
        <f>C2026*(1+G2025*3)</f>
        <v>5.2184107126309431</v>
      </c>
      <c r="D2025">
        <f t="shared" si="64"/>
        <v>5.7518889063989604</v>
      </c>
      <c r="F2025">
        <v>6383.64990234375</v>
      </c>
      <c r="G2025">
        <f t="shared" si="63"/>
        <v>-1.6015655815216912E-3</v>
      </c>
    </row>
    <row r="2026" spans="1:7" x14ac:dyDescent="0.25">
      <c r="A2026" s="1">
        <v>43080</v>
      </c>
      <c r="B2026">
        <v>5.7795829772949201</v>
      </c>
      <c r="C2026">
        <f>C2027*(1+G2026*3)</f>
        <v>5.2436046427879326</v>
      </c>
      <c r="D2026">
        <f t="shared" si="64"/>
        <v>5.7797681128300304</v>
      </c>
      <c r="F2026">
        <v>6393.89013671875</v>
      </c>
      <c r="G2026">
        <f t="shared" si="63"/>
        <v>7.7736259299618915E-3</v>
      </c>
    </row>
    <row r="2027" spans="1:7" x14ac:dyDescent="0.25">
      <c r="A2027" s="1">
        <v>43077</v>
      </c>
      <c r="B2027">
        <v>5.6500000953674299</v>
      </c>
      <c r="C2027">
        <f>C2028*(1+G2027*3)</f>
        <v>5.124105993139505</v>
      </c>
      <c r="D2027">
        <f t="shared" si="64"/>
        <v>5.6481548707188178</v>
      </c>
      <c r="F2027">
        <v>6344.56982421875</v>
      </c>
      <c r="G2027">
        <f t="shared" si="63"/>
        <v>4.4789084753629194E-3</v>
      </c>
    </row>
    <row r="2028" spans="1:7" x14ac:dyDescent="0.25">
      <c r="A2028" s="1">
        <v>43076</v>
      </c>
      <c r="B2028">
        <v>5.57625007629394</v>
      </c>
      <c r="C2028">
        <f>C2029*(1+G2028*3)</f>
        <v>5.0561676566291087</v>
      </c>
      <c r="D2028">
        <f t="shared" si="64"/>
        <v>5.5733722726015111</v>
      </c>
      <c r="F2028">
        <v>6316.27978515625</v>
      </c>
      <c r="G2028">
        <f t="shared" si="63"/>
        <v>3.6913708280914559E-3</v>
      </c>
    </row>
    <row r="2029" spans="1:7" x14ac:dyDescent="0.25">
      <c r="A2029" s="1">
        <v>43075</v>
      </c>
      <c r="B2029">
        <v>5.52166700363159</v>
      </c>
      <c r="C2029">
        <f>C2030*(1+G2029*3)</f>
        <v>5.0007883637785744</v>
      </c>
      <c r="D2029">
        <f t="shared" si="64"/>
        <v>5.5124311140786624</v>
      </c>
      <c r="F2029">
        <v>6293.0498046875</v>
      </c>
      <c r="G2029">
        <f t="shared" si="63"/>
        <v>4.459609171421075E-3</v>
      </c>
    </row>
    <row r="2030" spans="1:7" x14ac:dyDescent="0.25">
      <c r="A2030" s="1">
        <v>43074</v>
      </c>
      <c r="B2030">
        <v>5.4495830535888601</v>
      </c>
      <c r="C2030">
        <f>C2031*(1+G2030*3)</f>
        <v>4.9347669676947028</v>
      </c>
      <c r="D2030">
        <f t="shared" si="64"/>
        <v>5.4397563037214356</v>
      </c>
      <c r="F2030">
        <v>6265.10986328125</v>
      </c>
      <c r="G2030">
        <f t="shared" si="63"/>
        <v>2.2505355058410892E-4</v>
      </c>
    </row>
    <row r="2031" spans="1:7" x14ac:dyDescent="0.25">
      <c r="A2031" s="1">
        <v>43073</v>
      </c>
      <c r="B2031">
        <v>5.44166707992553</v>
      </c>
      <c r="C2031">
        <f>C2032*(1+G2031*3)</f>
        <v>4.9314374551683953</v>
      </c>
      <c r="D2031">
        <f t="shared" si="64"/>
        <v>5.436188686586318</v>
      </c>
      <c r="F2031">
        <v>6263.7001953125</v>
      </c>
      <c r="G2031">
        <f t="shared" si="63"/>
        <v>-1.1702657281325579E-2</v>
      </c>
    </row>
    <row r="2032" spans="1:7" x14ac:dyDescent="0.25">
      <c r="A2032" s="1">
        <v>43070</v>
      </c>
      <c r="B2032">
        <v>5.6362500190734801</v>
      </c>
      <c r="C2032">
        <f>C2033*(1+G2032*3)</f>
        <v>5.110869725592738</v>
      </c>
      <c r="D2032">
        <f t="shared" si="64"/>
        <v>5.6340968209693862</v>
      </c>
      <c r="F2032">
        <v>6337.8701171875</v>
      </c>
      <c r="G2032">
        <f t="shared" si="63"/>
        <v>-4.3499615354138932E-3</v>
      </c>
    </row>
    <row r="2033" spans="1:7" x14ac:dyDescent="0.25">
      <c r="A2033" s="1">
        <v>43069</v>
      </c>
      <c r="B2033">
        <v>5.7125000953674299</v>
      </c>
      <c r="C2033">
        <f>C2034*(1+G2033*3)</f>
        <v>5.1784478727718479</v>
      </c>
      <c r="D2033">
        <f t="shared" si="64"/>
        <v>5.708702561696632</v>
      </c>
      <c r="F2033">
        <v>6365.56005859375</v>
      </c>
      <c r="G2033">
        <f t="shared" si="63"/>
        <v>8.5845214180177987E-3</v>
      </c>
    </row>
    <row r="2034" spans="1:7" x14ac:dyDescent="0.25">
      <c r="A2034" s="1">
        <v>43068</v>
      </c>
      <c r="B2034">
        <v>5.5741667747497496</v>
      </c>
      <c r="C2034">
        <f>C2035*(1+G2034*3)</f>
        <v>5.0484327359249388</v>
      </c>
      <c r="D2034">
        <f t="shared" si="64"/>
        <v>5.565476822416815</v>
      </c>
      <c r="F2034">
        <v>6311.3798828125</v>
      </c>
      <c r="G2034">
        <f t="shared" si="63"/>
        <v>-1.7310881450222415E-2</v>
      </c>
    </row>
    <row r="2035" spans="1:7" x14ac:dyDescent="0.25">
      <c r="A2035" s="1">
        <v>43067</v>
      </c>
      <c r="B2035">
        <v>5.8762497901916504</v>
      </c>
      <c r="C2035">
        <f>C2036*(1+G2035*3)</f>
        <v>5.3249726465555387</v>
      </c>
      <c r="D2035">
        <f t="shared" si="64"/>
        <v>5.8704560131105668</v>
      </c>
      <c r="F2035">
        <v>6422.56005859375</v>
      </c>
      <c r="G2035">
        <f t="shared" si="63"/>
        <v>2.589747250394403E-3</v>
      </c>
    </row>
    <row r="2036" spans="1:7" x14ac:dyDescent="0.25">
      <c r="A2036" s="1">
        <v>43066</v>
      </c>
      <c r="B2036">
        <v>5.8333330154418901</v>
      </c>
      <c r="C2036">
        <f>C2037*(1+G2036*3)</f>
        <v>5.2839205900970203</v>
      </c>
      <c r="D2036">
        <f t="shared" si="64"/>
        <v>5.8253078219562289</v>
      </c>
      <c r="F2036">
        <v>6405.97021484375</v>
      </c>
      <c r="G2036">
        <f t="shared" si="63"/>
        <v>-5.1797066422598625E-4</v>
      </c>
    </row>
    <row r="2037" spans="1:7" x14ac:dyDescent="0.25">
      <c r="A2037" s="1">
        <v>43063</v>
      </c>
      <c r="B2037">
        <v>5.8429169654846103</v>
      </c>
      <c r="C2037">
        <f>C2038*(1+G2037*3)</f>
        <v>5.2921441163063285</v>
      </c>
      <c r="D2037">
        <f t="shared" si="64"/>
        <v>5.8344843040103669</v>
      </c>
      <c r="F2037">
        <v>6409.2900390625</v>
      </c>
      <c r="G2037">
        <f t="shared" si="63"/>
        <v>3.6281688176582616E-3</v>
      </c>
    </row>
    <row r="2038" spans="1:7" x14ac:dyDescent="0.25">
      <c r="A2038" s="1">
        <v>43061</v>
      </c>
      <c r="B2038">
        <v>5.7779169082641602</v>
      </c>
      <c r="C2038">
        <f>C2039*(1+G2038*3)</f>
        <v>5.2351619621469716</v>
      </c>
      <c r="D2038">
        <f t="shared" si="64"/>
        <v>5.7717704535912846</v>
      </c>
      <c r="F2038">
        <v>6386.1201171875</v>
      </c>
      <c r="G2038">
        <f t="shared" si="63"/>
        <v>1.1742701038639503E-3</v>
      </c>
    </row>
    <row r="2039" spans="1:7" x14ac:dyDescent="0.25">
      <c r="A2039" s="1">
        <v>43060</v>
      </c>
      <c r="B2039">
        <v>5.75500011444091</v>
      </c>
      <c r="C2039">
        <f>C2040*(1+G2039*3)</f>
        <v>5.2167842209002346</v>
      </c>
      <c r="D2039">
        <f t="shared" si="64"/>
        <v>5.751617238730649</v>
      </c>
      <c r="F2039">
        <v>6378.6298828125</v>
      </c>
      <c r="G2039">
        <f t="shared" si="63"/>
        <v>1.1099120257664907E-2</v>
      </c>
    </row>
    <row r="2040" spans="1:7" x14ac:dyDescent="0.25">
      <c r="A2040" s="1">
        <v>43059</v>
      </c>
      <c r="B2040">
        <v>5.5791668891906703</v>
      </c>
      <c r="C2040">
        <f>C2041*(1+G2040*3)</f>
        <v>5.0486766142493913</v>
      </c>
      <c r="D2040">
        <f t="shared" si="64"/>
        <v>5.5663767273118854</v>
      </c>
      <c r="F2040">
        <v>6308.60986328125</v>
      </c>
      <c r="G2040">
        <f t="shared" si="63"/>
        <v>-9.3434052091712072E-4</v>
      </c>
    </row>
    <row r="2041" spans="1:7" x14ac:dyDescent="0.25">
      <c r="A2041" s="1">
        <v>43056</v>
      </c>
      <c r="B2041">
        <v>5.5929169654846103</v>
      </c>
      <c r="C2041">
        <f>C2042*(1+G2041*3)</f>
        <v>5.0628679422609109</v>
      </c>
      <c r="D2041">
        <f t="shared" si="64"/>
        <v>5.582128995464009</v>
      </c>
      <c r="F2041">
        <v>6314.509765625</v>
      </c>
      <c r="G2041">
        <f t="shared" si="63"/>
        <v>-3.8854435400601517E-3</v>
      </c>
    </row>
    <row r="2042" spans="1:7" x14ac:dyDescent="0.25">
      <c r="A2042" s="1">
        <v>43055</v>
      </c>
      <c r="B2042">
        <v>5.65625</v>
      </c>
      <c r="C2042">
        <f>C2043*(1+G2042*3)</f>
        <v>5.1225784098337312</v>
      </c>
      <c r="D2042">
        <f t="shared" si="64"/>
        <v>5.6480714696727388</v>
      </c>
      <c r="F2042">
        <v>6339.14013671875</v>
      </c>
      <c r="G2042">
        <f t="shared" si="63"/>
        <v>1.2907578854876922E-2</v>
      </c>
    </row>
    <row r="2043" spans="1:7" x14ac:dyDescent="0.25">
      <c r="A2043" s="1">
        <v>43054</v>
      </c>
      <c r="B2043">
        <v>5.45208311080932</v>
      </c>
      <c r="C2043">
        <f>C2044*(1+G2043*3)</f>
        <v>4.9316128640599919</v>
      </c>
      <c r="D2043">
        <f t="shared" si="64"/>
        <v>5.4376148526922714</v>
      </c>
      <c r="F2043">
        <v>6258.35986328125</v>
      </c>
      <c r="G2043">
        <f t="shared" si="63"/>
        <v>-5.6057023711389986E-3</v>
      </c>
    </row>
    <row r="2044" spans="1:7" x14ac:dyDescent="0.25">
      <c r="A2044" s="1">
        <v>43053</v>
      </c>
      <c r="B2044">
        <v>5.5333328247070304</v>
      </c>
      <c r="C2044">
        <f>C2045*(1+G2044*3)</f>
        <v>5.0159669169802044</v>
      </c>
      <c r="D2044">
        <f t="shared" si="64"/>
        <v>5.5307302042991271</v>
      </c>
      <c r="F2044">
        <v>6293.64013671875</v>
      </c>
      <c r="G2044">
        <f t="shared" si="63"/>
        <v>-3.5686187593140239E-3</v>
      </c>
    </row>
    <row r="2045" spans="1:7" x14ac:dyDescent="0.25">
      <c r="A2045" s="1">
        <v>43052</v>
      </c>
      <c r="B2045">
        <v>5.5895829200744602</v>
      </c>
      <c r="C2045">
        <f>C2046*(1+G2045*3)</f>
        <v>5.0702482662117525</v>
      </c>
      <c r="D2045">
        <f t="shared" si="64"/>
        <v>5.5906889182518196</v>
      </c>
      <c r="F2045">
        <v>6316.18017578125</v>
      </c>
      <c r="G2045">
        <f t="shared" si="63"/>
        <v>1.1270047345497414E-3</v>
      </c>
    </row>
    <row r="2046" spans="1:7" x14ac:dyDescent="0.25">
      <c r="A2046" s="1">
        <v>43049</v>
      </c>
      <c r="B2046">
        <v>5.5729169845581001</v>
      </c>
      <c r="C2046">
        <f>C2047*(1+G2046*3)</f>
        <v>5.053163448817938</v>
      </c>
      <c r="D2046">
        <f t="shared" si="64"/>
        <v>5.5719553062613487</v>
      </c>
      <c r="F2046">
        <v>6309.06982421875</v>
      </c>
      <c r="G2046">
        <f t="shared" si="63"/>
        <v>-4.9747025814772527E-4</v>
      </c>
    </row>
    <row r="2047" spans="1:7" x14ac:dyDescent="0.25">
      <c r="A2047" s="1">
        <v>43048</v>
      </c>
      <c r="B2047">
        <v>5.5745830535888601</v>
      </c>
      <c r="C2047">
        <f>C2048*(1+G2047*3)</f>
        <v>5.0607161160759677</v>
      </c>
      <c r="D2047">
        <f t="shared" si="64"/>
        <v>5.5803889461944145</v>
      </c>
      <c r="F2047">
        <v>6312.2099609375</v>
      </c>
      <c r="G2047">
        <f t="shared" si="63"/>
        <v>-5.2948476783901688E-3</v>
      </c>
    </row>
    <row r="2048" spans="1:7" x14ac:dyDescent="0.25">
      <c r="A2048" s="1">
        <v>43047</v>
      </c>
      <c r="B2048">
        <v>5.6654171943664497</v>
      </c>
      <c r="C2048">
        <f>C2049*(1+G2048*3)</f>
        <v>5.1424008029342723</v>
      </c>
      <c r="D2048">
        <f t="shared" si="64"/>
        <v>5.6705704777553567</v>
      </c>
      <c r="F2048">
        <v>6345.81005859375</v>
      </c>
      <c r="G2048">
        <f t="shared" si="63"/>
        <v>3.95999770412514E-3</v>
      </c>
    </row>
    <row r="2049" spans="1:7" x14ac:dyDescent="0.25">
      <c r="A2049" s="1">
        <v>43046</v>
      </c>
      <c r="B2049">
        <v>5.5954170227050701</v>
      </c>
      <c r="C2049">
        <f>C2050*(1+G2049*3)</f>
        <v>5.0820263647244355</v>
      </c>
      <c r="D2049">
        <f t="shared" si="64"/>
        <v>5.6040996675175334</v>
      </c>
      <c r="F2049">
        <v>6320.77978515625</v>
      </c>
      <c r="G2049">
        <f t="shared" si="63"/>
        <v>1.1356295416191653E-3</v>
      </c>
    </row>
    <row r="2050" spans="1:7" x14ac:dyDescent="0.25">
      <c r="A2050" s="1">
        <v>43045</v>
      </c>
      <c r="B2050">
        <v>5.5862498283386204</v>
      </c>
      <c r="C2050">
        <f>C2051*(1+G2050*3)</f>
        <v>5.0647712531545581</v>
      </c>
      <c r="D2050">
        <f t="shared" si="64"/>
        <v>5.5851770890120402</v>
      </c>
      <c r="F2050">
        <v>6313.60986328125</v>
      </c>
      <c r="G2050">
        <f t="shared" ref="G2050:G2113" si="65">F2050/F2051-1</f>
        <v>2.863879885969034E-3</v>
      </c>
    </row>
    <row r="2051" spans="1:7" x14ac:dyDescent="0.25">
      <c r="A2051" s="1">
        <v>43042</v>
      </c>
      <c r="B2051">
        <v>5.5300002098083496</v>
      </c>
      <c r="C2051">
        <f>C2052*(1+G2051*3)</f>
        <v>5.0216272414001182</v>
      </c>
      <c r="D2051">
        <f t="shared" si="64"/>
        <v>5.5377037350561817</v>
      </c>
      <c r="F2051">
        <v>6295.580078125</v>
      </c>
      <c r="G2051">
        <f t="shared" si="65"/>
        <v>9.4910581456009169E-3</v>
      </c>
    </row>
    <row r="2052" spans="1:7" x14ac:dyDescent="0.25">
      <c r="A2052" s="1">
        <v>43041</v>
      </c>
      <c r="B2052">
        <v>5.38000011444091</v>
      </c>
      <c r="C2052">
        <f>C2053*(1+G2052*3)</f>
        <v>4.8826040058361144</v>
      </c>
      <c r="D2052">
        <f t="shared" si="64"/>
        <v>5.3844918659689904</v>
      </c>
      <c r="F2052">
        <v>6236.39013671875</v>
      </c>
      <c r="G2052">
        <f t="shared" si="65"/>
        <v>-1.9619863197011256E-3</v>
      </c>
    </row>
    <row r="2053" spans="1:7" x14ac:dyDescent="0.25">
      <c r="A2053" s="1">
        <v>43040</v>
      </c>
      <c r="B2053">
        <v>5.4074997901916504</v>
      </c>
      <c r="C2053">
        <f>C2054*(1+G2053*3)</f>
        <v>4.9115129696022972</v>
      </c>
      <c r="D2053">
        <f t="shared" si="64"/>
        <v>5.4164753286545961</v>
      </c>
      <c r="F2053">
        <v>6248.64990234375</v>
      </c>
      <c r="G2053">
        <f t="shared" si="65"/>
        <v>1.4378312628515744E-5</v>
      </c>
    </row>
    <row r="2054" spans="1:7" x14ac:dyDescent="0.25">
      <c r="A2054" s="1">
        <v>43039</v>
      </c>
      <c r="B2054">
        <v>5.4145832061767498</v>
      </c>
      <c r="C2054">
        <f>C2055*(1+G2054*3)</f>
        <v>4.9113011209335085</v>
      </c>
      <c r="D2054">
        <f t="shared" si="64"/>
        <v>5.4163440037099946</v>
      </c>
      <c r="F2054">
        <v>6248.56005859375</v>
      </c>
      <c r="G2054">
        <f t="shared" si="65"/>
        <v>3.3673082797505138E-3</v>
      </c>
    </row>
    <row r="2055" spans="1:7" x14ac:dyDescent="0.25">
      <c r="A2055" s="1">
        <v>43038</v>
      </c>
      <c r="B2055">
        <v>5.3579168319702104</v>
      </c>
      <c r="C2055">
        <f>C2056*(1+G2055*3)</f>
        <v>4.8621837065750535</v>
      </c>
      <c r="D2055">
        <f t="shared" si="64"/>
        <v>5.3622759822031938</v>
      </c>
      <c r="F2055">
        <v>6227.58984375</v>
      </c>
      <c r="G2055">
        <f t="shared" si="65"/>
        <v>2.2724224013368488E-3</v>
      </c>
    </row>
    <row r="2056" spans="1:7" x14ac:dyDescent="0.25">
      <c r="A2056" s="1">
        <v>43035</v>
      </c>
      <c r="B2056">
        <v>5.3200001716613698</v>
      </c>
      <c r="C2056">
        <f>C2057*(1+G2056*3)</f>
        <v>4.8292613416112911</v>
      </c>
      <c r="D2056">
        <f t="shared" si="64"/>
        <v>5.3260673613464755</v>
      </c>
      <c r="F2056">
        <v>6213.47021484375</v>
      </c>
      <c r="G2056">
        <f t="shared" si="65"/>
        <v>2.9083119419277326E-2</v>
      </c>
    </row>
    <row r="2057" spans="1:7" x14ac:dyDescent="0.25">
      <c r="A2057" s="1">
        <v>43034</v>
      </c>
      <c r="B2057">
        <v>4.8979167938232404</v>
      </c>
      <c r="C2057">
        <f>C2058*(1+G2057*3)</f>
        <v>4.4417237912648853</v>
      </c>
      <c r="D2057">
        <f t="shared" si="64"/>
        <v>4.8987473322336141</v>
      </c>
      <c r="F2057">
        <v>6037.8701171875</v>
      </c>
      <c r="G2057">
        <f t="shared" si="65"/>
        <v>-2.8356413441088524E-3</v>
      </c>
    </row>
    <row r="2058" spans="1:7" x14ac:dyDescent="0.25">
      <c r="A2058" s="1">
        <v>43033</v>
      </c>
      <c r="B2058">
        <v>4.9437499046325604</v>
      </c>
      <c r="C2058">
        <f>C2059*(1+G2058*3)</f>
        <v>4.4798333936219068</v>
      </c>
      <c r="D2058">
        <f t="shared" si="64"/>
        <v>4.9408722850008653</v>
      </c>
      <c r="F2058">
        <v>6055.0400390625</v>
      </c>
      <c r="G2058">
        <f t="shared" si="65"/>
        <v>-4.141326282850244E-3</v>
      </c>
    </row>
    <row r="2059" spans="1:7" x14ac:dyDescent="0.25">
      <c r="A2059" s="1">
        <v>43032</v>
      </c>
      <c r="B2059">
        <v>5.0045828819274902</v>
      </c>
      <c r="C2059">
        <f>C2060*(1+G2059*3)</f>
        <v>4.5361909338368838</v>
      </c>
      <c r="D2059">
        <f t="shared" si="64"/>
        <v>5.0031255140436066</v>
      </c>
      <c r="F2059">
        <v>6080.22021484375</v>
      </c>
      <c r="G2059">
        <f t="shared" si="65"/>
        <v>2.0419386435057696E-3</v>
      </c>
    </row>
    <row r="2060" spans="1:7" x14ac:dyDescent="0.25">
      <c r="A2060" s="1">
        <v>43031</v>
      </c>
      <c r="B2060">
        <v>4.9791669845581001</v>
      </c>
      <c r="C2060">
        <f>C2061*(1+G2060*3)</f>
        <v>4.5085722501231906</v>
      </c>
      <c r="D2060">
        <f t="shared" si="64"/>
        <v>4.9727572483300273</v>
      </c>
      <c r="F2060">
        <v>6067.830078125</v>
      </c>
      <c r="G2060">
        <f t="shared" si="65"/>
        <v>-6.7099288034726534E-3</v>
      </c>
    </row>
    <row r="2061" spans="1:7" x14ac:dyDescent="0.25">
      <c r="A2061" s="1">
        <v>43028</v>
      </c>
      <c r="B2061">
        <v>5.0737500190734801</v>
      </c>
      <c r="C2061">
        <f>C2062*(1+G2061*3)</f>
        <v>4.6011932882486857</v>
      </c>
      <c r="D2061">
        <f t="shared" si="64"/>
        <v>5.0750120176105975</v>
      </c>
      <c r="F2061">
        <v>6108.81982421875</v>
      </c>
      <c r="G2061">
        <f t="shared" si="65"/>
        <v>2.6589064671125318E-3</v>
      </c>
    </row>
    <row r="2062" spans="1:7" x14ac:dyDescent="0.25">
      <c r="A2062" s="1">
        <v>43027</v>
      </c>
      <c r="B2062">
        <v>5.0370831489562899</v>
      </c>
      <c r="C2062">
        <f>C2063*(1+G2062*3)</f>
        <v>4.5647813086213427</v>
      </c>
      <c r="D2062">
        <f t="shared" si="64"/>
        <v>5.0349447804062581</v>
      </c>
      <c r="F2062">
        <v>6092.6201171875</v>
      </c>
      <c r="G2062">
        <f t="shared" si="65"/>
        <v>-3.5539313453901711E-3</v>
      </c>
    </row>
    <row r="2063" spans="1:7" x14ac:dyDescent="0.25">
      <c r="A2063" s="1">
        <v>43026</v>
      </c>
      <c r="B2063">
        <v>5.0933327674865696</v>
      </c>
      <c r="C2063">
        <f>C2064*(1+G2063*3)</f>
        <v>4.6139745550150444</v>
      </c>
      <c r="D2063">
        <f t="shared" si="64"/>
        <v>5.0893020013906289</v>
      </c>
      <c r="F2063">
        <v>6114.35009765625</v>
      </c>
      <c r="G2063">
        <f t="shared" si="65"/>
        <v>-1.3490596019413159E-3</v>
      </c>
    </row>
    <row r="2064" spans="1:7" x14ac:dyDescent="0.25">
      <c r="A2064" s="1">
        <v>43025</v>
      </c>
      <c r="B2064">
        <v>5.1129169464111301</v>
      </c>
      <c r="C2064">
        <f>C2065*(1+G2064*3)</f>
        <v>4.6327240174717881</v>
      </c>
      <c r="D2064">
        <f t="shared" si="64"/>
        <v>5.1100799323184667</v>
      </c>
      <c r="F2064">
        <v>6122.60986328125</v>
      </c>
      <c r="G2064">
        <f t="shared" si="65"/>
        <v>1.321455354525547E-3</v>
      </c>
    </row>
    <row r="2065" spans="1:7" x14ac:dyDescent="0.25">
      <c r="A2065" s="1">
        <v>43024</v>
      </c>
      <c r="B2065">
        <v>5.0949997901916504</v>
      </c>
      <c r="C2065">
        <f>C2066*(1+G2065*3)</f>
        <v>4.6144307249032561</v>
      </c>
      <c r="D2065">
        <f t="shared" si="64"/>
        <v>5.0899974635046368</v>
      </c>
      <c r="F2065">
        <v>6114.52978515625</v>
      </c>
      <c r="G2065">
        <f t="shared" si="65"/>
        <v>3.62409033080624E-3</v>
      </c>
    </row>
    <row r="2066" spans="1:7" x14ac:dyDescent="0.25">
      <c r="A2066" s="1">
        <v>43021</v>
      </c>
      <c r="B2066">
        <v>5.0429167747497496</v>
      </c>
      <c r="C2066">
        <f>C2067*(1+G2066*3)</f>
        <v>4.5648009717123434</v>
      </c>
      <c r="D2066">
        <f t="shared" si="64"/>
        <v>5.0353469193626337</v>
      </c>
      <c r="F2066">
        <v>6092.4501953125</v>
      </c>
      <c r="G2066">
        <f t="shared" si="65"/>
        <v>3.7001642622598307E-3</v>
      </c>
    </row>
    <row r="2067" spans="1:7" x14ac:dyDescent="0.25">
      <c r="A2067" s="1">
        <v>43020</v>
      </c>
      <c r="B2067">
        <v>4.9870829582214302</v>
      </c>
      <c r="C2067">
        <f>C2068*(1+G2067*3)</f>
        <v>4.5146857352733649</v>
      </c>
      <c r="D2067">
        <f t="shared" si="64"/>
        <v>4.9801587724949368</v>
      </c>
      <c r="F2067">
        <v>6069.990234375</v>
      </c>
      <c r="G2067">
        <f t="shared" si="65"/>
        <v>-1.8515544707091713E-3</v>
      </c>
    </row>
    <row r="2068" spans="1:7" x14ac:dyDescent="0.25">
      <c r="A2068" s="1">
        <v>43019</v>
      </c>
      <c r="B2068">
        <v>5.0141668319702104</v>
      </c>
      <c r="C2068">
        <f>C2069*(1+G2068*3)</f>
        <v>4.539903370419629</v>
      </c>
      <c r="D2068">
        <f t="shared" si="64"/>
        <v>5.0080715210423818</v>
      </c>
      <c r="F2068">
        <v>6081.25</v>
      </c>
      <c r="G2068">
        <f t="shared" si="65"/>
        <v>2.9240408890611747E-3</v>
      </c>
    </row>
    <row r="2069" spans="1:7" x14ac:dyDescent="0.25">
      <c r="A2069" s="1">
        <v>43018</v>
      </c>
      <c r="B2069">
        <v>4.9708328247070304</v>
      </c>
      <c r="C2069">
        <f>C2070*(1+G2069*3)</f>
        <v>4.5004250894802382</v>
      </c>
      <c r="D2069">
        <f t="shared" si="64"/>
        <v>4.9646150845854615</v>
      </c>
      <c r="F2069">
        <v>6063.52001953125</v>
      </c>
      <c r="G2069">
        <f t="shared" si="65"/>
        <v>8.2367084952306158E-4</v>
      </c>
    </row>
    <row r="2070" spans="1:7" x14ac:dyDescent="0.25">
      <c r="A2070" s="1">
        <v>43017</v>
      </c>
      <c r="B2070">
        <v>4.9604167938232404</v>
      </c>
      <c r="C2070">
        <f>C2071*(1+G2070*3)</f>
        <v>4.4893318940353852</v>
      </c>
      <c r="D2070">
        <f t="shared" si="64"/>
        <v>4.9524710132377301</v>
      </c>
      <c r="F2070">
        <v>6058.52978515625</v>
      </c>
      <c r="G2070">
        <f t="shared" si="65"/>
        <v>-9.9595506978567006E-4</v>
      </c>
    </row>
    <row r="2071" spans="1:7" x14ac:dyDescent="0.25">
      <c r="A2071" s="1">
        <v>43014</v>
      </c>
      <c r="B2071">
        <v>4.97291707992553</v>
      </c>
      <c r="C2071">
        <f>C2072*(1+G2071*3)</f>
        <v>4.5027856105062103</v>
      </c>
      <c r="D2071">
        <f t="shared" si="64"/>
        <v>4.9674067839407021</v>
      </c>
      <c r="F2071">
        <v>6064.56982421875</v>
      </c>
      <c r="G2071">
        <f t="shared" si="65"/>
        <v>1.2265999023137741E-3</v>
      </c>
    </row>
    <row r="2072" spans="1:7" x14ac:dyDescent="0.25">
      <c r="A2072" s="1">
        <v>43013</v>
      </c>
      <c r="B2072">
        <v>4.9549999237060502</v>
      </c>
      <c r="C2072">
        <f>C2073*(1+G2072*3)</f>
        <v>4.4862770096807294</v>
      </c>
      <c r="D2072">
        <f t="shared" si="64"/>
        <v>4.9492878823881234</v>
      </c>
      <c r="F2072">
        <v>6057.14013671875</v>
      </c>
      <c r="G2072">
        <f t="shared" si="65"/>
        <v>9.718594676184189E-3</v>
      </c>
    </row>
    <row r="2073" spans="1:7" x14ac:dyDescent="0.25">
      <c r="A2073" s="1">
        <v>43012</v>
      </c>
      <c r="B2073">
        <v>4.8162498474120996</v>
      </c>
      <c r="C2073">
        <f>C2074*(1+G2073*3)</f>
        <v>4.3591816509251275</v>
      </c>
      <c r="D2073">
        <f t="shared" si="64"/>
        <v>4.8091637815727459</v>
      </c>
      <c r="F2073">
        <v>5998.83984375</v>
      </c>
      <c r="G2073">
        <f t="shared" si="65"/>
        <v>6.3048328445547419E-4</v>
      </c>
    </row>
    <row r="2074" spans="1:7" x14ac:dyDescent="0.25">
      <c r="A2074" s="1">
        <v>43011</v>
      </c>
      <c r="B2074">
        <v>4.80375003814697</v>
      </c>
      <c r="C2074">
        <f>C2075*(1+G2074*3)</f>
        <v>4.3509520433207838</v>
      </c>
      <c r="D2074">
        <f t="shared" si="64"/>
        <v>4.8001751609414924</v>
      </c>
      <c r="F2074">
        <v>5995.06005859375</v>
      </c>
      <c r="G2074">
        <f t="shared" si="65"/>
        <v>2.1966420297099276E-3</v>
      </c>
    </row>
    <row r="2075" spans="1:7" x14ac:dyDescent="0.25">
      <c r="A2075" s="1">
        <v>43010</v>
      </c>
      <c r="B2075">
        <v>4.7737498283386204</v>
      </c>
      <c r="C2075">
        <f>C2076*(1+G2075*3)</f>
        <v>4.3224673032695575</v>
      </c>
      <c r="D2075">
        <f t="shared" si="64"/>
        <v>4.7688389428439022</v>
      </c>
      <c r="F2075">
        <v>5981.919921875</v>
      </c>
      <c r="G2075">
        <f t="shared" si="65"/>
        <v>4.3819799526456649E-4</v>
      </c>
    </row>
    <row r="2076" spans="1:7" x14ac:dyDescent="0.25">
      <c r="A2076" s="1">
        <v>43007</v>
      </c>
      <c r="B2076">
        <v>4.7604169845581001</v>
      </c>
      <c r="C2076">
        <f>C2077*(1+G2076*3)</f>
        <v>4.3167924738455206</v>
      </c>
      <c r="D2076">
        <f t="shared" si="64"/>
        <v>4.7626679297302834</v>
      </c>
      <c r="F2076">
        <v>5979.2998046875</v>
      </c>
      <c r="G2076">
        <f t="shared" si="65"/>
        <v>7.7919157937498262E-3</v>
      </c>
    </row>
    <row r="2077" spans="1:7" x14ac:dyDescent="0.25">
      <c r="A2077" s="1">
        <v>43006</v>
      </c>
      <c r="B2077">
        <v>4.6616668701171804</v>
      </c>
      <c r="C2077">
        <f>C2078*(1+G2077*3)</f>
        <v>4.2181891498717903</v>
      </c>
      <c r="D2077">
        <f t="shared" ref="D2077:D2140" si="66">D2078*(1+3*G2077-0.0000188888884265817)</f>
        <v>4.6539659066189616</v>
      </c>
      <c r="F2077">
        <v>5933.06982421875</v>
      </c>
      <c r="G2077">
        <f t="shared" si="65"/>
        <v>-7.9494472062791033E-4</v>
      </c>
    </row>
    <row r="2078" spans="1:7" x14ac:dyDescent="0.25">
      <c r="A2078" s="1">
        <v>43005</v>
      </c>
      <c r="B2078">
        <v>4.6695828437805096</v>
      </c>
      <c r="C2078">
        <f>C2079*(1+G2078*3)</f>
        <v>4.2282728794805422</v>
      </c>
      <c r="D2078">
        <f t="shared" si="66"/>
        <v>4.6651797066135883</v>
      </c>
      <c r="F2078">
        <v>5937.7900390625</v>
      </c>
      <c r="G2078">
        <f t="shared" si="65"/>
        <v>9.598186265751707E-3</v>
      </c>
    </row>
    <row r="2079" spans="1:7" x14ac:dyDescent="0.25">
      <c r="A2079" s="1">
        <v>43004</v>
      </c>
      <c r="B2079">
        <v>4.5462498664855904</v>
      </c>
      <c r="C2079">
        <f>C2080*(1+G2079*3)</f>
        <v>4.1099292791981119</v>
      </c>
      <c r="D2079">
        <f t="shared" si="66"/>
        <v>4.5346909370699082</v>
      </c>
      <c r="F2079">
        <v>5881.33984375</v>
      </c>
      <c r="G2079">
        <f t="shared" si="65"/>
        <v>2.3843380505517153E-3</v>
      </c>
    </row>
    <row r="2080" spans="1:7" x14ac:dyDescent="0.25">
      <c r="A2080" s="1">
        <v>43003</v>
      </c>
      <c r="B2080">
        <v>4.5154170989990199</v>
      </c>
      <c r="C2080">
        <f>C2081*(1+G2080*3)</f>
        <v>4.080739690443151</v>
      </c>
      <c r="D2080">
        <f t="shared" si="66"/>
        <v>4.5025690454930247</v>
      </c>
      <c r="F2080">
        <v>5867.35009765625</v>
      </c>
      <c r="G2080">
        <f t="shared" si="65"/>
        <v>-1.0951824663474885E-2</v>
      </c>
    </row>
    <row r="2081" spans="1:7" x14ac:dyDescent="0.25">
      <c r="A2081" s="1">
        <v>43000</v>
      </c>
      <c r="B2081">
        <v>4.6616668701171804</v>
      </c>
      <c r="C2081">
        <f>C2082*(1+G2081*3)</f>
        <v>4.2193690608788588</v>
      </c>
      <c r="D2081">
        <f t="shared" si="66"/>
        <v>4.6556195727536096</v>
      </c>
      <c r="F2081">
        <v>5932.31982421875</v>
      </c>
      <c r="G2081">
        <f t="shared" si="65"/>
        <v>-4.3645682294313204E-4</v>
      </c>
    </row>
    <row r="2082" spans="1:7" x14ac:dyDescent="0.25">
      <c r="A2082" s="1">
        <v>42999</v>
      </c>
      <c r="B2082">
        <v>4.6733331680297798</v>
      </c>
      <c r="C2082">
        <f>C2083*(1+G2082*3)</f>
        <v>4.224901021510151</v>
      </c>
      <c r="D2082">
        <f t="shared" si="66"/>
        <v>4.6618116677230281</v>
      </c>
      <c r="F2082">
        <v>5934.91015625</v>
      </c>
      <c r="G2082">
        <f t="shared" si="65"/>
        <v>-6.4784456830919712E-3</v>
      </c>
    </row>
    <row r="2083" spans="1:7" x14ac:dyDescent="0.25">
      <c r="A2083" s="1">
        <v>42998</v>
      </c>
      <c r="B2083">
        <v>4.7649998664855904</v>
      </c>
      <c r="C2083">
        <f>C2084*(1+G2083*3)</f>
        <v>4.308640909816738</v>
      </c>
      <c r="D2083">
        <f t="shared" si="66"/>
        <v>4.7543029515181479</v>
      </c>
      <c r="F2083">
        <v>5973.60986328125</v>
      </c>
      <c r="G2083">
        <f t="shared" si="65"/>
        <v>-2.9160376119055087E-3</v>
      </c>
    </row>
    <row r="2084" spans="1:7" x14ac:dyDescent="0.25">
      <c r="A2084" s="1">
        <v>42997</v>
      </c>
      <c r="B2084">
        <v>4.8049998283386204</v>
      </c>
      <c r="C2084">
        <f>C2085*(1+G2084*3)</f>
        <v>4.3466660347478889</v>
      </c>
      <c r="D2084">
        <f t="shared" si="66"/>
        <v>4.7963525828818714</v>
      </c>
      <c r="F2084">
        <v>5991.080078125</v>
      </c>
      <c r="G2084">
        <f t="shared" si="65"/>
        <v>1.6652333914644046E-3</v>
      </c>
    </row>
    <row r="2085" spans="1:7" x14ac:dyDescent="0.25">
      <c r="A2085" s="1">
        <v>42996</v>
      </c>
      <c r="B2085">
        <v>4.7845830917358398</v>
      </c>
      <c r="C2085">
        <f>C2086*(1+G2085*3)</f>
        <v>4.3250593350734015</v>
      </c>
      <c r="D2085">
        <f t="shared" si="66"/>
        <v>4.772600252083893</v>
      </c>
      <c r="F2085">
        <v>5981.1201171875</v>
      </c>
      <c r="G2085">
        <f t="shared" si="65"/>
        <v>-1.1489450254675848E-3</v>
      </c>
    </row>
    <row r="2086" spans="1:7" x14ac:dyDescent="0.25">
      <c r="A2086" s="1">
        <v>42993</v>
      </c>
      <c r="B2086">
        <v>4.7962498664855904</v>
      </c>
      <c r="C2086">
        <f>C2087*(1+G2086*3)</f>
        <v>4.3400186636354627</v>
      </c>
      <c r="D2086">
        <f t="shared" si="66"/>
        <v>4.78919829137463</v>
      </c>
      <c r="F2086">
        <v>5988</v>
      </c>
      <c r="G2086">
        <f t="shared" si="65"/>
        <v>3.2133950003694345E-3</v>
      </c>
    </row>
    <row r="2087" spans="1:7" x14ac:dyDescent="0.25">
      <c r="A2087" s="1">
        <v>42992</v>
      </c>
      <c r="B2087">
        <v>4.7579169273376403</v>
      </c>
      <c r="C2087">
        <f>C2088*(1+G2087*3)</f>
        <v>4.298579561421378</v>
      </c>
      <c r="D2087">
        <f t="shared" si="66"/>
        <v>4.7435591046012533</v>
      </c>
      <c r="F2087">
        <v>5968.81982421875</v>
      </c>
      <c r="G2087">
        <f t="shared" si="65"/>
        <v>-5.9223532301047044E-3</v>
      </c>
    </row>
    <row r="2088" spans="1:7" x14ac:dyDescent="0.25">
      <c r="A2088" s="1">
        <v>42991</v>
      </c>
      <c r="B2088">
        <v>4.8395829200744602</v>
      </c>
      <c r="C2088">
        <f>C2089*(1+G2088*3)</f>
        <v>4.3763341515161249</v>
      </c>
      <c r="D2088">
        <f t="shared" si="66"/>
        <v>4.8294555527253404</v>
      </c>
      <c r="F2088">
        <v>6004.3798828125</v>
      </c>
      <c r="G2088">
        <f t="shared" si="65"/>
        <v>1.4576835658006715E-3</v>
      </c>
    </row>
    <row r="2089" spans="1:7" x14ac:dyDescent="0.25">
      <c r="A2089" s="1">
        <v>42990</v>
      </c>
      <c r="B2089">
        <v>4.8195829391479403</v>
      </c>
      <c r="C2089">
        <f>C2090*(1+G2089*3)</f>
        <v>4.3572795471536692</v>
      </c>
      <c r="D2089">
        <f t="shared" si="66"/>
        <v>4.8085184851794196</v>
      </c>
      <c r="F2089">
        <v>5995.64013671875</v>
      </c>
      <c r="G2089">
        <f t="shared" si="65"/>
        <v>2.5265908047149566E-3</v>
      </c>
    </row>
    <row r="2090" spans="1:7" x14ac:dyDescent="0.25">
      <c r="A2090" s="1">
        <v>42989</v>
      </c>
      <c r="B2090">
        <v>4.7791671752929599</v>
      </c>
      <c r="C2090">
        <f>C2091*(1+G2090*3)</f>
        <v>4.3245008151698974</v>
      </c>
      <c r="D2090">
        <f t="shared" si="66"/>
        <v>4.7724346625616896</v>
      </c>
      <c r="F2090">
        <v>5980.52978515625</v>
      </c>
      <c r="G2090">
        <f t="shared" si="65"/>
        <v>1.1357257644595498E-2</v>
      </c>
    </row>
    <row r="2091" spans="1:7" x14ac:dyDescent="0.25">
      <c r="A2091" s="1">
        <v>42986</v>
      </c>
      <c r="B2091">
        <v>4.6316671371459899</v>
      </c>
      <c r="C2091">
        <f>C2092*(1+G2091*3)</f>
        <v>4.1820122435996545</v>
      </c>
      <c r="D2091">
        <f t="shared" si="66"/>
        <v>4.6152713620325256</v>
      </c>
      <c r="F2091">
        <v>5913.3701171875</v>
      </c>
      <c r="G2091">
        <f t="shared" si="65"/>
        <v>-8.5407936384616079E-3</v>
      </c>
    </row>
    <row r="2092" spans="1:7" x14ac:dyDescent="0.25">
      <c r="A2092" s="1">
        <v>42985</v>
      </c>
      <c r="B2092">
        <v>4.7487502098083496</v>
      </c>
      <c r="C2092">
        <f>C2093*(1+G2092*3)</f>
        <v>4.2919830686674336</v>
      </c>
      <c r="D2092">
        <f t="shared" si="66"/>
        <v>4.7367270585272365</v>
      </c>
      <c r="F2092">
        <v>5964.31005859375</v>
      </c>
      <c r="G2092">
        <f t="shared" si="65"/>
        <v>2.214735023565062E-3</v>
      </c>
    </row>
    <row r="2093" spans="1:7" x14ac:dyDescent="0.25">
      <c r="A2093" s="1">
        <v>42984</v>
      </c>
      <c r="B2093">
        <v>4.71958303451538</v>
      </c>
      <c r="C2093">
        <f>C2094*(1+G2093*3)</f>
        <v>4.2636544739916458</v>
      </c>
      <c r="D2093">
        <f t="shared" si="66"/>
        <v>4.7055512933966011</v>
      </c>
      <c r="F2093">
        <v>5951.1298828125</v>
      </c>
      <c r="G2093">
        <f t="shared" si="65"/>
        <v>3.1014225161645204E-3</v>
      </c>
    </row>
    <row r="2094" spans="1:7" x14ac:dyDescent="0.25">
      <c r="A2094" s="1">
        <v>42983</v>
      </c>
      <c r="B2094">
        <v>4.6791667938232404</v>
      </c>
      <c r="C2094">
        <f>C2095*(1+G2094*3)</f>
        <v>4.2243499914526934</v>
      </c>
      <c r="D2094">
        <f t="shared" si="66"/>
        <v>4.6622604398011962</v>
      </c>
      <c r="F2094">
        <v>5932.72998046875</v>
      </c>
      <c r="G2094">
        <f t="shared" si="65"/>
        <v>-9.2135678242393215E-3</v>
      </c>
    </row>
    <row r="2095" spans="1:7" x14ac:dyDescent="0.25">
      <c r="A2095" s="1">
        <v>42979</v>
      </c>
      <c r="B2095">
        <v>4.8079171180725098</v>
      </c>
      <c r="C2095">
        <f>C2096*(1+G2095*3)</f>
        <v>4.3444331807590926</v>
      </c>
      <c r="D2095">
        <f t="shared" si="66"/>
        <v>4.7948850044426443</v>
      </c>
      <c r="F2095">
        <v>5987.89990234375</v>
      </c>
      <c r="G2095">
        <f t="shared" si="65"/>
        <v>-1.1692136744512194E-4</v>
      </c>
    </row>
    <row r="2096" spans="1:7" x14ac:dyDescent="0.25">
      <c r="A2096" s="1">
        <v>42978</v>
      </c>
      <c r="B2096">
        <v>4.8112502098083496</v>
      </c>
      <c r="C2096">
        <f>C2097*(1+G2096*3)</f>
        <v>4.3459575866707691</v>
      </c>
      <c r="D2096">
        <f t="shared" si="66"/>
        <v>4.7966581034562497</v>
      </c>
      <c r="F2096">
        <v>5988.60009765625</v>
      </c>
      <c r="G2096">
        <f t="shared" si="65"/>
        <v>9.3883591884798001E-3</v>
      </c>
    </row>
    <row r="2097" spans="1:7" x14ac:dyDescent="0.25">
      <c r="A2097" s="1">
        <v>42977</v>
      </c>
      <c r="B2097">
        <v>4.6783328056335396</v>
      </c>
      <c r="C2097">
        <f>C2098*(1+G2097*3)</f>
        <v>4.2269064389557256</v>
      </c>
      <c r="D2097">
        <f t="shared" si="66"/>
        <v>4.6653463838916167</v>
      </c>
      <c r="F2097">
        <v>5932.89990234375</v>
      </c>
      <c r="G2097">
        <f t="shared" si="65"/>
        <v>1.2070636998556372E-2</v>
      </c>
    </row>
    <row r="2098" spans="1:7" x14ac:dyDescent="0.25">
      <c r="A2098" s="1">
        <v>42976</v>
      </c>
      <c r="B2098">
        <v>4.52166700363159</v>
      </c>
      <c r="C2098">
        <f>C2099*(1+G2098*3)</f>
        <v>4.0791911327232295</v>
      </c>
      <c r="D2098">
        <f t="shared" si="66"/>
        <v>4.5023912382694737</v>
      </c>
      <c r="F2098">
        <v>5862.14013671875</v>
      </c>
      <c r="G2098">
        <f t="shared" si="65"/>
        <v>4.121227915989234E-3</v>
      </c>
    </row>
    <row r="2099" spans="1:7" x14ac:dyDescent="0.25">
      <c r="A2099" s="1">
        <v>42975</v>
      </c>
      <c r="B2099">
        <v>4.4666671752929599</v>
      </c>
      <c r="C2099">
        <f>C2100*(1+G2099*3)</f>
        <v>4.0293732363267605</v>
      </c>
      <c r="D2099">
        <f t="shared" si="66"/>
        <v>4.4474879123512085</v>
      </c>
      <c r="F2099">
        <v>5838.080078125</v>
      </c>
      <c r="G2099">
        <f t="shared" si="65"/>
        <v>2.6707107636261274E-3</v>
      </c>
    </row>
    <row r="2100" spans="1:7" x14ac:dyDescent="0.25">
      <c r="A2100" s="1">
        <v>42972</v>
      </c>
      <c r="B2100">
        <v>4.42791700363159</v>
      </c>
      <c r="C2100">
        <f>C2101*(1+G2100*3)</f>
        <v>3.9973459715899717</v>
      </c>
      <c r="D2100">
        <f t="shared" si="66"/>
        <v>4.4122199642319453</v>
      </c>
      <c r="F2100">
        <v>5822.52978515625</v>
      </c>
      <c r="G2100">
        <f t="shared" si="65"/>
        <v>-2.0413538179517854E-3</v>
      </c>
    </row>
    <row r="2101" spans="1:7" x14ac:dyDescent="0.25">
      <c r="A2101" s="1">
        <v>42971</v>
      </c>
      <c r="B2101">
        <v>4.4579172134399396</v>
      </c>
      <c r="C2101">
        <f>C2102*(1+G2101*3)</f>
        <v>4.0219768047079842</v>
      </c>
      <c r="D2101">
        <f t="shared" si="66"/>
        <v>4.4394915403090449</v>
      </c>
      <c r="F2101">
        <v>5834.43994140625</v>
      </c>
      <c r="G2101">
        <f t="shared" si="65"/>
        <v>-2.9631743480820205E-3</v>
      </c>
    </row>
    <row r="2102" spans="1:7" x14ac:dyDescent="0.25">
      <c r="A2102" s="1">
        <v>42970</v>
      </c>
      <c r="B2102">
        <v>4.4954171180725098</v>
      </c>
      <c r="C2102">
        <f>C2103*(1+G2102*3)</f>
        <v>4.0580509420722599</v>
      </c>
      <c r="D2102">
        <f t="shared" si="66"/>
        <v>4.4793958436941743</v>
      </c>
      <c r="F2102">
        <v>5851.77978515625</v>
      </c>
      <c r="G2102">
        <f t="shared" si="65"/>
        <v>-3.6691779079491837E-3</v>
      </c>
    </row>
    <row r="2103" spans="1:7" x14ac:dyDescent="0.25">
      <c r="A2103" s="1">
        <v>42969</v>
      </c>
      <c r="B2103">
        <v>4.5462498664855904</v>
      </c>
      <c r="C2103">
        <f>C2104*(1+G2103*3)</f>
        <v>4.1032172442647772</v>
      </c>
      <c r="D2103">
        <f t="shared" si="66"/>
        <v>4.5293382412966459</v>
      </c>
      <c r="F2103">
        <v>5873.330078125</v>
      </c>
      <c r="G2103">
        <f t="shared" si="65"/>
        <v>1.4998606849104368E-2</v>
      </c>
    </row>
    <row r="2104" spans="1:7" x14ac:dyDescent="0.25">
      <c r="A2104" s="1">
        <v>42968</v>
      </c>
      <c r="B2104">
        <v>4.3524999618530202</v>
      </c>
      <c r="C2104">
        <f>C2105*(1+G2104*3)</f>
        <v>3.9265393828233019</v>
      </c>
      <c r="D2104">
        <f t="shared" si="66"/>
        <v>4.3343906492810165</v>
      </c>
      <c r="F2104">
        <v>5786.5400390625</v>
      </c>
      <c r="G2104">
        <f t="shared" si="65"/>
        <v>-7.5465118083095639E-4</v>
      </c>
    </row>
    <row r="2105" spans="1:7" x14ac:dyDescent="0.25">
      <c r="A2105" s="1">
        <v>42965</v>
      </c>
      <c r="B2105">
        <v>4.3604168891906703</v>
      </c>
      <c r="C2105">
        <f>C2106*(1+G2105*3)</f>
        <v>3.9354490566564193</v>
      </c>
      <c r="D2105">
        <f t="shared" si="66"/>
        <v>4.3443080199619697</v>
      </c>
      <c r="F2105">
        <v>5790.91015625</v>
      </c>
      <c r="G2105">
        <f t="shared" si="65"/>
        <v>-9.3329356088101001E-4</v>
      </c>
    </row>
    <row r="2106" spans="1:7" x14ac:dyDescent="0.25">
      <c r="A2106" s="1">
        <v>42964</v>
      </c>
      <c r="B2106">
        <v>4.37583303451538</v>
      </c>
      <c r="C2106">
        <f>C2107*(1+G2106*3)</f>
        <v>3.9464987823612265</v>
      </c>
      <c r="D2106">
        <f t="shared" si="66"/>
        <v>4.3565882383218311</v>
      </c>
      <c r="F2106">
        <v>5796.31982421875</v>
      </c>
      <c r="G2106">
        <f t="shared" si="65"/>
        <v>-2.046501672267298E-2</v>
      </c>
    </row>
    <row r="2107" spans="1:7" x14ac:dyDescent="0.25">
      <c r="A2107" s="1">
        <v>42963</v>
      </c>
      <c r="B2107">
        <v>4.6624999046325604</v>
      </c>
      <c r="C2107">
        <f>C2108*(1+G2107*3)</f>
        <v>4.2046430535740154</v>
      </c>
      <c r="D2107">
        <f t="shared" si="66"/>
        <v>4.6416502648059588</v>
      </c>
      <c r="F2107">
        <v>5917.419921875</v>
      </c>
      <c r="G2107">
        <f t="shared" si="65"/>
        <v>1.6402139973028529E-3</v>
      </c>
    </row>
    <row r="2108" spans="1:7" x14ac:dyDescent="0.25">
      <c r="A2108" s="1">
        <v>42962</v>
      </c>
      <c r="B2108">
        <v>4.6383328437805096</v>
      </c>
      <c r="C2108">
        <f>C2109*(1+G2108*3)</f>
        <v>4.1840548177413899</v>
      </c>
      <c r="D2108">
        <f t="shared" si="66"/>
        <v>4.6190090229924934</v>
      </c>
      <c r="F2108">
        <v>5907.72998046875</v>
      </c>
      <c r="G2108">
        <f t="shared" si="65"/>
        <v>-7.4463228388443881E-5</v>
      </c>
    </row>
    <row r="2109" spans="1:7" x14ac:dyDescent="0.25">
      <c r="A2109" s="1">
        <v>42961</v>
      </c>
      <c r="B2109">
        <v>4.63000011444091</v>
      </c>
      <c r="C2109">
        <f>C2110*(1+G2109*3)</f>
        <v>4.1849897012731772</v>
      </c>
      <c r="D2109">
        <f t="shared" si="66"/>
        <v>4.6201283811064791</v>
      </c>
      <c r="F2109">
        <v>5908.169921875</v>
      </c>
      <c r="G2109">
        <f t="shared" si="65"/>
        <v>1.3142372506410149E-2</v>
      </c>
    </row>
    <row r="2110" spans="1:7" x14ac:dyDescent="0.25">
      <c r="A2110" s="1">
        <v>42958</v>
      </c>
      <c r="B2110">
        <v>4.4566669464111301</v>
      </c>
      <c r="C2110">
        <f>C2111*(1+G2110*3)</f>
        <v>4.0262464108704101</v>
      </c>
      <c r="D2110">
        <f t="shared" si="66"/>
        <v>4.4449603667199185</v>
      </c>
      <c r="F2110">
        <v>5831.52978515625</v>
      </c>
      <c r="G2110">
        <f t="shared" si="65"/>
        <v>7.487633299654739E-3</v>
      </c>
    </row>
    <row r="2111" spans="1:7" x14ac:dyDescent="0.25">
      <c r="A2111" s="1">
        <v>42957</v>
      </c>
      <c r="B2111">
        <v>4.3570828437805096</v>
      </c>
      <c r="C2111">
        <f>C2112*(1+G2111*3)</f>
        <v>3.9377921793233455</v>
      </c>
      <c r="D2111">
        <f t="shared" si="66"/>
        <v>4.3473875526218002</v>
      </c>
      <c r="F2111">
        <v>5788.18994140625</v>
      </c>
      <c r="G2111">
        <f t="shared" si="65"/>
        <v>-2.2164478482107119E-2</v>
      </c>
    </row>
    <row r="2112" spans="1:7" x14ac:dyDescent="0.25">
      <c r="A2112" s="1">
        <v>42956</v>
      </c>
      <c r="B2112">
        <v>4.6595830917358398</v>
      </c>
      <c r="C2112">
        <f>C2113*(1+G2112*3)</f>
        <v>4.2182801159047596</v>
      </c>
      <c r="D2112">
        <f t="shared" si="66"/>
        <v>4.6571450978435518</v>
      </c>
      <c r="F2112">
        <v>5919.39013671875</v>
      </c>
      <c r="G2112">
        <f t="shared" si="65"/>
        <v>-1.1744093451806492E-3</v>
      </c>
    </row>
    <row r="2113" spans="1:7" x14ac:dyDescent="0.25">
      <c r="A2113" s="1">
        <v>42955</v>
      </c>
      <c r="B2113">
        <v>4.67791700363159</v>
      </c>
      <c r="C2113">
        <f>C2114*(1+G2113*3)</f>
        <v>4.2331946258906026</v>
      </c>
      <c r="D2113">
        <f t="shared" si="66"/>
        <v>4.6736998893190584</v>
      </c>
      <c r="F2113">
        <v>5926.35009765625</v>
      </c>
      <c r="G2113">
        <f t="shared" si="65"/>
        <v>-1.4120074274782679E-3</v>
      </c>
    </row>
    <row r="2114" spans="1:7" x14ac:dyDescent="0.25">
      <c r="A2114" s="1">
        <v>42954</v>
      </c>
      <c r="B2114">
        <v>4.6954169273376403</v>
      </c>
      <c r="C2114">
        <f>C2115*(1+G2114*3)</f>
        <v>4.2512028157452493</v>
      </c>
      <c r="D2114">
        <f t="shared" si="66"/>
        <v>4.693671042670867</v>
      </c>
      <c r="F2114">
        <v>5934.72998046875</v>
      </c>
      <c r="G2114">
        <f t="shared" ref="G2114:G2177" si="67">F2114/F2115-1</f>
        <v>5.901754992296615E-3</v>
      </c>
    </row>
    <row r="2115" spans="1:7" x14ac:dyDescent="0.25">
      <c r="A2115" s="1">
        <v>42951</v>
      </c>
      <c r="B2115">
        <v>4.6137499809265101</v>
      </c>
      <c r="C2115">
        <f>C2116*(1+G2115*3)</f>
        <v>4.1772436107440063</v>
      </c>
      <c r="D2115">
        <f t="shared" si="66"/>
        <v>4.6120997125963932</v>
      </c>
      <c r="F2115">
        <v>5899.91015625</v>
      </c>
      <c r="G2115">
        <f t="shared" si="67"/>
        <v>1.4784696918686002E-3</v>
      </c>
    </row>
    <row r="2116" spans="1:7" x14ac:dyDescent="0.25">
      <c r="A2116" s="1">
        <v>42950</v>
      </c>
      <c r="B2116">
        <v>4.5958328247070304</v>
      </c>
      <c r="C2116">
        <f>C2117*(1+G2116*3)</f>
        <v>4.1587976419393407</v>
      </c>
      <c r="D2116">
        <f t="shared" si="66"/>
        <v>4.5918198475438254</v>
      </c>
      <c r="F2116">
        <v>5891.2001953125</v>
      </c>
      <c r="G2116">
        <f t="shared" si="67"/>
        <v>-3.8939617215265621E-3</v>
      </c>
    </row>
    <row r="2117" spans="1:7" x14ac:dyDescent="0.25">
      <c r="A2117" s="1">
        <v>42949</v>
      </c>
      <c r="B2117">
        <v>4.6441669464111301</v>
      </c>
      <c r="C2117">
        <f>C2118*(1+G2117*3)</f>
        <v>4.2079544829873772</v>
      </c>
      <c r="D2117">
        <f t="shared" si="66"/>
        <v>4.6461837943300202</v>
      </c>
      <c r="F2117">
        <v>5914.22998046875</v>
      </c>
      <c r="G2117">
        <f t="shared" si="67"/>
        <v>3.2331652600927629E-3</v>
      </c>
    </row>
    <row r="2118" spans="1:7" x14ac:dyDescent="0.25">
      <c r="A2118" s="1">
        <v>42948</v>
      </c>
      <c r="B2118">
        <v>4.6104168891906703</v>
      </c>
      <c r="C2118">
        <f>C2119*(1+G2118*3)</f>
        <v>4.1675315285123942</v>
      </c>
      <c r="D2118">
        <f t="shared" si="66"/>
        <v>4.6016371539833676</v>
      </c>
      <c r="F2118">
        <v>5895.169921875</v>
      </c>
      <c r="G2118">
        <f t="shared" si="67"/>
        <v>2.5236412842204459E-3</v>
      </c>
    </row>
    <row r="2119" spans="1:7" x14ac:dyDescent="0.25">
      <c r="A2119" s="1">
        <v>42947</v>
      </c>
      <c r="B2119">
        <v>4.5804171562194798</v>
      </c>
      <c r="C2119">
        <f>C2120*(1+G2119*3)</f>
        <v>4.1362165479894486</v>
      </c>
      <c r="D2119">
        <f t="shared" si="66"/>
        <v>4.5671459083963963</v>
      </c>
      <c r="F2119">
        <v>5880.330078125</v>
      </c>
      <c r="G2119">
        <f t="shared" si="67"/>
        <v>-4.8384212559996476E-3</v>
      </c>
    </row>
    <row r="2120" spans="1:7" x14ac:dyDescent="0.25">
      <c r="A2120" s="1">
        <v>42944</v>
      </c>
      <c r="B2120">
        <v>4.6408329010009703</v>
      </c>
      <c r="C2120">
        <f>C2121*(1+G2120*3)</f>
        <v>4.1971391295255005</v>
      </c>
      <c r="D2120">
        <f t="shared" si="66"/>
        <v>4.6345045043495041</v>
      </c>
      <c r="F2120">
        <v>5908.919921875</v>
      </c>
      <c r="G2120">
        <f t="shared" si="67"/>
        <v>-1.3705970014878943E-3</v>
      </c>
    </row>
    <row r="2121" spans="1:7" x14ac:dyDescent="0.25">
      <c r="A2121" s="1">
        <v>42943</v>
      </c>
      <c r="B2121">
        <v>4.6558327674865696</v>
      </c>
      <c r="C2121">
        <f>C2122*(1+G2121*3)</f>
        <v>4.2144681417192205</v>
      </c>
      <c r="D2121">
        <f t="shared" si="66"/>
        <v>4.653727563221894</v>
      </c>
      <c r="F2121">
        <v>5917.02978515625</v>
      </c>
      <c r="G2121">
        <f t="shared" si="67"/>
        <v>-5.6632035772266054E-3</v>
      </c>
    </row>
    <row r="2122" spans="1:7" x14ac:dyDescent="0.25">
      <c r="A2122" s="1">
        <v>42942</v>
      </c>
      <c r="B2122">
        <v>4.74041700363159</v>
      </c>
      <c r="C2122">
        <f>C2123*(1+G2122*3)</f>
        <v>4.2873078328868495</v>
      </c>
      <c r="D2122">
        <f t="shared" si="66"/>
        <v>4.7342500534576164</v>
      </c>
      <c r="F2122">
        <v>5950.72998046875</v>
      </c>
      <c r="G2122">
        <f t="shared" si="67"/>
        <v>3.385814110703933E-3</v>
      </c>
    </row>
    <row r="2123" spans="1:7" x14ac:dyDescent="0.25">
      <c r="A2123" s="1">
        <v>42941</v>
      </c>
      <c r="B2123">
        <v>4.6983327865600497</v>
      </c>
      <c r="C2123">
        <f>C2124*(1+G2123*3)</f>
        <v>4.2441976401113335</v>
      </c>
      <c r="D2123">
        <f t="shared" si="66"/>
        <v>4.6867333568429617</v>
      </c>
      <c r="F2123">
        <v>5930.64990234375</v>
      </c>
      <c r="G2123">
        <f t="shared" si="67"/>
        <v>-1.8043337870398135E-3</v>
      </c>
    </row>
    <row r="2124" spans="1:7" x14ac:dyDescent="0.25">
      <c r="A2124" s="1">
        <v>42940</v>
      </c>
      <c r="B2124">
        <v>4.7300000190734801</v>
      </c>
      <c r="C2124">
        <f>C2125*(1+G2124*3)</f>
        <v>4.2672965219931829</v>
      </c>
      <c r="D2124">
        <f t="shared" si="66"/>
        <v>4.7123302174035171</v>
      </c>
      <c r="F2124">
        <v>5941.3701171875</v>
      </c>
      <c r="G2124">
        <f t="shared" si="67"/>
        <v>3.350541625406489E-3</v>
      </c>
    </row>
    <row r="2125" spans="1:7" x14ac:dyDescent="0.25">
      <c r="A2125" s="1">
        <v>42937</v>
      </c>
      <c r="B2125">
        <v>4.66916704177856</v>
      </c>
      <c r="C2125">
        <f>C2126*(1+G2125*3)</f>
        <v>4.2248301145163092</v>
      </c>
      <c r="D2125">
        <f t="shared" si="66"/>
        <v>4.6655222642808178</v>
      </c>
      <c r="F2125">
        <v>5921.52978515625</v>
      </c>
      <c r="G2125">
        <f t="shared" si="67"/>
        <v>5.2281506390139398E-5</v>
      </c>
    </row>
    <row r="2126" spans="1:7" x14ac:dyDescent="0.25">
      <c r="A2126" s="1">
        <v>42936</v>
      </c>
      <c r="B2126">
        <v>4.6762499809265101</v>
      </c>
      <c r="C2126">
        <f>C2127*(1+G2126*3)</f>
        <v>4.2241675769838016</v>
      </c>
      <c r="D2126">
        <f t="shared" si="66"/>
        <v>4.6648787179949327</v>
      </c>
      <c r="F2126">
        <v>5921.22021484375</v>
      </c>
      <c r="G2126">
        <f t="shared" si="67"/>
        <v>8.5529439029885523E-4</v>
      </c>
    </row>
    <row r="2127" spans="1:7" x14ac:dyDescent="0.25">
      <c r="A2127" s="1">
        <v>42935</v>
      </c>
      <c r="B2127">
        <v>4.6587500572204501</v>
      </c>
      <c r="C2127">
        <f>C2128*(1+G2127*3)</f>
        <v>4.2133565962006241</v>
      </c>
      <c r="D2127">
        <f t="shared" si="66"/>
        <v>4.6530274835980325</v>
      </c>
      <c r="F2127">
        <v>5916.16015625</v>
      </c>
      <c r="G2127">
        <f t="shared" si="67"/>
        <v>6.1325586290823519E-3</v>
      </c>
    </row>
    <row r="2128" spans="1:7" x14ac:dyDescent="0.25">
      <c r="A2128" s="1">
        <v>42934</v>
      </c>
      <c r="B2128">
        <v>4.5749998092651296</v>
      </c>
      <c r="C2128">
        <f>C2129*(1+G2128*3)</f>
        <v>4.1372409776268091</v>
      </c>
      <c r="D2128">
        <f t="shared" si="66"/>
        <v>4.5690538167144892</v>
      </c>
      <c r="F2128">
        <v>5880.10009765625</v>
      </c>
      <c r="G2128">
        <f t="shared" si="67"/>
        <v>6.9112429083191262E-3</v>
      </c>
    </row>
    <row r="2129" spans="1:7" x14ac:dyDescent="0.25">
      <c r="A2129" s="1">
        <v>42933</v>
      </c>
      <c r="B2129">
        <v>4.4858331680297798</v>
      </c>
      <c r="C2129">
        <f>C2130*(1+G2129*3)</f>
        <v>4.0532029668450518</v>
      </c>
      <c r="D2129">
        <f t="shared" si="66"/>
        <v>4.4763274113328562</v>
      </c>
      <c r="F2129">
        <v>5839.740234375</v>
      </c>
      <c r="G2129">
        <f t="shared" si="67"/>
        <v>2.8436681713572831E-4</v>
      </c>
    </row>
    <row r="2130" spans="1:7" x14ac:dyDescent="0.25">
      <c r="A2130" s="1">
        <v>42930</v>
      </c>
      <c r="B2130">
        <v>4.48333311080932</v>
      </c>
      <c r="C2130">
        <f>C2131*(1+G2130*3)</f>
        <v>4.0497481248916216</v>
      </c>
      <c r="D2130">
        <f t="shared" si="66"/>
        <v>4.4725963197663621</v>
      </c>
      <c r="F2130">
        <v>5838.080078125</v>
      </c>
      <c r="G2130">
        <f t="shared" si="67"/>
        <v>7.7192192266857251E-3</v>
      </c>
    </row>
    <row r="2131" spans="1:7" x14ac:dyDescent="0.25">
      <c r="A2131" s="1">
        <v>42929</v>
      </c>
      <c r="B2131">
        <v>4.3804168701171804</v>
      </c>
      <c r="C2131">
        <f>C2132*(1+G2131*3)</f>
        <v>3.9580880761564741</v>
      </c>
      <c r="D2131">
        <f t="shared" si="66"/>
        <v>4.371446431502819</v>
      </c>
      <c r="F2131">
        <v>5793.35986328125</v>
      </c>
      <c r="G2131">
        <f t="shared" si="67"/>
        <v>2.4934750225806823E-3</v>
      </c>
    </row>
    <row r="2132" spans="1:7" x14ac:dyDescent="0.25">
      <c r="A2132" s="1">
        <v>42928</v>
      </c>
      <c r="B2132">
        <v>4.3516669273376403</v>
      </c>
      <c r="C2132">
        <f>C2133*(1+G2132*3)</f>
        <v>3.9286997321961228</v>
      </c>
      <c r="D2132">
        <f t="shared" si="66"/>
        <v>4.3390703014638525</v>
      </c>
      <c r="F2132">
        <v>5778.9501953125</v>
      </c>
      <c r="G2132">
        <f t="shared" si="67"/>
        <v>1.2110825771549871E-2</v>
      </c>
    </row>
    <row r="2133" spans="1:7" x14ac:dyDescent="0.25">
      <c r="A2133" s="1">
        <v>42927</v>
      </c>
      <c r="B2133">
        <v>4.20208311080932</v>
      </c>
      <c r="C2133">
        <f>C2134*(1+G2133*3)</f>
        <v>3.7909645969758574</v>
      </c>
      <c r="D2133">
        <f t="shared" si="66"/>
        <v>4.1870244199473392</v>
      </c>
      <c r="F2133">
        <v>5709.7998046875</v>
      </c>
      <c r="G2133">
        <f t="shared" si="67"/>
        <v>2.7484176939753802E-3</v>
      </c>
    </row>
    <row r="2134" spans="1:7" x14ac:dyDescent="0.25">
      <c r="A2134" s="1">
        <v>42926</v>
      </c>
      <c r="B2134">
        <v>4.1679167747497496</v>
      </c>
      <c r="C2134">
        <f>C2135*(1+G2134*3)</f>
        <v>3.7599627525028558</v>
      </c>
      <c r="D2134">
        <f t="shared" si="66"/>
        <v>4.1528614690577186</v>
      </c>
      <c r="F2134">
        <v>5694.14990234375</v>
      </c>
      <c r="G2134">
        <f t="shared" si="67"/>
        <v>6.6613428638093719E-3</v>
      </c>
    </row>
    <row r="2135" spans="1:7" x14ac:dyDescent="0.25">
      <c r="A2135" s="1">
        <v>42923</v>
      </c>
      <c r="B2135">
        <v>4.0824999809265101</v>
      </c>
      <c r="C2135">
        <f>C2136*(1+G2135*3)</f>
        <v>3.6862957135664844</v>
      </c>
      <c r="D2135">
        <f t="shared" si="66"/>
        <v>4.0715719659467666</v>
      </c>
      <c r="F2135">
        <v>5656.47021484375</v>
      </c>
      <c r="G2135">
        <f t="shared" si="67"/>
        <v>1.0462908148014094E-2</v>
      </c>
    </row>
    <row r="2136" spans="1:7" x14ac:dyDescent="0.25">
      <c r="A2136" s="1">
        <v>42922</v>
      </c>
      <c r="B2136">
        <v>3.9637498855590798</v>
      </c>
      <c r="C2136">
        <f>C2137*(1+G2136*3)</f>
        <v>3.5741089913054247</v>
      </c>
      <c r="D2136">
        <f t="shared" si="66"/>
        <v>3.9477322543114171</v>
      </c>
      <c r="F2136">
        <v>5597.89990234375</v>
      </c>
      <c r="G2136">
        <f t="shared" si="67"/>
        <v>-9.0142584574367524E-3</v>
      </c>
    </row>
    <row r="2137" spans="1:7" x14ac:dyDescent="0.25">
      <c r="A2137" s="1">
        <v>42921</v>
      </c>
      <c r="B2137">
        <v>4.0712499618530202</v>
      </c>
      <c r="C2137">
        <f>C2138*(1+G2137*3)</f>
        <v>3.6734492543319028</v>
      </c>
      <c r="D2137">
        <f t="shared" si="66"/>
        <v>4.0575359293575683</v>
      </c>
      <c r="F2137">
        <v>5648.81982421875</v>
      </c>
      <c r="G2137">
        <f t="shared" si="67"/>
        <v>9.2657198985148792E-3</v>
      </c>
    </row>
    <row r="2138" spans="1:7" x14ac:dyDescent="0.25">
      <c r="A2138" s="1">
        <v>42919</v>
      </c>
      <c r="B2138">
        <v>3.9583330154418901</v>
      </c>
      <c r="C2138">
        <f>C2139*(1+G2138*3)</f>
        <v>3.5740994413917786</v>
      </c>
      <c r="D2138">
        <f t="shared" si="66"/>
        <v>3.9478709023213443</v>
      </c>
      <c r="F2138">
        <v>5596.9599609375</v>
      </c>
      <c r="G2138">
        <f t="shared" si="67"/>
        <v>-8.847294034393105E-3</v>
      </c>
    </row>
    <row r="2139" spans="1:7" x14ac:dyDescent="0.25">
      <c r="A2139" s="1">
        <v>42916</v>
      </c>
      <c r="B2139">
        <v>4.0691671371459899</v>
      </c>
      <c r="C2139">
        <f>C2140*(1+G2139*3)</f>
        <v>3.6715492692317415</v>
      </c>
      <c r="D2139">
        <f t="shared" si="66"/>
        <v>4.0555905131775836</v>
      </c>
      <c r="F2139">
        <v>5646.919921875</v>
      </c>
      <c r="G2139">
        <f t="shared" si="67"/>
        <v>-1.0790865121960147E-3</v>
      </c>
    </row>
    <row r="2140" spans="1:7" x14ac:dyDescent="0.25">
      <c r="A2140" s="1">
        <v>42915</v>
      </c>
      <c r="B2140">
        <v>4.0833330154418901</v>
      </c>
      <c r="C2140">
        <f>C2141*(1+G2140*3)</f>
        <v>3.6834736293661776</v>
      </c>
      <c r="D2140">
        <f t="shared" si="66"/>
        <v>4.0688392577182402</v>
      </c>
      <c r="F2140">
        <v>5653.02001953125</v>
      </c>
      <c r="G2140">
        <f t="shared" si="67"/>
        <v>-1.7383842837567332E-2</v>
      </c>
    </row>
    <row r="2141" spans="1:7" x14ac:dyDescent="0.25">
      <c r="A2141" s="1">
        <v>42914</v>
      </c>
      <c r="B2141">
        <v>4.3024997711181596</v>
      </c>
      <c r="C2141">
        <f>C2142*(1+G2141*3)</f>
        <v>3.8861418677885577</v>
      </c>
      <c r="D2141">
        <f t="shared" ref="D2141:D2204" si="68">D2142*(1+3*G2141-0.0000188888884265817)</f>
        <v>4.2927962287923265</v>
      </c>
      <c r="F2141">
        <v>5753.02978515625</v>
      </c>
      <c r="G2141">
        <f t="shared" si="67"/>
        <v>1.435744518264781E-2</v>
      </c>
    </row>
    <row r="2142" spans="1:7" x14ac:dyDescent="0.25">
      <c r="A2142" s="1">
        <v>42913</v>
      </c>
      <c r="B2142">
        <v>4.12916707992553</v>
      </c>
      <c r="C2142">
        <f>C2143*(1+G2142*3)</f>
        <v>3.7256686188950665</v>
      </c>
      <c r="D2142">
        <f t="shared" si="68"/>
        <v>4.1156052381979427</v>
      </c>
      <c r="F2142">
        <v>5671.60009765625</v>
      </c>
      <c r="G2142">
        <f t="shared" si="67"/>
        <v>-1.8344975839433508E-2</v>
      </c>
    </row>
    <row r="2143" spans="1:7" x14ac:dyDescent="0.25">
      <c r="A2143" s="1">
        <v>42912</v>
      </c>
      <c r="B2143">
        <v>4.3695831298828098</v>
      </c>
      <c r="C2143">
        <f>C2144*(1+G2143*3)</f>
        <v>3.9426521967744148</v>
      </c>
      <c r="D2143">
        <f t="shared" si="68"/>
        <v>4.3553858512321337</v>
      </c>
      <c r="F2143">
        <v>5777.58984375</v>
      </c>
      <c r="G2143">
        <f t="shared" si="67"/>
        <v>-4.3976454233144446E-3</v>
      </c>
    </row>
    <row r="2144" spans="1:7" x14ac:dyDescent="0.25">
      <c r="A2144" s="1">
        <v>42909</v>
      </c>
      <c r="B2144">
        <v>4.4283328056335396</v>
      </c>
      <c r="C2144">
        <f>C2145*(1+G2144*3)</f>
        <v>3.9953627630830746</v>
      </c>
      <c r="D2144">
        <f t="shared" si="68"/>
        <v>4.4136988689909371</v>
      </c>
      <c r="F2144">
        <v>5803.10986328125</v>
      </c>
      <c r="G2144">
        <f t="shared" si="67"/>
        <v>4.0208076691277128E-3</v>
      </c>
    </row>
    <row r="2145" spans="1:7" x14ac:dyDescent="0.25">
      <c r="A2145" s="1">
        <v>42908</v>
      </c>
      <c r="B2145">
        <v>4.37916707992553</v>
      </c>
      <c r="C2145">
        <f>C2146*(1+G2145*3)</f>
        <v>3.9477434121214556</v>
      </c>
      <c r="D2145">
        <f t="shared" si="68"/>
        <v>4.361174910161667</v>
      </c>
      <c r="F2145">
        <v>5779.8701171875</v>
      </c>
      <c r="G2145">
        <f t="shared" si="67"/>
        <v>-4.358093230769633E-4</v>
      </c>
    </row>
    <row r="2146" spans="1:7" x14ac:dyDescent="0.25">
      <c r="A2146" s="1">
        <v>42907</v>
      </c>
      <c r="B2146">
        <v>4.3841671943664497</v>
      </c>
      <c r="C2146">
        <f>C2147*(1+G2146*3)</f>
        <v>3.9529115592539203</v>
      </c>
      <c r="D2146">
        <f t="shared" si="68"/>
        <v>4.3669668919673157</v>
      </c>
      <c r="F2146">
        <v>5782.39013671875</v>
      </c>
      <c r="G2146">
        <f t="shared" si="67"/>
        <v>9.7934057973052546E-3</v>
      </c>
    </row>
    <row r="2147" spans="1:7" x14ac:dyDescent="0.25">
      <c r="A2147" s="1">
        <v>42906</v>
      </c>
      <c r="B2147">
        <v>4.2604169845581001</v>
      </c>
      <c r="C2147">
        <f>C2148*(1+G2147*3)</f>
        <v>3.8400889122089366</v>
      </c>
      <c r="D2147">
        <f t="shared" si="68"/>
        <v>4.2424042666496122</v>
      </c>
      <c r="F2147">
        <v>5726.31005859375</v>
      </c>
      <c r="G2147">
        <f t="shared" si="67"/>
        <v>-7.9536390749503916E-3</v>
      </c>
    </row>
    <row r="2148" spans="1:7" x14ac:dyDescent="0.25">
      <c r="A2148" s="1">
        <v>42905</v>
      </c>
      <c r="B2148">
        <v>4.3591670989990199</v>
      </c>
      <c r="C2148">
        <f>C2149*(1+G2148*3)</f>
        <v>3.9339567280634036</v>
      </c>
      <c r="D2148">
        <f t="shared" si="68"/>
        <v>4.3461904519741337</v>
      </c>
      <c r="F2148">
        <v>5772.22021484375</v>
      </c>
      <c r="G2148">
        <f t="shared" si="67"/>
        <v>1.5971231912624617E-2</v>
      </c>
    </row>
    <row r="2149" spans="1:7" x14ac:dyDescent="0.25">
      <c r="A2149" s="1">
        <v>42902</v>
      </c>
      <c r="B2149">
        <v>4.1579170227050701</v>
      </c>
      <c r="C2149">
        <f>C2150*(1+G2149*3)</f>
        <v>3.754084657986422</v>
      </c>
      <c r="D2149">
        <f t="shared" si="68"/>
        <v>4.1475446042539241</v>
      </c>
      <c r="F2149">
        <v>5681.47998046875</v>
      </c>
      <c r="G2149">
        <f t="shared" si="67"/>
        <v>-3.4047588682654117E-3</v>
      </c>
    </row>
    <row r="2150" spans="1:7" x14ac:dyDescent="0.25">
      <c r="A2150" s="1">
        <v>42901</v>
      </c>
      <c r="B2150">
        <v>4.2083330154418901</v>
      </c>
      <c r="C2150">
        <f>C2151*(1+G2150*3)</f>
        <v>3.7928256280652404</v>
      </c>
      <c r="D2150">
        <f t="shared" si="68"/>
        <v>4.1904259262442736</v>
      </c>
      <c r="F2150">
        <v>5700.89013671875</v>
      </c>
      <c r="G2150">
        <f t="shared" si="67"/>
        <v>-4.5712184945416734E-3</v>
      </c>
    </row>
    <row r="2151" spans="1:7" x14ac:dyDescent="0.25">
      <c r="A2151" s="1">
        <v>42900</v>
      </c>
      <c r="B2151">
        <v>4.2658329010009703</v>
      </c>
      <c r="C2151">
        <f>C2152*(1+G2151*3)</f>
        <v>3.845562345208227</v>
      </c>
      <c r="D2151">
        <f t="shared" si="68"/>
        <v>4.2487723814999692</v>
      </c>
      <c r="F2151">
        <v>5727.06982421875</v>
      </c>
      <c r="G2151">
        <f t="shared" si="67"/>
        <v>-4.3029859690296712E-3</v>
      </c>
    </row>
    <row r="2152" spans="1:7" x14ac:dyDescent="0.25">
      <c r="A2152" s="1">
        <v>42899</v>
      </c>
      <c r="B2152">
        <v>4.3237500190734801</v>
      </c>
      <c r="C2152">
        <f>C2153*(1+G2152*3)</f>
        <v>3.895853757374347</v>
      </c>
      <c r="D2152">
        <f t="shared" si="68"/>
        <v>4.3044192541614361</v>
      </c>
      <c r="F2152">
        <v>5751.81982421875</v>
      </c>
      <c r="G2152">
        <f t="shared" si="67"/>
        <v>7.6451070382561603E-3</v>
      </c>
    </row>
    <row r="2153" spans="1:7" x14ac:dyDescent="0.25">
      <c r="A2153" s="1">
        <v>42898</v>
      </c>
      <c r="B2153">
        <v>4.2249999046325604</v>
      </c>
      <c r="C2153">
        <f>C2154*(1+G2153*3)</f>
        <v>3.8085044840652742</v>
      </c>
      <c r="D2153">
        <f t="shared" si="68"/>
        <v>4.207987200668013</v>
      </c>
      <c r="F2153">
        <v>5708.18017578125</v>
      </c>
      <c r="G2153">
        <f t="shared" si="67"/>
        <v>-5.8795051793474329E-3</v>
      </c>
    </row>
    <row r="2154" spans="1:7" x14ac:dyDescent="0.25">
      <c r="A2154" s="1">
        <v>42895</v>
      </c>
      <c r="B2154">
        <v>4.30291700363159</v>
      </c>
      <c r="C2154">
        <f>C2155*(1+G2154*3)</f>
        <v>3.8768870159350795</v>
      </c>
      <c r="D2154">
        <f t="shared" si="68"/>
        <v>4.2836248979015519</v>
      </c>
      <c r="F2154">
        <v>5741.93994140625</v>
      </c>
      <c r="G2154">
        <f t="shared" si="67"/>
        <v>-2.4358973720772448E-2</v>
      </c>
    </row>
    <row r="2155" spans="1:7" x14ac:dyDescent="0.25">
      <c r="A2155" s="1">
        <v>42894</v>
      </c>
      <c r="B2155">
        <v>4.6383328437805096</v>
      </c>
      <c r="C2155">
        <f>C2156*(1+G2155*3)</f>
        <v>4.1825337014981985</v>
      </c>
      <c r="D2155">
        <f t="shared" si="68"/>
        <v>4.6214322303754622</v>
      </c>
      <c r="F2155">
        <v>5885.2998046875</v>
      </c>
      <c r="G2155">
        <f t="shared" si="67"/>
        <v>1.3117555226651589E-3</v>
      </c>
    </row>
    <row r="2156" spans="1:7" x14ac:dyDescent="0.25">
      <c r="A2156" s="1">
        <v>42893</v>
      </c>
      <c r="B2156">
        <v>4.62583303451538</v>
      </c>
      <c r="C2156">
        <f>C2157*(1+G2156*3)</f>
        <v>4.1661388346246726</v>
      </c>
      <c r="D2156">
        <f t="shared" si="68"/>
        <v>4.6034035634096764</v>
      </c>
      <c r="F2156">
        <v>5877.58984375</v>
      </c>
      <c r="G2156">
        <f t="shared" si="67"/>
        <v>3.5548304183568025E-3</v>
      </c>
    </row>
    <row r="2157" spans="1:7" x14ac:dyDescent="0.25">
      <c r="A2157" s="1">
        <v>42892</v>
      </c>
      <c r="B2157">
        <v>4.5758328437805096</v>
      </c>
      <c r="C2157">
        <f>C2158*(1+G2157*3)</f>
        <v>4.1221779044112346</v>
      </c>
      <c r="D2157">
        <f t="shared" si="68"/>
        <v>4.5549137626778542</v>
      </c>
      <c r="F2157">
        <v>5856.77001953125</v>
      </c>
      <c r="G2157">
        <f t="shared" si="67"/>
        <v>-3.6321302101028907E-3</v>
      </c>
    </row>
    <row r="2158" spans="1:7" x14ac:dyDescent="0.25">
      <c r="A2158" s="1">
        <v>42891</v>
      </c>
      <c r="B2158">
        <v>4.6283330917358398</v>
      </c>
      <c r="C2158">
        <f>C2159*(1+G2158*3)</f>
        <v>4.1675895885549368</v>
      </c>
      <c r="D2158">
        <f t="shared" si="68"/>
        <v>4.6051805961187462</v>
      </c>
      <c r="F2158">
        <v>5878.1201171875</v>
      </c>
      <c r="G2158">
        <f t="shared" si="67"/>
        <v>-5.6785964236460984E-4</v>
      </c>
    </row>
    <row r="2159" spans="1:7" x14ac:dyDescent="0.25">
      <c r="A2159" s="1">
        <v>42888</v>
      </c>
      <c r="B2159">
        <v>4.6320829391479403</v>
      </c>
      <c r="C2159">
        <f>C2160*(1+G2159*3)</f>
        <v>4.1747015220948844</v>
      </c>
      <c r="D2159">
        <f t="shared" si="68"/>
        <v>4.6131265581440717</v>
      </c>
      <c r="F2159">
        <v>5881.4599609375</v>
      </c>
      <c r="G2159">
        <f t="shared" si="67"/>
        <v>1.116652390001116E-2</v>
      </c>
    </row>
    <row r="2160" spans="1:7" x14ac:dyDescent="0.25">
      <c r="A2160" s="1">
        <v>42887</v>
      </c>
      <c r="B2160">
        <v>4.4791669845581001</v>
      </c>
      <c r="C2160">
        <f>C2161*(1+G2160*3)</f>
        <v>4.0393838917879732</v>
      </c>
      <c r="D2160">
        <f t="shared" si="68"/>
        <v>4.4636795199635078</v>
      </c>
      <c r="F2160">
        <v>5816.509765625</v>
      </c>
      <c r="G2160">
        <f t="shared" si="67"/>
        <v>4.7868231537497863E-3</v>
      </c>
    </row>
    <row r="2161" spans="1:7" x14ac:dyDescent="0.25">
      <c r="A2161" s="1">
        <v>42886</v>
      </c>
      <c r="B2161">
        <v>4.4262499809265101</v>
      </c>
      <c r="C2161">
        <f>C2162*(1+G2161*3)</f>
        <v>3.9821976638476304</v>
      </c>
      <c r="D2161">
        <f t="shared" si="68"/>
        <v>4.4005684134951482</v>
      </c>
      <c r="F2161">
        <v>5788.7998046875</v>
      </c>
      <c r="G2161">
        <f t="shared" si="67"/>
        <v>-1.0061174299142994E-3</v>
      </c>
    </row>
    <row r="2162" spans="1:7" x14ac:dyDescent="0.25">
      <c r="A2162" s="1">
        <v>42885</v>
      </c>
      <c r="B2162">
        <v>4.4316668510437003</v>
      </c>
      <c r="C2162">
        <f>C2163*(1+G2162*3)</f>
        <v>3.9942537287355737</v>
      </c>
      <c r="D2162">
        <f t="shared" si="68"/>
        <v>4.4139747192719199</v>
      </c>
      <c r="F2162">
        <v>5794.6298828125</v>
      </c>
      <c r="G2162">
        <f t="shared" si="67"/>
        <v>1.0832117697145982E-3</v>
      </c>
    </row>
    <row r="2163" spans="1:7" x14ac:dyDescent="0.25">
      <c r="A2163" s="1">
        <v>42881</v>
      </c>
      <c r="B2163">
        <v>4.4225001335143999</v>
      </c>
      <c r="C2163">
        <f>C2164*(1+G2163*3)</f>
        <v>3.9813159039970891</v>
      </c>
      <c r="D2163">
        <f t="shared" si="68"/>
        <v>4.3997602097223449</v>
      </c>
      <c r="F2163">
        <v>5788.35986328125</v>
      </c>
      <c r="G2163">
        <f t="shared" si="67"/>
        <v>1.728817277390382E-3</v>
      </c>
    </row>
    <row r="2164" spans="1:7" x14ac:dyDescent="0.25">
      <c r="A2164" s="1">
        <v>42880</v>
      </c>
      <c r="B2164">
        <v>4.4037499427795401</v>
      </c>
      <c r="C2164">
        <f>C2165*(1+G2164*3)</f>
        <v>3.960773542799223</v>
      </c>
      <c r="D2164">
        <f t="shared" si="68"/>
        <v>4.3771410577925529</v>
      </c>
      <c r="F2164">
        <v>5778.3701171875</v>
      </c>
      <c r="G2164">
        <f t="shared" si="67"/>
        <v>8.3887953751875521E-3</v>
      </c>
    </row>
    <row r="2165" spans="1:7" x14ac:dyDescent="0.25">
      <c r="A2165" s="1">
        <v>42879</v>
      </c>
      <c r="B2165">
        <v>4.2908329963684002</v>
      </c>
      <c r="C2165">
        <f>C2166*(1+G2165*3)</f>
        <v>3.8635421492585951</v>
      </c>
      <c r="D2165">
        <f t="shared" si="68"/>
        <v>4.2697671014067131</v>
      </c>
      <c r="F2165">
        <v>5730.2998046875</v>
      </c>
      <c r="G2165">
        <f t="shared" si="67"/>
        <v>4.7252415807903514E-3</v>
      </c>
    </row>
    <row r="2166" spans="1:7" x14ac:dyDescent="0.25">
      <c r="A2166" s="1">
        <v>42878</v>
      </c>
      <c r="B2166">
        <v>4.23250007629394</v>
      </c>
      <c r="C2166">
        <f>C2167*(1+G2166*3)</f>
        <v>3.8095391705811559</v>
      </c>
      <c r="D2166">
        <f t="shared" si="68"/>
        <v>4.2101644937505807</v>
      </c>
      <c r="F2166">
        <v>5703.35009765625</v>
      </c>
      <c r="G2166">
        <f t="shared" si="67"/>
        <v>6.9308969017511934E-4</v>
      </c>
    </row>
    <row r="2167" spans="1:7" x14ac:dyDescent="0.25">
      <c r="A2167" s="1">
        <v>42877</v>
      </c>
      <c r="B2167">
        <v>4.2220830917358398</v>
      </c>
      <c r="C2167">
        <f>C2168*(1+G2167*3)</f>
        <v>3.8016345494450543</v>
      </c>
      <c r="D2167">
        <f t="shared" si="68"/>
        <v>4.2015077903643796</v>
      </c>
      <c r="F2167">
        <v>5699.39990234375</v>
      </c>
      <c r="G2167">
        <f t="shared" si="67"/>
        <v>8.4648916854832557E-3</v>
      </c>
    </row>
    <row r="2168" spans="1:7" x14ac:dyDescent="0.25">
      <c r="A2168" s="1">
        <v>42874</v>
      </c>
      <c r="B2168">
        <v>4.11541700363159</v>
      </c>
      <c r="C2168">
        <f>C2169*(1+G2168*3)</f>
        <v>3.7074841930847433</v>
      </c>
      <c r="D2168">
        <f t="shared" si="68"/>
        <v>4.0975297515713907</v>
      </c>
      <c r="F2168">
        <v>5651.56005859375</v>
      </c>
      <c r="G2168">
        <f t="shared" si="67"/>
        <v>4.4878436732138649E-3</v>
      </c>
    </row>
    <row r="2169" spans="1:7" x14ac:dyDescent="0.25">
      <c r="A2169" s="1">
        <v>42873</v>
      </c>
      <c r="B2169">
        <v>4.0662498474120996</v>
      </c>
      <c r="C2169">
        <f>C2170*(1+G2169*3)</f>
        <v>3.6582314800757145</v>
      </c>
      <c r="D2169">
        <f t="shared" si="68"/>
        <v>4.0431707675266049</v>
      </c>
      <c r="F2169">
        <v>5626.31005859375</v>
      </c>
      <c r="G2169">
        <f t="shared" si="67"/>
        <v>8.1999543965745048E-3</v>
      </c>
    </row>
    <row r="2170" spans="1:7" x14ac:dyDescent="0.25">
      <c r="A2170" s="1">
        <v>42872</v>
      </c>
      <c r="B2170">
        <v>3.9658329486846902</v>
      </c>
      <c r="C2170">
        <f>C2171*(1+G2170*3)</f>
        <v>3.5704001254569029</v>
      </c>
      <c r="D2170">
        <f t="shared" si="68"/>
        <v>3.9461700626285836</v>
      </c>
      <c r="F2170">
        <v>5580.5498046875</v>
      </c>
      <c r="G2170">
        <f t="shared" si="67"/>
        <v>-2.5136107320815504E-2</v>
      </c>
    </row>
    <row r="2171" spans="1:7" x14ac:dyDescent="0.25">
      <c r="A2171" s="1">
        <v>42871</v>
      </c>
      <c r="B2171">
        <v>4.2904171943664497</v>
      </c>
      <c r="C2171">
        <f>C2172*(1+G2171*3)</f>
        <v>3.8615966488418754</v>
      </c>
      <c r="D2171">
        <f t="shared" si="68"/>
        <v>4.2681010180498564</v>
      </c>
      <c r="F2171">
        <v>5724.43994140625</v>
      </c>
      <c r="G2171">
        <f t="shared" si="67"/>
        <v>3.4989974556558501E-3</v>
      </c>
    </row>
    <row r="2172" spans="1:7" x14ac:dyDescent="0.25">
      <c r="A2172" s="1">
        <v>42870</v>
      </c>
      <c r="B2172">
        <v>4.2370829582214302</v>
      </c>
      <c r="C2172">
        <f>C2173*(1+G2172*3)</f>
        <v>3.8214825754172215</v>
      </c>
      <c r="D2172">
        <f t="shared" si="68"/>
        <v>4.2238431524216553</v>
      </c>
      <c r="F2172">
        <v>5704.47998046875</v>
      </c>
      <c r="G2172">
        <f t="shared" si="67"/>
        <v>3.107176377079357E-3</v>
      </c>
    </row>
    <row r="2173" spans="1:7" x14ac:dyDescent="0.25">
      <c r="A2173" s="1">
        <v>42867</v>
      </c>
      <c r="B2173">
        <v>4.1979169845581001</v>
      </c>
      <c r="C2173">
        <f>C2174*(1+G2173*3)</f>
        <v>3.7861894996993861</v>
      </c>
      <c r="D2173">
        <f t="shared" si="68"/>
        <v>4.1849124177516375</v>
      </c>
      <c r="F2173">
        <v>5686.81005859375</v>
      </c>
      <c r="G2173">
        <f t="shared" si="67"/>
        <v>2.2187795456132253E-3</v>
      </c>
    </row>
    <row r="2174" spans="1:7" x14ac:dyDescent="0.25">
      <c r="A2174" s="1">
        <v>42866</v>
      </c>
      <c r="B2174">
        <v>4.17083311080932</v>
      </c>
      <c r="C2174">
        <f>C2175*(1+G2174*3)</f>
        <v>3.7611539851092002</v>
      </c>
      <c r="D2174">
        <f t="shared" si="68"/>
        <v>4.1573184256134761</v>
      </c>
      <c r="F2174">
        <v>5674.22021484375</v>
      </c>
      <c r="G2174">
        <f t="shared" si="67"/>
        <v>-1.3129850161751611E-3</v>
      </c>
    </row>
    <row r="2175" spans="1:7" x14ac:dyDescent="0.25">
      <c r="A2175" s="1">
        <v>42865</v>
      </c>
      <c r="B2175">
        <v>4.1808328628540004</v>
      </c>
      <c r="C2175">
        <f>C2176*(1+G2175*3)</f>
        <v>3.7760275880404839</v>
      </c>
      <c r="D2175">
        <f t="shared" si="68"/>
        <v>4.1738378243403629</v>
      </c>
      <c r="F2175">
        <v>5681.68017578125</v>
      </c>
      <c r="G2175">
        <f t="shared" si="67"/>
        <v>5.9350707388716728E-4</v>
      </c>
    </row>
    <row r="2176" spans="1:7" x14ac:dyDescent="0.25">
      <c r="A2176" s="1">
        <v>42864</v>
      </c>
      <c r="B2176">
        <v>4.1741671562194798</v>
      </c>
      <c r="C2176">
        <f>C2177*(1+G2176*3)</f>
        <v>3.7693162404831502</v>
      </c>
      <c r="D2176">
        <f t="shared" si="68"/>
        <v>4.1664979867705094</v>
      </c>
      <c r="F2176">
        <v>5678.31005859375</v>
      </c>
      <c r="G2176">
        <f t="shared" si="67"/>
        <v>3.3998934405543579E-3</v>
      </c>
    </row>
    <row r="2177" spans="1:7" x14ac:dyDescent="0.25">
      <c r="A2177" s="1">
        <v>42863</v>
      </c>
      <c r="B2177">
        <v>4.1287498474120996</v>
      </c>
      <c r="C2177">
        <f>C2178*(1+G2177*3)</f>
        <v>3.7312585956104658</v>
      </c>
      <c r="D2177">
        <f t="shared" si="68"/>
        <v>4.1245072388073378</v>
      </c>
      <c r="F2177">
        <v>5659.06982421875</v>
      </c>
      <c r="G2177">
        <f t="shared" si="67"/>
        <v>2.2989326822560052E-3</v>
      </c>
    </row>
    <row r="2178" spans="1:7" x14ac:dyDescent="0.25">
      <c r="A2178" s="1">
        <v>42860</v>
      </c>
      <c r="B2178">
        <v>4.1041669845581001</v>
      </c>
      <c r="C2178">
        <f>C2179*(1+G2178*3)</f>
        <v>3.7057011233411008</v>
      </c>
      <c r="D2178">
        <f t="shared" si="68"/>
        <v>4.0963330323286673</v>
      </c>
      <c r="F2178">
        <v>5646.08984375</v>
      </c>
      <c r="G2178">
        <f t="shared" ref="G2178:G2241" si="69">F2178/F2179-1</f>
        <v>3.5138456662469064E-3</v>
      </c>
    </row>
    <row r="2179" spans="1:7" x14ac:dyDescent="0.25">
      <c r="A2179" s="1">
        <v>42859</v>
      </c>
      <c r="B2179">
        <v>4.0599999427795401</v>
      </c>
      <c r="C2179">
        <f>C2180*(1+G2179*3)</f>
        <v>3.6670448345417381</v>
      </c>
      <c r="D2179">
        <f t="shared" si="68"/>
        <v>4.0536776092934126</v>
      </c>
      <c r="F2179">
        <v>5626.31982421875</v>
      </c>
      <c r="G2179">
        <f t="shared" si="69"/>
        <v>2.0615732468720616E-4</v>
      </c>
    </row>
    <row r="2180" spans="1:7" x14ac:dyDescent="0.25">
      <c r="A2180" s="1">
        <v>42858</v>
      </c>
      <c r="B2180">
        <v>4.0558328628540004</v>
      </c>
      <c r="C2180">
        <f>C2181*(1+G2180*3)</f>
        <v>3.6647782718894244</v>
      </c>
      <c r="D2180">
        <f t="shared" si="68"/>
        <v>4.0512485491876156</v>
      </c>
      <c r="F2180">
        <v>5625.16015625</v>
      </c>
      <c r="G2180">
        <f t="shared" si="69"/>
        <v>-3.3503603884573741E-3</v>
      </c>
    </row>
    <row r="2181" spans="1:7" x14ac:dyDescent="0.25">
      <c r="A2181" s="1">
        <v>42857</v>
      </c>
      <c r="B2181">
        <v>4.0962500572204501</v>
      </c>
      <c r="C2181">
        <f>C2182*(1+G2181*3)</f>
        <v>3.7019872461738905</v>
      </c>
      <c r="D2181">
        <f t="shared" si="68"/>
        <v>4.0924594937359204</v>
      </c>
      <c r="F2181">
        <v>5644.06982421875</v>
      </c>
      <c r="G2181">
        <f t="shared" si="69"/>
        <v>2.5649894765435999E-3</v>
      </c>
    </row>
    <row r="2182" spans="1:7" x14ac:dyDescent="0.25">
      <c r="A2182" s="1">
        <v>42856</v>
      </c>
      <c r="B2182">
        <v>4.0720829963684002</v>
      </c>
      <c r="C2182">
        <f>C2183*(1+G2182*3)</f>
        <v>3.6737181013645275</v>
      </c>
      <c r="D2182">
        <f t="shared" si="68"/>
        <v>4.0612847489633976</v>
      </c>
      <c r="F2182">
        <v>5629.6298828125</v>
      </c>
      <c r="G2182">
        <f t="shared" si="69"/>
        <v>8.2564434023091327E-3</v>
      </c>
    </row>
    <row r="2183" spans="1:7" x14ac:dyDescent="0.25">
      <c r="A2183" s="1">
        <v>42853</v>
      </c>
      <c r="B2183">
        <v>3.9720830917358398</v>
      </c>
      <c r="C2183">
        <f>C2184*(1+G2183*3)</f>
        <v>3.5849219849531493</v>
      </c>
      <c r="D2183">
        <f t="shared" si="68"/>
        <v>3.9631939496780531</v>
      </c>
      <c r="F2183">
        <v>5583.52978515625</v>
      </c>
      <c r="G2183">
        <f t="shared" si="69"/>
        <v>2.1987766675510834E-3</v>
      </c>
    </row>
    <row r="2184" spans="1:7" x14ac:dyDescent="0.25">
      <c r="A2184" s="1">
        <v>42852</v>
      </c>
      <c r="B2184">
        <v>3.9495830535888601</v>
      </c>
      <c r="C2184">
        <f>C2185*(1+G2184*3)</f>
        <v>3.5614296198990711</v>
      </c>
      <c r="D2184">
        <f t="shared" si="68"/>
        <v>3.93729661305643</v>
      </c>
      <c r="F2184">
        <v>5571.27978515625</v>
      </c>
      <c r="G2184">
        <f t="shared" si="69"/>
        <v>5.4483760880186249E-3</v>
      </c>
    </row>
    <row r="2185" spans="1:7" x14ac:dyDescent="0.25">
      <c r="A2185" s="1">
        <v>42851</v>
      </c>
      <c r="B2185">
        <v>3.8816668987274099</v>
      </c>
      <c r="C2185">
        <f>C2186*(1+G2185*3)</f>
        <v>3.5041537769577213</v>
      </c>
      <c r="D2185">
        <f t="shared" si="68"/>
        <v>3.8740479784082638</v>
      </c>
      <c r="F2185">
        <v>5541.08984375</v>
      </c>
      <c r="G2185">
        <f t="shared" si="69"/>
        <v>-1.2797142367571013E-3</v>
      </c>
    </row>
    <row r="2186" spans="1:7" x14ac:dyDescent="0.25">
      <c r="A2186" s="1">
        <v>42850</v>
      </c>
      <c r="B2186">
        <v>3.8987500667571999</v>
      </c>
      <c r="C2186">
        <f>C2187*(1+G2186*3)</f>
        <v>3.5176585702147847</v>
      </c>
      <c r="D2186">
        <f t="shared" si="68"/>
        <v>3.8890520641607775</v>
      </c>
      <c r="F2186">
        <v>5548.18994140625</v>
      </c>
      <c r="G2186">
        <f t="shared" si="69"/>
        <v>7.2912017212087843E-3</v>
      </c>
    </row>
    <row r="2187" spans="1:7" x14ac:dyDescent="0.25">
      <c r="A2187" s="1">
        <v>42849</v>
      </c>
      <c r="B2187">
        <v>3.8141670227050701</v>
      </c>
      <c r="C2187">
        <f>C2188*(1+G2187*3)</f>
        <v>3.4423617093539898</v>
      </c>
      <c r="D2187">
        <f t="shared" si="68"/>
        <v>3.8058757299050336</v>
      </c>
      <c r="F2187">
        <v>5508.02978515625</v>
      </c>
      <c r="G2187">
        <f t="shared" si="69"/>
        <v>1.2124104489436682E-2</v>
      </c>
    </row>
    <row r="2188" spans="1:7" x14ac:dyDescent="0.25">
      <c r="A2188" s="1">
        <v>42846</v>
      </c>
      <c r="B2188">
        <v>3.6804170608520499</v>
      </c>
      <c r="C2188">
        <f>C2189*(1+G2188*3)</f>
        <v>3.3215492778206581</v>
      </c>
      <c r="D2188">
        <f t="shared" si="68"/>
        <v>3.6723724162419376</v>
      </c>
      <c r="F2188">
        <v>5442.0498046875</v>
      </c>
      <c r="G2188">
        <f t="shared" si="69"/>
        <v>-2.7187882259516183E-4</v>
      </c>
    </row>
    <row r="2189" spans="1:7" x14ac:dyDescent="0.25">
      <c r="A2189" s="1">
        <v>42845</v>
      </c>
      <c r="B2189">
        <v>3.6820828914642298</v>
      </c>
      <c r="C2189">
        <f>C2190*(1+G2189*3)</f>
        <v>3.3242606660483118</v>
      </c>
      <c r="D2189">
        <f t="shared" si="68"/>
        <v>3.6754396638366367</v>
      </c>
      <c r="F2189">
        <v>5443.52978515625</v>
      </c>
      <c r="G2189">
        <f t="shared" si="69"/>
        <v>8.1282543514411554E-3</v>
      </c>
    </row>
    <row r="2190" spans="1:7" x14ac:dyDescent="0.25">
      <c r="A2190" s="1">
        <v>42844</v>
      </c>
      <c r="B2190">
        <v>3.5950000286102202</v>
      </c>
      <c r="C2190">
        <f>C2191*(1+G2190*3)</f>
        <v>3.2451289651523498</v>
      </c>
      <c r="D2190">
        <f t="shared" si="68"/>
        <v>3.5880145527391867</v>
      </c>
      <c r="F2190">
        <v>5399.64013671875</v>
      </c>
      <c r="G2190">
        <f t="shared" si="69"/>
        <v>1.4800599884805532E-3</v>
      </c>
    </row>
    <row r="2191" spans="1:7" x14ac:dyDescent="0.25">
      <c r="A2191" s="1">
        <v>42843</v>
      </c>
      <c r="B2191">
        <v>3.5824999809265101</v>
      </c>
      <c r="C2191">
        <f>C2192*(1+G2191*3)</f>
        <v>3.2307837040768326</v>
      </c>
      <c r="D2191">
        <f t="shared" si="68"/>
        <v>3.5722207251220759</v>
      </c>
      <c r="F2191">
        <v>5391.66015625</v>
      </c>
      <c r="G2191">
        <f t="shared" si="69"/>
        <v>-1.3965103700074311E-3</v>
      </c>
    </row>
    <row r="2192" spans="1:7" x14ac:dyDescent="0.25">
      <c r="A2192" s="1">
        <v>42842</v>
      </c>
      <c r="B2192">
        <v>3.5929169654846098</v>
      </c>
      <c r="C2192">
        <f>C2193*(1+G2192*3)</f>
        <v>3.2443761187589866</v>
      </c>
      <c r="D2192">
        <f t="shared" si="68"/>
        <v>3.5873176645222404</v>
      </c>
      <c r="F2192">
        <v>5399.2001953125</v>
      </c>
      <c r="G2192">
        <f t="shared" si="69"/>
        <v>8.5195827274193725E-3</v>
      </c>
    </row>
    <row r="2193" spans="1:7" x14ac:dyDescent="0.25">
      <c r="A2193" s="1">
        <v>42838</v>
      </c>
      <c r="B2193">
        <v>3.5095829963684002</v>
      </c>
      <c r="C2193">
        <f>C2194*(1+G2193*3)</f>
        <v>3.1635204950564266</v>
      </c>
      <c r="D2193">
        <f t="shared" si="68"/>
        <v>3.4979797537975785</v>
      </c>
      <c r="F2193">
        <v>5353.58984375</v>
      </c>
      <c r="G2193">
        <f t="shared" si="69"/>
        <v>-4.3592731196985257E-3</v>
      </c>
    </row>
    <row r="2194" spans="1:7" x14ac:dyDescent="0.25">
      <c r="A2194" s="1">
        <v>42837</v>
      </c>
      <c r="B2194">
        <v>3.5516669750213601</v>
      </c>
      <c r="C2194">
        <f>C2195*(1+G2194*3)</f>
        <v>3.2054406690931252</v>
      </c>
      <c r="D2194">
        <f t="shared" si="68"/>
        <v>3.5443997228807462</v>
      </c>
      <c r="F2194">
        <v>5377.02978515625</v>
      </c>
      <c r="G2194">
        <f t="shared" si="69"/>
        <v>-3.9586020995262539E-3</v>
      </c>
    </row>
    <row r="2195" spans="1:7" x14ac:dyDescent="0.25">
      <c r="A2195" s="1">
        <v>42836</v>
      </c>
      <c r="B2195">
        <v>3.5991671085357599</v>
      </c>
      <c r="C2195">
        <f>C2196*(1+G2195*3)</f>
        <v>3.2439653735082055</v>
      </c>
      <c r="D2195">
        <f t="shared" si="68"/>
        <v>3.5870667889507453</v>
      </c>
      <c r="F2195">
        <v>5398.39990234375</v>
      </c>
      <c r="G2195">
        <f t="shared" si="69"/>
        <v>-4.2939223050252329E-3</v>
      </c>
    </row>
    <row r="2196" spans="1:7" x14ac:dyDescent="0.25">
      <c r="A2196" s="1">
        <v>42835</v>
      </c>
      <c r="B2196">
        <v>3.6449999809265101</v>
      </c>
      <c r="C2196">
        <f>C2197*(1+G2196*3)</f>
        <v>3.2862987074711634</v>
      </c>
      <c r="D2196">
        <f t="shared" si="68"/>
        <v>3.6339470895613148</v>
      </c>
      <c r="F2196">
        <v>5421.68017578125</v>
      </c>
      <c r="G2196">
        <f t="shared" si="69"/>
        <v>6.1089562399030406E-4</v>
      </c>
    </row>
    <row r="2197" spans="1:7" x14ac:dyDescent="0.25">
      <c r="A2197" s="1">
        <v>42832</v>
      </c>
      <c r="B2197">
        <v>3.6408329010009699</v>
      </c>
      <c r="C2197">
        <f>C2198*(1+G2197*3)</f>
        <v>3.2802869686074994</v>
      </c>
      <c r="D2197">
        <f t="shared" si="68"/>
        <v>3.627367777201453</v>
      </c>
      <c r="F2197">
        <v>5418.3701171875</v>
      </c>
      <c r="G2197">
        <f t="shared" si="69"/>
        <v>-4.6298122800281227E-4</v>
      </c>
    </row>
    <row r="2198" spans="1:7" x14ac:dyDescent="0.25">
      <c r="A2198" s="1">
        <v>42831</v>
      </c>
      <c r="B2198">
        <v>3.6449999809265101</v>
      </c>
      <c r="C2198">
        <f>C2199*(1+G2198*3)</f>
        <v>3.2848494394893968</v>
      </c>
      <c r="D2198">
        <f t="shared" si="68"/>
        <v>3.6324817032620795</v>
      </c>
      <c r="F2198">
        <v>5420.8798828125</v>
      </c>
      <c r="G2198">
        <f t="shared" si="69"/>
        <v>4.3551805156094581E-4</v>
      </c>
    </row>
    <row r="2199" spans="1:7" x14ac:dyDescent="0.25">
      <c r="A2199" s="1">
        <v>42830</v>
      </c>
      <c r="B2199">
        <v>3.6420829296111998</v>
      </c>
      <c r="C2199">
        <f>C2200*(1+G2199*3)</f>
        <v>3.2805632060028942</v>
      </c>
      <c r="D2199">
        <f t="shared" si="68"/>
        <v>3.6278102979488436</v>
      </c>
      <c r="F2199">
        <v>5418.52001953125</v>
      </c>
      <c r="G2199">
        <f t="shared" si="69"/>
        <v>-4.0236188246951521E-3</v>
      </c>
    </row>
    <row r="2200" spans="1:7" x14ac:dyDescent="0.25">
      <c r="A2200" s="1">
        <v>42829</v>
      </c>
      <c r="B2200">
        <v>3.6841669082641602</v>
      </c>
      <c r="C2200">
        <f>C2201*(1+G2200*3)</f>
        <v>3.3206462502913712</v>
      </c>
      <c r="D2200">
        <f t="shared" si="68"/>
        <v>3.6722063374876726</v>
      </c>
      <c r="F2200">
        <v>5440.41015625</v>
      </c>
      <c r="G2200">
        <f t="shared" si="69"/>
        <v>1.5113509521582635E-3</v>
      </c>
    </row>
    <row r="2201" spans="1:7" x14ac:dyDescent="0.25">
      <c r="A2201" s="1">
        <v>42828</v>
      </c>
      <c r="B2201">
        <v>3.6675000190734801</v>
      </c>
      <c r="C2201">
        <f>C2202*(1+G2201*3)</f>
        <v>3.3056582211910506</v>
      </c>
      <c r="D2201">
        <f t="shared" si="68"/>
        <v>3.655700251434411</v>
      </c>
      <c r="F2201">
        <v>5432.2001953125</v>
      </c>
      <c r="G2201">
        <f t="shared" si="69"/>
        <v>-7.4128305291132346E-4</v>
      </c>
    </row>
    <row r="2202" spans="1:7" x14ac:dyDescent="0.25">
      <c r="A2202" s="1">
        <v>42825</v>
      </c>
      <c r="B2202">
        <v>3.6754169464111301</v>
      </c>
      <c r="C2202">
        <f>C2203*(1+G2202*3)</f>
        <v>3.3130258910316854</v>
      </c>
      <c r="D2202">
        <f t="shared" si="68"/>
        <v>3.6639174585202903</v>
      </c>
      <c r="F2202">
        <v>5436.22998046875</v>
      </c>
      <c r="G2202">
        <f t="shared" si="69"/>
        <v>-6.4529807582869303E-4</v>
      </c>
    </row>
    <row r="2203" spans="1:7" x14ac:dyDescent="0.25">
      <c r="A2203" s="1">
        <v>42824</v>
      </c>
      <c r="B2203">
        <v>3.6841669082641602</v>
      </c>
      <c r="C2203">
        <f>C2204*(1+G2203*3)</f>
        <v>3.3194519989949569</v>
      </c>
      <c r="D2203">
        <f t="shared" si="68"/>
        <v>3.6710936504050364</v>
      </c>
      <c r="F2203">
        <v>5439.740234375</v>
      </c>
      <c r="G2203">
        <f t="shared" si="69"/>
        <v>1.7439675761403706E-3</v>
      </c>
    </row>
    <row r="2204" spans="1:7" x14ac:dyDescent="0.25">
      <c r="A2204" s="1">
        <v>42823</v>
      </c>
      <c r="B2204">
        <v>3.6658329963684002</v>
      </c>
      <c r="C2204">
        <f>C2205*(1+G2204*3)</f>
        <v>3.3021753388300072</v>
      </c>
      <c r="D2204">
        <f t="shared" si="68"/>
        <v>3.6520554348785867</v>
      </c>
      <c r="F2204">
        <v>5430.27001953125</v>
      </c>
      <c r="G2204">
        <f t="shared" si="69"/>
        <v>4.2646871048728219E-3</v>
      </c>
    </row>
    <row r="2205" spans="1:7" x14ac:dyDescent="0.25">
      <c r="A2205" s="1">
        <v>42822</v>
      </c>
      <c r="B2205">
        <v>3.6179170608520499</v>
      </c>
      <c r="C2205">
        <f>C2206*(1+G2205*3)</f>
        <v>3.2604608033974305</v>
      </c>
      <c r="D2205">
        <f t="shared" ref="D2205:D2261" si="70">D2206*(1+3*G2205-0.0000188888884265817)</f>
        <v>3.6059883124205809</v>
      </c>
      <c r="F2205">
        <v>5407.2099609375</v>
      </c>
      <c r="G2205">
        <f t="shared" si="69"/>
        <v>6.1291935996030666E-3</v>
      </c>
    </row>
    <row r="2206" spans="1:7" x14ac:dyDescent="0.25">
      <c r="A2206" s="1">
        <v>42821</v>
      </c>
      <c r="B2206">
        <v>3.5512499809265101</v>
      </c>
      <c r="C2206">
        <f>C2207*(1+G2206*3)</f>
        <v>3.2015912849604566</v>
      </c>
      <c r="D2206">
        <f t="shared" si="70"/>
        <v>3.5409457704910579</v>
      </c>
      <c r="F2206">
        <v>5374.27001953125</v>
      </c>
      <c r="G2206">
        <f t="shared" si="69"/>
        <v>1.914619599412859E-3</v>
      </c>
    </row>
    <row r="2207" spans="1:7" x14ac:dyDescent="0.25">
      <c r="A2207" s="1">
        <v>42818</v>
      </c>
      <c r="B2207">
        <v>3.5325000286102202</v>
      </c>
      <c r="C2207">
        <f>C2208*(1+G2207*3)</f>
        <v>3.183306820074479</v>
      </c>
      <c r="D2207">
        <f t="shared" si="70"/>
        <v>3.5207893573613775</v>
      </c>
      <c r="F2207">
        <v>5364</v>
      </c>
      <c r="G2207">
        <f t="shared" si="69"/>
        <v>1.6544596509249221E-3</v>
      </c>
    </row>
    <row r="2208" spans="1:7" x14ac:dyDescent="0.25">
      <c r="A2208" s="1">
        <v>42817</v>
      </c>
      <c r="B2208">
        <v>3.51333308219909</v>
      </c>
      <c r="C2208">
        <f>C2209*(1+G2208*3)</f>
        <v>3.1675848958711845</v>
      </c>
      <c r="D2208">
        <f t="shared" si="70"/>
        <v>3.5034665020512081</v>
      </c>
      <c r="F2208">
        <v>5355.14013671875</v>
      </c>
      <c r="G2208">
        <f t="shared" si="69"/>
        <v>-2.3119800319155726E-3</v>
      </c>
    </row>
    <row r="2209" spans="1:7" x14ac:dyDescent="0.25">
      <c r="A2209" s="1">
        <v>42816</v>
      </c>
      <c r="B2209">
        <v>3.5416669845581001</v>
      </c>
      <c r="C2209">
        <f>C2210*(1+G2209*3)</f>
        <v>3.189708523110371</v>
      </c>
      <c r="D2209">
        <f t="shared" si="70"/>
        <v>3.5280031606894262</v>
      </c>
      <c r="F2209">
        <v>5367.5498046875</v>
      </c>
      <c r="G2209">
        <f t="shared" si="69"/>
        <v>6.567243117653554E-3</v>
      </c>
    </row>
    <row r="2210" spans="1:7" x14ac:dyDescent="0.25">
      <c r="A2210" s="1">
        <v>42815</v>
      </c>
      <c r="B2210">
        <v>3.4733328819274898</v>
      </c>
      <c r="C2210">
        <f>C2211*(1+G2210*3)</f>
        <v>3.1280799387624474</v>
      </c>
      <c r="D2210">
        <f t="shared" si="70"/>
        <v>3.4599024526902733</v>
      </c>
      <c r="F2210">
        <v>5332.52978515625</v>
      </c>
      <c r="G2210">
        <f t="shared" si="69"/>
        <v>-1.4922528464679341E-2</v>
      </c>
    </row>
    <row r="2211" spans="1:7" x14ac:dyDescent="0.25">
      <c r="A2211" s="1">
        <v>42814</v>
      </c>
      <c r="B2211">
        <v>3.6354169845581001</v>
      </c>
      <c r="C2211">
        <f>C2212*(1+G2211*3)</f>
        <v>3.2746794297729056</v>
      </c>
      <c r="D2211">
        <f t="shared" si="70"/>
        <v>3.6221246449491709</v>
      </c>
      <c r="F2211">
        <v>5413.31005859375</v>
      </c>
      <c r="G2211">
        <f t="shared" si="69"/>
        <v>8.4128213600265234E-4</v>
      </c>
    </row>
    <row r="2212" spans="1:7" x14ac:dyDescent="0.25">
      <c r="A2212" s="1">
        <v>42811</v>
      </c>
      <c r="B2212">
        <v>3.62458300590515</v>
      </c>
      <c r="C2212">
        <f>C2213*(1+G2212*3)</f>
        <v>3.2664354483994726</v>
      </c>
      <c r="D2212">
        <f t="shared" si="70"/>
        <v>3.6130740479439689</v>
      </c>
      <c r="F2212">
        <v>5408.759765625</v>
      </c>
      <c r="G2212">
        <f t="shared" si="69"/>
        <v>-6.1350025351991633E-4</v>
      </c>
    </row>
    <row r="2213" spans="1:7" x14ac:dyDescent="0.25">
      <c r="A2213" s="1">
        <v>42810</v>
      </c>
      <c r="B2213">
        <v>3.6333329677581698</v>
      </c>
      <c r="C2213">
        <f>C2214*(1+G2213*3)</f>
        <v>3.2724584105930692</v>
      </c>
      <c r="D2213">
        <f t="shared" si="70"/>
        <v>3.6198046752885529</v>
      </c>
      <c r="F2213">
        <v>5412.080078125</v>
      </c>
      <c r="G2213">
        <f t="shared" si="69"/>
        <v>-7.6989095315027622E-4</v>
      </c>
    </row>
    <row r="2214" spans="1:7" x14ac:dyDescent="0.25">
      <c r="A2214" s="1">
        <v>42809</v>
      </c>
      <c r="B2214">
        <v>3.6354169845581001</v>
      </c>
      <c r="C2214">
        <f>C2215*(1+G2214*3)</f>
        <v>3.2800342166012233</v>
      </c>
      <c r="D2214">
        <f t="shared" si="70"/>
        <v>3.6282532871045152</v>
      </c>
      <c r="F2214">
        <v>5416.25</v>
      </c>
      <c r="G2214">
        <f t="shared" si="69"/>
        <v>6.3320331055485291E-3</v>
      </c>
    </row>
    <row r="2215" spans="1:7" x14ac:dyDescent="0.25">
      <c r="A2215" s="1">
        <v>42808</v>
      </c>
      <c r="B2215">
        <v>3.5729169845581001</v>
      </c>
      <c r="C2215">
        <f>C2216*(1+G2215*3)</f>
        <v>3.2188879023196111</v>
      </c>
      <c r="D2215">
        <f t="shared" si="70"/>
        <v>3.5606814852902975</v>
      </c>
      <c r="F2215">
        <v>5382.169921875</v>
      </c>
      <c r="G2215">
        <f t="shared" si="69"/>
        <v>-2.2985896462180966E-3</v>
      </c>
    </row>
    <row r="2216" spans="1:7" x14ac:dyDescent="0.25">
      <c r="A2216" s="1">
        <v>42807</v>
      </c>
      <c r="B2216">
        <v>3.59958291053771</v>
      </c>
      <c r="C2216">
        <f>C2217*(1+G2216*3)</f>
        <v>3.2412387357161254</v>
      </c>
      <c r="D2216">
        <f t="shared" si="70"/>
        <v>3.5854738098332546</v>
      </c>
      <c r="F2216">
        <v>5394.56982421875</v>
      </c>
      <c r="G2216">
        <f t="shared" si="69"/>
        <v>1.6097443384024412E-3</v>
      </c>
    </row>
    <row r="2217" spans="1:7" x14ac:dyDescent="0.25">
      <c r="A2217" s="1">
        <v>42804</v>
      </c>
      <c r="B2217">
        <v>3.5787498950958199</v>
      </c>
      <c r="C2217">
        <f>C2218*(1+G2217*3)</f>
        <v>3.2256612658352783</v>
      </c>
      <c r="D2217">
        <f t="shared" si="70"/>
        <v>3.5683090155179187</v>
      </c>
      <c r="F2217">
        <v>5385.89990234375</v>
      </c>
      <c r="G2217">
        <f t="shared" si="69"/>
        <v>4.0865032969574777E-3</v>
      </c>
    </row>
    <row r="2218" spans="1:7" x14ac:dyDescent="0.25">
      <c r="A2218" s="1">
        <v>42803</v>
      </c>
      <c r="B2218">
        <v>3.5399999618530198</v>
      </c>
      <c r="C2218">
        <f>C2219*(1+G2218*3)</f>
        <v>3.1865951708203992</v>
      </c>
      <c r="D2218">
        <f t="shared" si="70"/>
        <v>3.5251588816739416</v>
      </c>
      <c r="F2218">
        <v>5363.97998046875</v>
      </c>
      <c r="G2218">
        <f t="shared" si="69"/>
        <v>7.7799806885203715E-4</v>
      </c>
    </row>
    <row r="2219" spans="1:7" x14ac:dyDescent="0.25">
      <c r="A2219" s="1">
        <v>42802</v>
      </c>
      <c r="B2219">
        <v>3.5291669368743799</v>
      </c>
      <c r="C2219">
        <f>C2220*(1+G2219*3)</f>
        <v>3.1791749948009058</v>
      </c>
      <c r="D2219">
        <f t="shared" si="70"/>
        <v>3.5170166177981268</v>
      </c>
      <c r="F2219">
        <v>5359.81005859375</v>
      </c>
      <c r="G2219">
        <f t="shared" si="69"/>
        <v>1.5940623140584531E-3</v>
      </c>
    </row>
    <row r="2220" spans="1:7" x14ac:dyDescent="0.25">
      <c r="A2220" s="1">
        <v>42801</v>
      </c>
      <c r="B2220">
        <v>3.5112500190734801</v>
      </c>
      <c r="C2220">
        <f>C2221*(1+G2220*3)</f>
        <v>3.1640439451618838</v>
      </c>
      <c r="D2220">
        <f t="shared" si="70"/>
        <v>3.5003434387090713</v>
      </c>
      <c r="F2220">
        <v>5351.27978515625</v>
      </c>
      <c r="G2220">
        <f t="shared" si="69"/>
        <v>-1.684655055172124E-3</v>
      </c>
    </row>
    <row r="2221" spans="1:7" x14ac:dyDescent="0.25">
      <c r="A2221" s="1">
        <v>42800</v>
      </c>
      <c r="B2221">
        <v>3.5287499427795401</v>
      </c>
      <c r="C2221">
        <f>C2222*(1+G2221*3)</f>
        <v>3.1801161413626269</v>
      </c>
      <c r="D2221">
        <f t="shared" si="70"/>
        <v>3.5181907066980891</v>
      </c>
      <c r="F2221">
        <v>5360.31005859375</v>
      </c>
      <c r="G2221">
        <f t="shared" si="69"/>
        <v>-2.4509111270293316E-3</v>
      </c>
    </row>
    <row r="2222" spans="1:7" x14ac:dyDescent="0.25">
      <c r="A2222" s="1">
        <v>42797</v>
      </c>
      <c r="B2222">
        <v>3.55333304405212</v>
      </c>
      <c r="C2222">
        <f>C2223*(1+G2222*3)</f>
        <v>3.203671886585175</v>
      </c>
      <c r="D2222">
        <f t="shared" si="70"/>
        <v>3.5443180807927037</v>
      </c>
      <c r="F2222">
        <v>5373.47998046875</v>
      </c>
      <c r="G2222">
        <f t="shared" si="69"/>
        <v>1.9055975825104099E-3</v>
      </c>
    </row>
    <row r="2223" spans="1:7" x14ac:dyDescent="0.25">
      <c r="A2223" s="1">
        <v>42796</v>
      </c>
      <c r="B2223">
        <v>3.53500008583068</v>
      </c>
      <c r="C2223">
        <f>C2224*(1+G2223*3)</f>
        <v>3.1854612647294283</v>
      </c>
      <c r="D2223">
        <f t="shared" si="70"/>
        <v>3.5242373153929254</v>
      </c>
      <c r="F2223">
        <v>5363.259765625</v>
      </c>
      <c r="G2223">
        <f t="shared" si="69"/>
        <v>-5.1438543837790673E-3</v>
      </c>
    </row>
    <row r="2224" spans="1:7" x14ac:dyDescent="0.25">
      <c r="A2224" s="1">
        <v>42795</v>
      </c>
      <c r="B2224">
        <v>3.5916669368743799</v>
      </c>
      <c r="C2224">
        <f>C2225*(1+G2224*3)</f>
        <v>3.2353883645968056</v>
      </c>
      <c r="D2224">
        <f t="shared" si="70"/>
        <v>3.579542870843166</v>
      </c>
      <c r="F2224">
        <v>5390.990234375</v>
      </c>
      <c r="G2224">
        <f t="shared" si="69"/>
        <v>1.1383986131054291E-2</v>
      </c>
    </row>
    <row r="2225" spans="1:7" x14ac:dyDescent="0.25">
      <c r="A2225" s="1">
        <v>42794</v>
      </c>
      <c r="B2225">
        <v>3.4791669845581001</v>
      </c>
      <c r="C2225">
        <f>C2226*(1+G2225*3)</f>
        <v>3.1285425109322076</v>
      </c>
      <c r="D2225">
        <f t="shared" si="70"/>
        <v>3.4613948401799672</v>
      </c>
      <c r="F2225">
        <v>5330.31005859375</v>
      </c>
      <c r="G2225">
        <f t="shared" si="69"/>
        <v>-3.2238589117278282E-3</v>
      </c>
    </row>
    <row r="2226" spans="1:7" x14ac:dyDescent="0.25">
      <c r="A2226" s="1">
        <v>42793</v>
      </c>
      <c r="B2226">
        <v>3.5066668987274099</v>
      </c>
      <c r="C2226">
        <f>C2227*(1+G2226*3)</f>
        <v>3.1590959498247448</v>
      </c>
      <c r="D2226">
        <f t="shared" si="70"/>
        <v>3.495265591237239</v>
      </c>
      <c r="F2226">
        <v>5347.5498046875</v>
      </c>
      <c r="G2226">
        <f t="shared" si="69"/>
        <v>7.9346810259139922E-4</v>
      </c>
    </row>
    <row r="2227" spans="1:7" x14ac:dyDescent="0.25">
      <c r="A2227" s="1">
        <v>42790</v>
      </c>
      <c r="B2227">
        <v>3.4962499141693102</v>
      </c>
      <c r="C2227">
        <f>C2228*(1+G2227*3)</f>
        <v>3.1515938821712695</v>
      </c>
      <c r="D2227">
        <f t="shared" si="70"/>
        <v>3.4870309139661657</v>
      </c>
      <c r="F2227">
        <v>5343.31005859375</v>
      </c>
      <c r="G2227">
        <f t="shared" si="69"/>
        <v>2.0516095405658241E-3</v>
      </c>
    </row>
    <row r="2228" spans="1:7" x14ac:dyDescent="0.25">
      <c r="A2228" s="1">
        <v>42789</v>
      </c>
      <c r="B2228">
        <v>3.4774999618530198</v>
      </c>
      <c r="C2228">
        <f>C2229*(1+G2228*3)</f>
        <v>3.1323150200337926</v>
      </c>
      <c r="D2228">
        <f t="shared" si="70"/>
        <v>3.4657651876451068</v>
      </c>
      <c r="F2228">
        <v>5332.3701171875</v>
      </c>
      <c r="G2228">
        <f t="shared" si="69"/>
        <v>-3.6919443394778373E-3</v>
      </c>
    </row>
    <row r="2229" spans="1:7" x14ac:dyDescent="0.25">
      <c r="A2229" s="1">
        <v>42788</v>
      </c>
      <c r="B2229">
        <v>3.5154170989990199</v>
      </c>
      <c r="C2229">
        <f>C2230*(1+G2229*3)</f>
        <v>3.1673965756083891</v>
      </c>
      <c r="D2229">
        <f t="shared" si="70"/>
        <v>3.5046482857569341</v>
      </c>
      <c r="F2229">
        <v>5352.1298828125</v>
      </c>
      <c r="G2229">
        <f t="shared" si="69"/>
        <v>2.6162829162745815E-4</v>
      </c>
    </row>
    <row r="2230" spans="1:7" x14ac:dyDescent="0.25">
      <c r="A2230" s="1">
        <v>42787</v>
      </c>
      <c r="B2230">
        <v>3.5150001049041699</v>
      </c>
      <c r="C2230">
        <f>C2231*(1+G2230*3)</f>
        <v>3.1649124836696303</v>
      </c>
      <c r="D2230">
        <f t="shared" si="70"/>
        <v>3.5019657940140134</v>
      </c>
      <c r="F2230">
        <v>5350.72998046875</v>
      </c>
      <c r="G2230">
        <f t="shared" si="69"/>
        <v>4.884719680198879E-3</v>
      </c>
    </row>
    <row r="2231" spans="1:7" x14ac:dyDescent="0.25">
      <c r="A2231" s="1">
        <v>42783</v>
      </c>
      <c r="B2231">
        <v>3.46000003814697</v>
      </c>
      <c r="C2231">
        <f>C2232*(1+G2231*3)</f>
        <v>3.1192031841294616</v>
      </c>
      <c r="D2231">
        <f t="shared" si="70"/>
        <v>3.4514528491492369</v>
      </c>
      <c r="F2231">
        <v>5324.72021484375</v>
      </c>
      <c r="G2231">
        <f t="shared" si="69"/>
        <v>4.542862277744808E-3</v>
      </c>
    </row>
    <row r="2232" spans="1:7" x14ac:dyDescent="0.25">
      <c r="A2232" s="1">
        <v>42782</v>
      </c>
      <c r="B2232">
        <v>3.4170830249786301</v>
      </c>
      <c r="C2232">
        <f>C2233*(1+G2232*3)</f>
        <v>3.0772644187891709</v>
      </c>
      <c r="D2232">
        <f t="shared" si="70"/>
        <v>3.4051103261417017</v>
      </c>
      <c r="F2232">
        <v>5300.64013671875</v>
      </c>
      <c r="G2232">
        <f t="shared" si="69"/>
        <v>-3.3003984144464038E-4</v>
      </c>
    </row>
    <row r="2233" spans="1:7" x14ac:dyDescent="0.25">
      <c r="A2233" s="1">
        <v>42781</v>
      </c>
      <c r="B2233">
        <v>3.42000007629394</v>
      </c>
      <c r="C2233">
        <f>C2234*(1+G2233*3)</f>
        <v>3.0803142981168214</v>
      </c>
      <c r="D2233">
        <f t="shared" si="70"/>
        <v>3.4085495813445896</v>
      </c>
      <c r="F2233">
        <v>5302.39013671875</v>
      </c>
      <c r="G2233">
        <f t="shared" si="69"/>
        <v>5.9419270744800468E-3</v>
      </c>
    </row>
    <row r="2234" spans="1:7" x14ac:dyDescent="0.25">
      <c r="A2234" s="1">
        <v>42780</v>
      </c>
      <c r="B2234">
        <v>3.3620829582214302</v>
      </c>
      <c r="C2234">
        <f>C2235*(1+G2234*3)</f>
        <v>3.0263669430874924</v>
      </c>
      <c r="D2234">
        <f t="shared" si="70"/>
        <v>3.3489157982854936</v>
      </c>
      <c r="F2234">
        <v>5271.06982421875</v>
      </c>
      <c r="G2234">
        <f t="shared" si="69"/>
        <v>2.7107643930173175E-3</v>
      </c>
    </row>
    <row r="2235" spans="1:7" x14ac:dyDescent="0.25">
      <c r="A2235" s="1">
        <v>42779</v>
      </c>
      <c r="B2235">
        <v>3.3308329582214302</v>
      </c>
      <c r="C2235">
        <f>C2236*(1+G2235*3)</f>
        <v>3.0019541716535278</v>
      </c>
      <c r="D2235">
        <f t="shared" si="70"/>
        <v>3.3219633664547987</v>
      </c>
      <c r="F2235">
        <v>5256.81982421875</v>
      </c>
      <c r="G2235">
        <f t="shared" si="69"/>
        <v>5.7646202759817911E-3</v>
      </c>
    </row>
    <row r="2236" spans="1:7" x14ac:dyDescent="0.25">
      <c r="A2236" s="1">
        <v>42776</v>
      </c>
      <c r="B2236">
        <v>3.27333307266235</v>
      </c>
      <c r="C2236">
        <f>C2237*(1+G2236*3)</f>
        <v>2.9509213485377037</v>
      </c>
      <c r="D2236">
        <f t="shared" si="70"/>
        <v>3.2655510634663516</v>
      </c>
      <c r="F2236">
        <v>5226.68994140625</v>
      </c>
      <c r="G2236">
        <f t="shared" si="69"/>
        <v>2.7876705090934539E-3</v>
      </c>
    </row>
    <row r="2237" spans="1:7" x14ac:dyDescent="0.25">
      <c r="A2237" s="1">
        <v>42775</v>
      </c>
      <c r="B2237">
        <v>3.24125003814697</v>
      </c>
      <c r="C2237">
        <f>C2238*(1+G2237*3)</f>
        <v>2.926447434905608</v>
      </c>
      <c r="D2237">
        <f t="shared" si="70"/>
        <v>3.2385283854487579</v>
      </c>
      <c r="F2237">
        <v>5212.16015625</v>
      </c>
      <c r="G2237">
        <f t="shared" si="69"/>
        <v>2.9981406792101151E-3</v>
      </c>
    </row>
    <row r="2238" spans="1:7" x14ac:dyDescent="0.25">
      <c r="A2238" s="1">
        <v>42774</v>
      </c>
      <c r="B2238">
        <v>3.2079169750213601</v>
      </c>
      <c r="C2238">
        <f>C2239*(1+G2238*3)</f>
        <v>2.9003603696794928</v>
      </c>
      <c r="D2238">
        <f t="shared" si="70"/>
        <v>3.2097194421956865</v>
      </c>
      <c r="F2238">
        <v>5196.580078125</v>
      </c>
      <c r="G2238">
        <f t="shared" si="69"/>
        <v>2.0633326560384191E-3</v>
      </c>
    </row>
    <row r="2239" spans="1:7" x14ac:dyDescent="0.25">
      <c r="A2239" s="1">
        <v>42773</v>
      </c>
      <c r="B2239">
        <v>3.1900000572204501</v>
      </c>
      <c r="C2239">
        <f>C2240*(1+G2239*3)</f>
        <v>2.882517591644159</v>
      </c>
      <c r="D2239">
        <f t="shared" si="70"/>
        <v>3.1900333981279885</v>
      </c>
      <c r="F2239">
        <v>5185.8798828125</v>
      </c>
      <c r="G2239">
        <f t="shared" si="69"/>
        <v>3.4675040074709784E-3</v>
      </c>
    </row>
    <row r="2240" spans="1:7" x14ac:dyDescent="0.25">
      <c r="A2240" s="1">
        <v>42772</v>
      </c>
      <c r="B2240">
        <v>3.1575000286102202</v>
      </c>
      <c r="C2240">
        <f>C2241*(1+G2240*3)</f>
        <v>2.8528408800909815</v>
      </c>
      <c r="D2240">
        <f t="shared" si="70"/>
        <v>3.1572497070302967</v>
      </c>
      <c r="F2240">
        <v>5167.9599609375</v>
      </c>
      <c r="G2240">
        <f t="shared" si="69"/>
        <v>1.2321495584552977E-3</v>
      </c>
    </row>
    <row r="2241" spans="1:7" x14ac:dyDescent="0.25">
      <c r="A2241" s="1">
        <v>42769</v>
      </c>
      <c r="B2241">
        <v>3.1458330154418901</v>
      </c>
      <c r="C2241">
        <f>C2242*(1+G2241*3)</f>
        <v>2.8423343370956773</v>
      </c>
      <c r="D2241">
        <f t="shared" si="70"/>
        <v>3.1456812760669051</v>
      </c>
      <c r="F2241">
        <v>5161.60009765625</v>
      </c>
      <c r="G2241">
        <f t="shared" si="69"/>
        <v>2.7002159831310824E-3</v>
      </c>
    </row>
    <row r="2242" spans="1:7" x14ac:dyDescent="0.25">
      <c r="A2242" s="1">
        <v>42768</v>
      </c>
      <c r="B2242">
        <v>3.1187500953674299</v>
      </c>
      <c r="C2242">
        <f>C2243*(1+G2242*3)</f>
        <v>2.8194946039141549</v>
      </c>
      <c r="D2242">
        <f t="shared" si="70"/>
        <v>3.1204624503841067</v>
      </c>
      <c r="F2242">
        <v>5147.7001953125</v>
      </c>
      <c r="G2242">
        <f t="shared" ref="G2242:G2305" si="71">F2242/F2243-1</f>
        <v>-9.683769352495375E-4</v>
      </c>
    </row>
    <row r="2243" spans="1:7" x14ac:dyDescent="0.25">
      <c r="A2243" s="1">
        <v>42767</v>
      </c>
      <c r="B2243">
        <v>3.1266670227050701</v>
      </c>
      <c r="C2243">
        <f>C2244*(1+G2243*3)</f>
        <v>2.8277094698045913</v>
      </c>
      <c r="D2243">
        <f t="shared" si="70"/>
        <v>3.1296135018988154</v>
      </c>
      <c r="F2243">
        <v>5152.68994140625</v>
      </c>
      <c r="G2243">
        <f t="shared" si="71"/>
        <v>7.0200383714511538E-3</v>
      </c>
    </row>
    <row r="2244" spans="1:7" x14ac:dyDescent="0.25">
      <c r="A2244" s="1">
        <v>42766</v>
      </c>
      <c r="B2244">
        <v>3.06833291053771</v>
      </c>
      <c r="C2244">
        <f>C2245*(1+G2244*3)</f>
        <v>2.7693858842854735</v>
      </c>
      <c r="D2244">
        <f t="shared" si="70"/>
        <v>3.0651196264295817</v>
      </c>
      <c r="F2244">
        <v>5116.77001953125</v>
      </c>
      <c r="G2244">
        <f t="shared" si="71"/>
        <v>-2.4486742717757526E-3</v>
      </c>
    </row>
    <row r="2245" spans="1:7" x14ac:dyDescent="0.25">
      <c r="A2245" s="1">
        <v>42765</v>
      </c>
      <c r="B2245">
        <v>3.08541703224182</v>
      </c>
      <c r="C2245">
        <f>C2246*(1+G2245*3)</f>
        <v>2.789880409425145</v>
      </c>
      <c r="D2245">
        <f t="shared" si="70"/>
        <v>3.0878614533872035</v>
      </c>
      <c r="F2245">
        <v>5129.330078125</v>
      </c>
      <c r="G2245">
        <f t="shared" si="71"/>
        <v>-7.4941041763528782E-3</v>
      </c>
    </row>
    <row r="2246" spans="1:7" x14ac:dyDescent="0.25">
      <c r="A2246" s="1">
        <v>42762</v>
      </c>
      <c r="B2246">
        <v>3.15708303451538</v>
      </c>
      <c r="C2246">
        <f>C2247*(1+G2246*3)</f>
        <v>2.8540459627315742</v>
      </c>
      <c r="D2246">
        <f t="shared" si="70"/>
        <v>3.1589414307873898</v>
      </c>
      <c r="F2246">
        <v>5168.06005859375</v>
      </c>
      <c r="G2246">
        <f t="shared" si="71"/>
        <v>2.1602306972996477E-3</v>
      </c>
    </row>
    <row r="2247" spans="1:7" x14ac:dyDescent="0.25">
      <c r="A2247" s="1">
        <v>42761</v>
      </c>
      <c r="B2247">
        <v>3.1420829296111998</v>
      </c>
      <c r="C2247">
        <f>C2248*(1+G2247*3)</f>
        <v>2.835668865936853</v>
      </c>
      <c r="D2247">
        <f t="shared" si="70"/>
        <v>3.1386600273679326</v>
      </c>
      <c r="F2247">
        <v>5156.919921875</v>
      </c>
      <c r="G2247">
        <f t="shared" si="71"/>
        <v>1.0578935340723739E-3</v>
      </c>
    </row>
    <row r="2248" spans="1:7" x14ac:dyDescent="0.25">
      <c r="A2248" s="1">
        <v>42760</v>
      </c>
      <c r="B2248">
        <v>3.12916707992553</v>
      </c>
      <c r="C2248">
        <f>C2249*(1+G2248*3)</f>
        <v>2.8266978298658785</v>
      </c>
      <c r="D2248">
        <f t="shared" si="70"/>
        <v>3.1287893486565945</v>
      </c>
      <c r="F2248">
        <v>5151.47021484375</v>
      </c>
      <c r="G2248">
        <f t="shared" si="71"/>
        <v>9.8822902829920345E-3</v>
      </c>
    </row>
    <row r="2249" spans="1:7" x14ac:dyDescent="0.25">
      <c r="A2249" s="1">
        <v>42759</v>
      </c>
      <c r="B2249">
        <v>3.0404169559478702</v>
      </c>
      <c r="C2249">
        <f>C2250*(1+G2249*3)</f>
        <v>2.7453080370507781</v>
      </c>
      <c r="D2249">
        <f t="shared" si="70"/>
        <v>3.0387571078817812</v>
      </c>
      <c r="F2249">
        <v>5101.06005859375</v>
      </c>
      <c r="G2249">
        <f t="shared" si="71"/>
        <v>6.9802518739601194E-3</v>
      </c>
    </row>
    <row r="2250" spans="1:7" x14ac:dyDescent="0.25">
      <c r="A2250" s="1">
        <v>42758</v>
      </c>
      <c r="B2250">
        <v>2.9783329963684002</v>
      </c>
      <c r="C2250">
        <f>C2251*(1+G2250*3)</f>
        <v>2.6889983791258709</v>
      </c>
      <c r="D2250">
        <f t="shared" si="70"/>
        <v>2.9764835164169829</v>
      </c>
      <c r="F2250">
        <v>5065.7001953125</v>
      </c>
      <c r="G2250">
        <f t="shared" si="71"/>
        <v>4.9375886861335871E-4</v>
      </c>
    </row>
    <row r="2251" spans="1:7" x14ac:dyDescent="0.25">
      <c r="A2251" s="1">
        <v>42755</v>
      </c>
      <c r="B2251">
        <v>2.9716670513153001</v>
      </c>
      <c r="C2251">
        <f>C2252*(1+G2251*3)</f>
        <v>2.6850211201543996</v>
      </c>
      <c r="D2251">
        <f t="shared" si="70"/>
        <v>2.9721370996280179</v>
      </c>
      <c r="F2251">
        <v>5063.2001953125</v>
      </c>
      <c r="G2251">
        <f t="shared" si="71"/>
        <v>2.3816806053980066E-3</v>
      </c>
    </row>
    <row r="2252" spans="1:7" x14ac:dyDescent="0.25">
      <c r="A2252" s="1">
        <v>42754</v>
      </c>
      <c r="B2252">
        <v>2.9525001049041699</v>
      </c>
      <c r="C2252">
        <f>C2253*(1+G2252*3)</f>
        <v>2.6659726342021961</v>
      </c>
      <c r="D2252">
        <f t="shared" si="70"/>
        <v>2.9511070594164024</v>
      </c>
      <c r="F2252">
        <v>5051.169921875</v>
      </c>
      <c r="G2252">
        <f t="shared" si="71"/>
        <v>-9.2569512363893658E-4</v>
      </c>
    </row>
    <row r="2253" spans="1:7" x14ac:dyDescent="0.25">
      <c r="A2253" s="1">
        <v>42753</v>
      </c>
      <c r="B2253">
        <v>2.96041703224182</v>
      </c>
      <c r="C2253">
        <f>C2254*(1+G2253*3)</f>
        <v>2.6733968855838053</v>
      </c>
      <c r="D2253">
        <f t="shared" si="70"/>
        <v>2.9593814136726104</v>
      </c>
      <c r="F2253">
        <v>5055.85009765625</v>
      </c>
      <c r="G2253">
        <f t="shared" si="71"/>
        <v>2.2202126072805584E-3</v>
      </c>
    </row>
    <row r="2254" spans="1:7" x14ac:dyDescent="0.25">
      <c r="A2254" s="1">
        <v>42752</v>
      </c>
      <c r="B2254">
        <v>2.9404170513153001</v>
      </c>
      <c r="C2254">
        <f>C2255*(1+G2254*3)</f>
        <v>2.6557081752678422</v>
      </c>
      <c r="D2254">
        <f t="shared" si="70"/>
        <v>2.939855630673192</v>
      </c>
      <c r="F2254">
        <v>5044.64990234375</v>
      </c>
      <c r="G2254">
        <f t="shared" si="71"/>
        <v>-2.9370164244389985E-3</v>
      </c>
    </row>
    <row r="2255" spans="1:7" x14ac:dyDescent="0.25">
      <c r="A2255" s="1">
        <v>42748</v>
      </c>
      <c r="B2255">
        <v>2.96833300590515</v>
      </c>
      <c r="C2255">
        <f>C2256*(1+G2255*3)</f>
        <v>2.6793157584341802</v>
      </c>
      <c r="D2255">
        <f t="shared" si="70"/>
        <v>2.9660456301725251</v>
      </c>
      <c r="F2255">
        <v>5059.509765625</v>
      </c>
      <c r="G2255">
        <f t="shared" si="71"/>
        <v>3.5862025681925314E-3</v>
      </c>
    </row>
    <row r="2256" spans="1:7" x14ac:dyDescent="0.25">
      <c r="A2256" s="1">
        <v>42747</v>
      </c>
      <c r="B2256">
        <v>2.9345829486846902</v>
      </c>
      <c r="C2256">
        <f>C2257*(1+G2256*3)</f>
        <v>2.6507968747541799</v>
      </c>
      <c r="D2256">
        <f t="shared" si="70"/>
        <v>2.9345296073321081</v>
      </c>
      <c r="F2256">
        <v>5041.43017578125</v>
      </c>
      <c r="G2256">
        <f t="shared" si="71"/>
        <v>-1.738499037497454E-3</v>
      </c>
    </row>
    <row r="2257" spans="1:7" x14ac:dyDescent="0.25">
      <c r="A2257" s="1">
        <v>42746</v>
      </c>
      <c r="B2257">
        <v>2.9495830535888601</v>
      </c>
      <c r="C2257">
        <f>C2258*(1+G2257*3)</f>
        <v>2.6646945816504517</v>
      </c>
      <c r="D2257">
        <f t="shared" si="70"/>
        <v>2.9499708936811109</v>
      </c>
      <c r="F2257">
        <v>5050.2099609375</v>
      </c>
      <c r="G2257">
        <f t="shared" si="71"/>
        <v>2.9869973200227218E-3</v>
      </c>
    </row>
    <row r="2258" spans="1:7" x14ac:dyDescent="0.25">
      <c r="A2258" s="1">
        <v>42745</v>
      </c>
      <c r="B2258">
        <v>2.9270830154418901</v>
      </c>
      <c r="C2258">
        <f>C2259*(1+G2258*3)</f>
        <v>2.6410283478589753</v>
      </c>
      <c r="D2258">
        <f t="shared" si="70"/>
        <v>2.9238257425279071</v>
      </c>
      <c r="F2258">
        <v>5035.169921875</v>
      </c>
      <c r="G2258">
        <f t="shared" si="71"/>
        <v>2.0438256942112432E-3</v>
      </c>
    </row>
    <row r="2259" spans="1:7" x14ac:dyDescent="0.25">
      <c r="A2259" s="1">
        <v>42744</v>
      </c>
      <c r="B2259">
        <v>2.91041707992553</v>
      </c>
      <c r="C2259">
        <f>C2260*(1+G2259*3)</f>
        <v>2.6249336274786552</v>
      </c>
      <c r="D2259">
        <f t="shared" si="70"/>
        <v>2.9060621811477909</v>
      </c>
      <c r="F2259">
        <v>5024.89990234375</v>
      </c>
      <c r="G2259">
        <f t="shared" si="71"/>
        <v>3.5589253498464757E-3</v>
      </c>
    </row>
    <row r="2260" spans="1:7" x14ac:dyDescent="0.25">
      <c r="A2260" s="1">
        <v>42741</v>
      </c>
      <c r="B2260">
        <v>2.8812499046325599</v>
      </c>
      <c r="C2260">
        <f>C2261*(1+G2260*3)</f>
        <v>2.5972038634733519</v>
      </c>
      <c r="D2260">
        <f t="shared" si="70"/>
        <v>2.8754163184841639</v>
      </c>
      <c r="F2260">
        <v>5007.080078125</v>
      </c>
      <c r="G2260">
        <f t="shared" si="71"/>
        <v>8.4854593007348544E-3</v>
      </c>
    </row>
    <row r="2261" spans="1:7" x14ac:dyDescent="0.25">
      <c r="A2261" s="1">
        <v>42740</v>
      </c>
      <c r="B2261">
        <v>2.8099999427795401</v>
      </c>
      <c r="C2261">
        <f>C2262*(1+G2261*3)</f>
        <v>2.5327297381352301</v>
      </c>
      <c r="D2261">
        <f t="shared" si="70"/>
        <v>2.8040873766470313</v>
      </c>
      <c r="F2261">
        <v>4964.9501953125</v>
      </c>
      <c r="G2261">
        <f t="shared" si="71"/>
        <v>5.618605365069973E-3</v>
      </c>
    </row>
    <row r="2262" spans="1:7" x14ac:dyDescent="0.25">
      <c r="A2262" s="1">
        <v>42739</v>
      </c>
      <c r="B2262">
        <v>2.7610421180725</v>
      </c>
      <c r="C2262">
        <f>C2263*(1+G2262*3)</f>
        <v>2.4907461786087541</v>
      </c>
      <c r="D2262">
        <f>D2263*(1+3*G2262-0.0000188888884265817)</f>
        <v>2.7576569080253255</v>
      </c>
      <c r="F2262">
        <v>4937.2099609375</v>
      </c>
      <c r="G2262">
        <f t="shared" si="71"/>
        <v>5.2694244534221557E-3</v>
      </c>
    </row>
    <row r="2263" spans="1:7" x14ac:dyDescent="0.25">
      <c r="A2263" s="1">
        <v>42738</v>
      </c>
      <c r="B2263">
        <v>2.7147920131683301</v>
      </c>
      <c r="C2263">
        <f>C2264*(1+G2263*3)</f>
        <v>2.4519845367762487</v>
      </c>
      <c r="D2263">
        <v>2.7147920131683301</v>
      </c>
      <c r="E2263" s="2">
        <v>1.8888888426581701E-5</v>
      </c>
      <c r="F2263">
        <v>4911.330078125</v>
      </c>
      <c r="G2263">
        <f t="shared" si="71"/>
        <v>9.8095574464991397E-3</v>
      </c>
    </row>
    <row r="2264" spans="1:7" x14ac:dyDescent="0.25">
      <c r="A2264" s="1">
        <v>42734</v>
      </c>
      <c r="B2264">
        <v>2.6506249904632502</v>
      </c>
      <c r="C2264">
        <f>C2265*(1+G2264*3)</f>
        <v>2.3818887142552834</v>
      </c>
      <c r="D2264">
        <f t="shared" ref="D2264:D2327" si="72">D2265*(1+3*G2264--0.0000564765848304393)</f>
        <v>2.6506249904643502</v>
      </c>
      <c r="F2264">
        <v>4863.6201171875</v>
      </c>
      <c r="G2264">
        <f t="shared" si="71"/>
        <v>-1.1113574330138154E-2</v>
      </c>
    </row>
    <row r="2265" spans="1:7" x14ac:dyDescent="0.25">
      <c r="A2265" s="1">
        <v>42733</v>
      </c>
      <c r="B2265">
        <v>2.7304170131683301</v>
      </c>
      <c r="C2265">
        <f>C2266*(1+G2265*3)</f>
        <v>2.4640416441497246</v>
      </c>
      <c r="D2265">
        <f t="shared" si="72"/>
        <v>2.7418866203523313</v>
      </c>
      <c r="F2265">
        <v>4918.27978515625</v>
      </c>
      <c r="G2265">
        <f t="shared" si="71"/>
        <v>-1.6260215786593202E-3</v>
      </c>
    </row>
    <row r="2266" spans="1:7" x14ac:dyDescent="0.25">
      <c r="A2266" s="1">
        <v>42732</v>
      </c>
      <c r="B2266">
        <v>2.7437500953674299</v>
      </c>
      <c r="C2266">
        <f>C2267*(1+G2266*3)</f>
        <v>2.476120319361641</v>
      </c>
      <c r="D2266">
        <f t="shared" si="72"/>
        <v>2.7551709198136911</v>
      </c>
      <c r="F2266">
        <v>4926.2900390625</v>
      </c>
      <c r="G2266">
        <f t="shared" si="71"/>
        <v>-7.9584235129689374E-3</v>
      </c>
    </row>
    <row r="2267" spans="1:7" x14ac:dyDescent="0.25">
      <c r="A2267" s="1">
        <v>42731</v>
      </c>
      <c r="B2267">
        <v>2.8087499141693102</v>
      </c>
      <c r="C2267">
        <f>C2268*(1+G2267*3)</f>
        <v>2.5366843443549243</v>
      </c>
      <c r="D2267">
        <f t="shared" si="72"/>
        <v>2.8223970127161784</v>
      </c>
      <c r="F2267">
        <v>4965.81005859375</v>
      </c>
      <c r="G2267">
        <f t="shared" si="71"/>
        <v>5.2206345238550167E-3</v>
      </c>
    </row>
    <row r="2268" spans="1:7" x14ac:dyDescent="0.25">
      <c r="A2268" s="1">
        <v>42727</v>
      </c>
      <c r="B2268">
        <v>2.7683329582214302</v>
      </c>
      <c r="C2268">
        <f>C2269*(1+G2268*3)</f>
        <v>2.4975676801844187</v>
      </c>
      <c r="D2268">
        <f t="shared" si="72"/>
        <v>2.7787200348600551</v>
      </c>
      <c r="F2268">
        <v>4940.02001953125</v>
      </c>
      <c r="G2268">
        <f t="shared" si="71"/>
        <v>1.1409480516357817E-3</v>
      </c>
    </row>
    <row r="2269" spans="1:7" x14ac:dyDescent="0.25">
      <c r="A2269" s="1">
        <v>42726</v>
      </c>
      <c r="B2269">
        <v>2.7597920894622798</v>
      </c>
      <c r="C2269">
        <f>C2270*(1+G2269*3)</f>
        <v>2.489048056592627</v>
      </c>
      <c r="D2269">
        <f t="shared" si="72"/>
        <v>2.7690854982558659</v>
      </c>
      <c r="F2269">
        <v>4934.39013671875</v>
      </c>
      <c r="G2269">
        <f t="shared" si="71"/>
        <v>-2.9339832554673428E-3</v>
      </c>
    </row>
    <row r="2270" spans="1:7" x14ac:dyDescent="0.25">
      <c r="A2270" s="1">
        <v>42725</v>
      </c>
      <c r="B2270">
        <v>2.7839579582214302</v>
      </c>
      <c r="C2270">
        <f>C2271*(1+G2270*3)</f>
        <v>2.5111510822746546</v>
      </c>
      <c r="D2270">
        <f t="shared" si="72"/>
        <v>2.7935161185529589</v>
      </c>
      <c r="F2270">
        <v>4948.91015625</v>
      </c>
      <c r="G2270">
        <f t="shared" si="71"/>
        <v>-9.8705006869137524E-4</v>
      </c>
    </row>
    <row r="2271" spans="1:7" x14ac:dyDescent="0.25">
      <c r="A2271" s="1">
        <v>42724</v>
      </c>
      <c r="B2271">
        <v>2.79375004768371</v>
      </c>
      <c r="C2271">
        <f>C2272*(1+G2271*3)</f>
        <v>2.5186090620176684</v>
      </c>
      <c r="D2271">
        <f t="shared" si="72"/>
        <v>2.8016540090488951</v>
      </c>
      <c r="F2271">
        <v>4953.7998046875</v>
      </c>
      <c r="G2271">
        <f t="shared" si="71"/>
        <v>3.8399762214154087E-3</v>
      </c>
    </row>
    <row r="2272" spans="1:7" x14ac:dyDescent="0.25">
      <c r="A2272" s="1">
        <v>42723</v>
      </c>
      <c r="B2272">
        <v>2.7604169845581001</v>
      </c>
      <c r="C2272">
        <f>C2273*(1+G2272*3)</f>
        <v>2.4899253001802895</v>
      </c>
      <c r="D2272">
        <f t="shared" si="72"/>
        <v>2.7695920886559766</v>
      </c>
      <c r="F2272">
        <v>4934.85009765625</v>
      </c>
      <c r="G2272">
        <f t="shared" si="71"/>
        <v>4.0673050567212599E-3</v>
      </c>
    </row>
    <row r="2273" spans="1:7" x14ac:dyDescent="0.25">
      <c r="A2273" s="1">
        <v>42720</v>
      </c>
      <c r="B2273">
        <v>2.7270829677581698</v>
      </c>
      <c r="C2273">
        <f>C2274*(1+G2273*3)</f>
        <v>2.4599096908068012</v>
      </c>
      <c r="D2273">
        <f t="shared" si="72"/>
        <v>2.7360524854273818</v>
      </c>
      <c r="F2273">
        <v>4914.85986328125</v>
      </c>
      <c r="G2273">
        <f t="shared" si="71"/>
        <v>-3.7601359670549339E-3</v>
      </c>
    </row>
    <row r="2274" spans="1:7" x14ac:dyDescent="0.25">
      <c r="A2274" s="1">
        <v>42719</v>
      </c>
      <c r="B2274">
        <v>2.7606248855590798</v>
      </c>
      <c r="C2274">
        <f>C2275*(1+G2274*3)</f>
        <v>2.4879750643809451</v>
      </c>
      <c r="D2274">
        <f t="shared" si="72"/>
        <v>2.7671103418490137</v>
      </c>
      <c r="F2274">
        <v>4933.41015625</v>
      </c>
      <c r="G2274">
        <f t="shared" si="71"/>
        <v>2.4770160395346519E-3</v>
      </c>
    </row>
    <row r="2275" spans="1:7" x14ac:dyDescent="0.25">
      <c r="A2275" s="1">
        <v>42718</v>
      </c>
      <c r="B2275">
        <v>2.7439579963684002</v>
      </c>
      <c r="C2275">
        <f>C2276*(1+G2275*3)</f>
        <v>2.4696231757272962</v>
      </c>
      <c r="D2275">
        <f t="shared" si="72"/>
        <v>2.7465455144603843</v>
      </c>
      <c r="F2275">
        <v>4921.22021484375</v>
      </c>
      <c r="G2275">
        <f t="shared" si="71"/>
        <v>-2.9619334032408018E-3</v>
      </c>
    </row>
    <row r="2276" spans="1:7" x14ac:dyDescent="0.25">
      <c r="A2276" s="1">
        <v>42717</v>
      </c>
      <c r="B2276">
        <v>2.7641670703887899</v>
      </c>
      <c r="C2276">
        <f>C2277*(1+G2276*3)</f>
        <v>2.4917644972192661</v>
      </c>
      <c r="D2276">
        <f t="shared" si="72"/>
        <v>2.771011673292235</v>
      </c>
      <c r="F2276">
        <v>4935.83984375</v>
      </c>
      <c r="G2276">
        <f t="shared" si="71"/>
        <v>1.2625411141784504E-2</v>
      </c>
    </row>
    <row r="2277" spans="1:7" x14ac:dyDescent="0.25">
      <c r="A2277" s="1">
        <v>42716</v>
      </c>
      <c r="B2277">
        <v>2.6602079868316602</v>
      </c>
      <c r="C2277">
        <f>C2278*(1+G2277*3)</f>
        <v>2.4008300960853246</v>
      </c>
      <c r="D2277">
        <f t="shared" si="72"/>
        <v>2.6697411562114137</v>
      </c>
      <c r="F2277">
        <v>4874.2998046875</v>
      </c>
      <c r="G2277">
        <f t="shared" si="71"/>
        <v>-4.4118748518345852E-3</v>
      </c>
    </row>
    <row r="2278" spans="1:7" x14ac:dyDescent="0.25">
      <c r="A2278" s="1">
        <v>42713</v>
      </c>
      <c r="B2278">
        <v>2.6977078914642298</v>
      </c>
      <c r="C2278">
        <f>C2279*(1+G2278*3)</f>
        <v>2.4330328048211616</v>
      </c>
      <c r="D2278">
        <f t="shared" si="72"/>
        <v>2.7053959700195649</v>
      </c>
      <c r="F2278">
        <v>4895.89990234375</v>
      </c>
      <c r="G2278">
        <f t="shared" si="71"/>
        <v>7.5547491207714756E-3</v>
      </c>
    </row>
    <row r="2279" spans="1:7" x14ac:dyDescent="0.25">
      <c r="A2279" s="1">
        <v>42712</v>
      </c>
      <c r="B2279">
        <v>2.6360421180725</v>
      </c>
      <c r="C2279">
        <f>C2280*(1+G2279*3)</f>
        <v>2.3791120214640444</v>
      </c>
      <c r="D2279">
        <f t="shared" si="72"/>
        <v>2.645292998051521</v>
      </c>
      <c r="F2279">
        <v>4859.18994140625</v>
      </c>
      <c r="G2279">
        <f t="shared" si="71"/>
        <v>1.4942476798049942E-3</v>
      </c>
    </row>
    <row r="2280" spans="1:7" x14ac:dyDescent="0.25">
      <c r="A2280" s="1">
        <v>42711</v>
      </c>
      <c r="B2280">
        <v>2.6199998855590798</v>
      </c>
      <c r="C2280">
        <f>C2281*(1+G2280*3)</f>
        <v>2.3684946684750465</v>
      </c>
      <c r="D2280">
        <f t="shared" si="72"/>
        <v>2.6333396908495121</v>
      </c>
      <c r="F2280">
        <v>4851.93994140625</v>
      </c>
      <c r="G2280">
        <f t="shared" si="71"/>
        <v>1.3212441150355358E-2</v>
      </c>
    </row>
    <row r="2281" spans="1:7" x14ac:dyDescent="0.25">
      <c r="A2281" s="1">
        <v>42710</v>
      </c>
      <c r="B2281">
        <v>2.5262498855590798</v>
      </c>
      <c r="C2281">
        <f>C2282*(1+G2281*3)</f>
        <v>2.2781931881907158</v>
      </c>
      <c r="D2281">
        <f t="shared" si="72"/>
        <v>2.5328031106452622</v>
      </c>
      <c r="F2281">
        <v>4788.669921875</v>
      </c>
      <c r="G2281">
        <f t="shared" si="71"/>
        <v>2.2037413836675235E-3</v>
      </c>
    </row>
    <row r="2282" spans="1:7" x14ac:dyDescent="0.25">
      <c r="A2282" s="1">
        <v>42709</v>
      </c>
      <c r="B2282">
        <v>2.5081250667571999</v>
      </c>
      <c r="C2282">
        <f>C2283*(1+G2282*3)</f>
        <v>2.263230464285944</v>
      </c>
      <c r="D2282">
        <f t="shared" si="72"/>
        <v>2.5160269955953551</v>
      </c>
      <c r="F2282">
        <v>4778.14013671875</v>
      </c>
      <c r="G2282">
        <f t="shared" si="71"/>
        <v>8.1804160832785744E-3</v>
      </c>
    </row>
    <row r="2283" spans="1:7" x14ac:dyDescent="0.25">
      <c r="A2283" s="1">
        <v>42706</v>
      </c>
      <c r="B2283">
        <v>2.4514579772949201</v>
      </c>
      <c r="C2283">
        <f>C2284*(1+G2283*3)</f>
        <v>2.2090183954546379</v>
      </c>
      <c r="D2283">
        <f t="shared" si="72"/>
        <v>2.4556242265727777</v>
      </c>
      <c r="F2283">
        <v>4739.3701171875</v>
      </c>
      <c r="G2283">
        <f t="shared" si="71"/>
        <v>1.1132040773407237E-3</v>
      </c>
    </row>
    <row r="2284" spans="1:7" x14ac:dyDescent="0.25">
      <c r="A2284" s="1">
        <v>42705</v>
      </c>
      <c r="B2284">
        <v>2.44166707992553</v>
      </c>
      <c r="C2284">
        <f>C2285*(1+G2284*3)</f>
        <v>2.2016656857995183</v>
      </c>
      <c r="D2284">
        <f t="shared" si="72"/>
        <v>2.4473129344846356</v>
      </c>
      <c r="F2284">
        <v>4734.10009765625</v>
      </c>
      <c r="G2284">
        <f t="shared" si="71"/>
        <v>-1.5945331452126177E-2</v>
      </c>
    </row>
    <row r="2285" spans="1:7" x14ac:dyDescent="0.25">
      <c r="A2285" s="1">
        <v>42704</v>
      </c>
      <c r="B2285">
        <v>2.5835421085357599</v>
      </c>
      <c r="C2285">
        <f>C2286*(1+G2285*3)</f>
        <v>2.3122756927902226</v>
      </c>
      <c r="D2285">
        <f t="shared" si="72"/>
        <v>2.5701116287241224</v>
      </c>
      <c r="F2285">
        <v>4810.81005859375</v>
      </c>
      <c r="G2285">
        <f t="shared" si="71"/>
        <v>-1.2804681687005659E-2</v>
      </c>
    </row>
    <row r="2286" spans="1:7" x14ac:dyDescent="0.25">
      <c r="A2286" s="1">
        <v>42703</v>
      </c>
      <c r="B2286">
        <v>2.67000007629394</v>
      </c>
      <c r="C2286">
        <f>C2287*(1+G2286*3)</f>
        <v>2.4046479473974296</v>
      </c>
      <c r="D2286">
        <f t="shared" si="72"/>
        <v>2.6726271059519879</v>
      </c>
      <c r="F2286">
        <v>4873.2099609375</v>
      </c>
      <c r="G2286">
        <f t="shared" si="71"/>
        <v>3.3333075303676463E-3</v>
      </c>
    </row>
    <row r="2287" spans="1:7" x14ac:dyDescent="0.25">
      <c r="A2287" s="1">
        <v>42702</v>
      </c>
      <c r="B2287">
        <v>2.6445829868316602</v>
      </c>
      <c r="C2287">
        <f>C2288*(1+G2287*3)</f>
        <v>2.3808397343520866</v>
      </c>
      <c r="D2287">
        <f t="shared" si="72"/>
        <v>2.6460176957766741</v>
      </c>
      <c r="F2287">
        <v>4857.02001953125</v>
      </c>
      <c r="G2287">
        <f t="shared" si="71"/>
        <v>-2.6693935441463035E-3</v>
      </c>
    </row>
    <row r="2288" spans="1:7" x14ac:dyDescent="0.25">
      <c r="A2288" s="1">
        <v>42699</v>
      </c>
      <c r="B2288">
        <v>2.6593749523162802</v>
      </c>
      <c r="C2288">
        <f>C2289*(1+G2288*3)</f>
        <v>2.4000598471366206</v>
      </c>
      <c r="D2288">
        <f t="shared" si="72"/>
        <v>2.667226693067831</v>
      </c>
      <c r="F2288">
        <v>4870.02001953125</v>
      </c>
      <c r="G2288">
        <f t="shared" si="71"/>
        <v>3.3293413294126495E-3</v>
      </c>
    </row>
    <row r="2289" spans="1:7" x14ac:dyDescent="0.25">
      <c r="A2289" s="1">
        <v>42697</v>
      </c>
      <c r="B2289">
        <v>2.6339581012725799</v>
      </c>
      <c r="C2289">
        <f>C2290*(1+G2289*3)</f>
        <v>2.3763250554786488</v>
      </c>
      <c r="D2289">
        <f t="shared" si="72"/>
        <v>2.6407021587212522</v>
      </c>
      <c r="F2289">
        <v>4853.85986328125</v>
      </c>
      <c r="G2289">
        <f t="shared" si="71"/>
        <v>-4.0994331182981902E-3</v>
      </c>
    </row>
    <row r="2290" spans="1:7" x14ac:dyDescent="0.25">
      <c r="A2290" s="1">
        <v>42696</v>
      </c>
      <c r="B2290">
        <v>2.6660420894622798</v>
      </c>
      <c r="C2290">
        <f>C2291*(1+G2290*3)</f>
        <v>2.405913702412966</v>
      </c>
      <c r="D2290">
        <f t="shared" si="72"/>
        <v>2.6734298126762406</v>
      </c>
      <c r="F2290">
        <v>4873.83984375</v>
      </c>
      <c r="G2290">
        <f t="shared" si="71"/>
        <v>3.054094206626834E-3</v>
      </c>
    </row>
    <row r="2291" spans="1:7" x14ac:dyDescent="0.25">
      <c r="A2291" s="1">
        <v>42695</v>
      </c>
      <c r="B2291">
        <v>2.6422920227050701</v>
      </c>
      <c r="C2291">
        <f>C2292*(1+G2291*3)</f>
        <v>2.3840701776596198</v>
      </c>
      <c r="D2291">
        <f t="shared" si="72"/>
        <v>2.6490092344131302</v>
      </c>
      <c r="F2291">
        <v>4859</v>
      </c>
      <c r="G2291">
        <f t="shared" si="71"/>
        <v>1.0598905276054227E-2</v>
      </c>
    </row>
    <row r="2292" spans="1:7" x14ac:dyDescent="0.25">
      <c r="A2292" s="1">
        <v>42692</v>
      </c>
      <c r="B2292">
        <v>2.5652079582214302</v>
      </c>
      <c r="C2292">
        <f>C2293*(1+G2292*3)</f>
        <v>2.3106006649246469</v>
      </c>
      <c r="D2292">
        <f t="shared" si="72"/>
        <v>2.567234616213582</v>
      </c>
      <c r="F2292">
        <v>4808.0400390625</v>
      </c>
      <c r="G2292">
        <f t="shared" si="71"/>
        <v>-3.8432527494584034E-3</v>
      </c>
    </row>
    <row r="2293" spans="1:7" x14ac:dyDescent="0.25">
      <c r="A2293" s="1">
        <v>42691</v>
      </c>
      <c r="B2293">
        <v>2.5943748950958199</v>
      </c>
      <c r="C2293">
        <f>C2294*(1+G2293*3)</f>
        <v>2.3375520752452119</v>
      </c>
      <c r="D2293">
        <f t="shared" si="72"/>
        <v>2.5970310853447232</v>
      </c>
      <c r="F2293">
        <v>4826.58984375</v>
      </c>
      <c r="G2293">
        <f t="shared" si="71"/>
        <v>7.1614963428348055E-3</v>
      </c>
    </row>
    <row r="2294" spans="1:7" x14ac:dyDescent="0.25">
      <c r="A2294" s="1">
        <v>42690</v>
      </c>
      <c r="B2294">
        <v>2.5356249809265101</v>
      </c>
      <c r="C2294">
        <f>C2295*(1+G2294*3)</f>
        <v>2.2883872445957256</v>
      </c>
      <c r="D2294">
        <f t="shared" si="72"/>
        <v>2.5422681740281079</v>
      </c>
      <c r="F2294">
        <v>4792.27001953125</v>
      </c>
      <c r="G2294">
        <f t="shared" si="71"/>
        <v>5.8348155060115037E-3</v>
      </c>
    </row>
    <row r="2295" spans="1:7" x14ac:dyDescent="0.25">
      <c r="A2295" s="1">
        <v>42689</v>
      </c>
      <c r="B2295">
        <v>2.4949998855590798</v>
      </c>
      <c r="C2295">
        <f>C2296*(1+G2295*3)</f>
        <v>2.2490194047079926</v>
      </c>
      <c r="D2295">
        <f t="shared" si="72"/>
        <v>2.4983940679206982</v>
      </c>
      <c r="F2295">
        <v>4764.47021484375</v>
      </c>
      <c r="G2295">
        <f t="shared" si="71"/>
        <v>1.3277253120477006E-2</v>
      </c>
    </row>
    <row r="2296" spans="1:7" x14ac:dyDescent="0.25">
      <c r="A2296" s="1">
        <v>42688</v>
      </c>
      <c r="B2296">
        <v>2.3845829963684002</v>
      </c>
      <c r="C2296">
        <f>C2297*(1+G2296*3)</f>
        <v>2.1628685452819147</v>
      </c>
      <c r="D2296">
        <f t="shared" si="72"/>
        <v>2.4025601805632966</v>
      </c>
      <c r="F2296">
        <v>4702.0400390625</v>
      </c>
      <c r="G2296">
        <f t="shared" si="71"/>
        <v>-1.0503089089450746E-2</v>
      </c>
    </row>
    <row r="2297" spans="1:7" x14ac:dyDescent="0.25">
      <c r="A2297" s="1">
        <v>42685</v>
      </c>
      <c r="B2297">
        <v>2.4679169654846098</v>
      </c>
      <c r="C2297">
        <f>C2298*(1+G2297*3)</f>
        <v>2.2332361809818253</v>
      </c>
      <c r="D2297">
        <f t="shared" si="72"/>
        <v>2.4805813877248464</v>
      </c>
      <c r="F2297">
        <v>4751.9501953125</v>
      </c>
      <c r="G2297">
        <f t="shared" si="71"/>
        <v>1.0365239695011574E-3</v>
      </c>
    </row>
    <row r="2298" spans="1:7" x14ac:dyDescent="0.25">
      <c r="A2298" s="1">
        <v>42684</v>
      </c>
      <c r="B2298">
        <v>2.4700000286102202</v>
      </c>
      <c r="C2298">
        <f>C2299*(1+G2298*3)</f>
        <v>2.2263132996855952</v>
      </c>
      <c r="D2298">
        <f t="shared" si="72"/>
        <v>2.4727525332924278</v>
      </c>
      <c r="F2298">
        <v>4747.02978515625</v>
      </c>
      <c r="G2298">
        <f t="shared" si="71"/>
        <v>-1.6196367343390805E-2</v>
      </c>
    </row>
    <row r="2299" spans="1:7" x14ac:dyDescent="0.25">
      <c r="A2299" s="1">
        <v>42683</v>
      </c>
      <c r="B2299">
        <v>2.59333300590515</v>
      </c>
      <c r="C2299">
        <f>C2300*(1+G2299*3)</f>
        <v>2.3400124009891243</v>
      </c>
      <c r="D2299">
        <f t="shared" si="72"/>
        <v>2.598883156082803</v>
      </c>
      <c r="F2299">
        <v>4825.18017578125</v>
      </c>
      <c r="G2299">
        <f t="shared" si="71"/>
        <v>4.2165643206690806E-3</v>
      </c>
    </row>
    <row r="2300" spans="1:7" x14ac:dyDescent="0.25">
      <c r="A2300" s="1">
        <v>42682</v>
      </c>
      <c r="B2300">
        <v>2.5574998855590798</v>
      </c>
      <c r="C2300">
        <f>C2301*(1+G2300*3)</f>
        <v>2.3107817217073086</v>
      </c>
      <c r="D2300">
        <f t="shared" si="72"/>
        <v>2.566275622914139</v>
      </c>
      <c r="F2300">
        <v>4804.919921875</v>
      </c>
      <c r="G2300">
        <f t="shared" si="71"/>
        <v>6.5336626775833739E-3</v>
      </c>
    </row>
    <row r="2301" spans="1:7" x14ac:dyDescent="0.25">
      <c r="A2301" s="1">
        <v>42681</v>
      </c>
      <c r="B2301">
        <v>2.5083329677581698</v>
      </c>
      <c r="C2301">
        <f>C2302*(1+G2301*3)</f>
        <v>2.266358849029563</v>
      </c>
      <c r="D2301">
        <f t="shared" si="72"/>
        <v>2.5168016828833912</v>
      </c>
      <c r="F2301">
        <v>4773.72998046875</v>
      </c>
      <c r="G2301">
        <f t="shared" si="71"/>
        <v>2.4304472193870108E-2</v>
      </c>
    </row>
    <row r="2302" spans="1:7" x14ac:dyDescent="0.25">
      <c r="A2302" s="1">
        <v>42678</v>
      </c>
      <c r="B2302">
        <v>2.34062504768371</v>
      </c>
      <c r="C2302">
        <f>C2303*(1+G2302*3)</f>
        <v>2.1123408599459657</v>
      </c>
      <c r="D2302">
        <f t="shared" si="72"/>
        <v>2.3456405430501497</v>
      </c>
      <c r="F2302">
        <v>4660.4599609375</v>
      </c>
      <c r="G2302">
        <f t="shared" si="71"/>
        <v>-3.9837012095738089E-3</v>
      </c>
    </row>
    <row r="2303" spans="1:7" x14ac:dyDescent="0.25">
      <c r="A2303" s="1">
        <v>42677</v>
      </c>
      <c r="B2303">
        <v>2.3675000667571999</v>
      </c>
      <c r="C2303">
        <f>C2304*(1+G2303*3)</f>
        <v>2.1378910170374934</v>
      </c>
      <c r="D2303">
        <f t="shared" si="72"/>
        <v>2.3738769237057284</v>
      </c>
      <c r="F2303">
        <v>4679.10009765625</v>
      </c>
      <c r="G2303">
        <f t="shared" si="71"/>
        <v>-1.0114441995588752E-2</v>
      </c>
    </row>
    <row r="2304" spans="1:7" x14ac:dyDescent="0.25">
      <c r="A2304" s="1">
        <v>42676</v>
      </c>
      <c r="B2304">
        <v>2.4377079010009699</v>
      </c>
      <c r="C2304">
        <f>C2305*(1+G2304*3)</f>
        <v>2.2047917312724192</v>
      </c>
      <c r="D2304">
        <f t="shared" si="72"/>
        <v>2.4480197285575178</v>
      </c>
      <c r="F2304">
        <v>4726.91015625</v>
      </c>
      <c r="G2304">
        <f t="shared" si="71"/>
        <v>-8.3973756011789247E-3</v>
      </c>
    </row>
    <row r="2305" spans="1:7" x14ac:dyDescent="0.25">
      <c r="A2305" s="1">
        <v>42675</v>
      </c>
      <c r="B2305">
        <v>2.5029170513153001</v>
      </c>
      <c r="C2305">
        <f>C2306*(1+G2305*3)</f>
        <v>2.2617705415557969</v>
      </c>
      <c r="D2305">
        <f t="shared" si="72"/>
        <v>2.511138835989561</v>
      </c>
      <c r="F2305">
        <v>4766.93994140625</v>
      </c>
      <c r="G2305">
        <f t="shared" si="71"/>
        <v>-7.1502077544790543E-3</v>
      </c>
    </row>
    <row r="2306" spans="1:7" x14ac:dyDescent="0.25">
      <c r="A2306" s="1">
        <v>42674</v>
      </c>
      <c r="B2306">
        <v>2.5554170608520499</v>
      </c>
      <c r="C2306">
        <f>C2307*(1+G2306*3)</f>
        <v>2.3113504492729269</v>
      </c>
      <c r="D2306">
        <f t="shared" si="72"/>
        <v>2.5660370081241011</v>
      </c>
      <c r="F2306">
        <v>4801.27001953125</v>
      </c>
      <c r="G2306">
        <f t="shared" ref="G2306:G2369" si="73">F2306/F2307-1</f>
        <v>-8.989165449415637E-4</v>
      </c>
    </row>
    <row r="2307" spans="1:7" x14ac:dyDescent="0.25">
      <c r="A2307" s="1">
        <v>42671</v>
      </c>
      <c r="B2307">
        <v>2.5699999332427899</v>
      </c>
      <c r="C2307">
        <f>C2308*(1+G2307*3)</f>
        <v>2.3176004374061714</v>
      </c>
      <c r="D2307">
        <f t="shared" si="72"/>
        <v>2.5728299817872311</v>
      </c>
      <c r="F2307">
        <v>4805.58984375</v>
      </c>
      <c r="G2307">
        <f t="shared" si="73"/>
        <v>-6.3807855588815521E-3</v>
      </c>
    </row>
    <row r="2308" spans="1:7" x14ac:dyDescent="0.25">
      <c r="A2308" s="1">
        <v>42670</v>
      </c>
      <c r="B2308">
        <v>2.61520791053771</v>
      </c>
      <c r="C2308">
        <f>C2309*(1+G2308*3)</f>
        <v>2.3628305831961973</v>
      </c>
      <c r="D2308">
        <f t="shared" si="72"/>
        <v>2.6228901486585285</v>
      </c>
      <c r="F2308">
        <v>4836.4501953125</v>
      </c>
      <c r="G2308">
        <f t="shared" si="73"/>
        <v>-4.9664030937602854E-3</v>
      </c>
    </row>
    <row r="2309" spans="1:7" x14ac:dyDescent="0.25">
      <c r="A2309" s="1">
        <v>42669</v>
      </c>
      <c r="B2309">
        <v>2.6522920131683301</v>
      </c>
      <c r="C2309">
        <f>C2310*(1+G2309*3)</f>
        <v>2.3985673399696501</v>
      </c>
      <c r="D2309">
        <f t="shared" si="72"/>
        <v>2.6624075522861221</v>
      </c>
      <c r="F2309">
        <v>4860.58984375</v>
      </c>
      <c r="G2309">
        <f t="shared" si="73"/>
        <v>-6.3090393094615838E-3</v>
      </c>
    </row>
    <row r="2310" spans="1:7" x14ac:dyDescent="0.25">
      <c r="A2310" s="1">
        <v>42668</v>
      </c>
      <c r="B2310">
        <v>2.7041668891906698</v>
      </c>
      <c r="C2310">
        <f>C2311*(1+G2310*3)</f>
        <v>2.4448411364758957</v>
      </c>
      <c r="D2310">
        <f t="shared" si="72"/>
        <v>2.7136152116903438</v>
      </c>
      <c r="F2310">
        <v>4891.4501953125</v>
      </c>
      <c r="G2310">
        <f t="shared" si="73"/>
        <v>-3.7719209528522812E-3</v>
      </c>
    </row>
    <row r="2311" spans="1:7" x14ac:dyDescent="0.25">
      <c r="A2311" s="1">
        <v>42667</v>
      </c>
      <c r="B2311">
        <v>2.7314579486846902</v>
      </c>
      <c r="C2311">
        <f>C2312*(1+G2311*3)</f>
        <v>2.4728230153083062</v>
      </c>
      <c r="D2311">
        <f t="shared" si="72"/>
        <v>2.7445165087452752</v>
      </c>
      <c r="F2311">
        <v>4909.97021484375</v>
      </c>
      <c r="G2311">
        <f t="shared" si="73"/>
        <v>1.1976922912031673E-2</v>
      </c>
    </row>
    <row r="2312" spans="1:7" x14ac:dyDescent="0.25">
      <c r="A2312" s="1">
        <v>42664</v>
      </c>
      <c r="B2312">
        <v>2.6354169845581001</v>
      </c>
      <c r="C2312">
        <f>C2313*(1+G2312*3)</f>
        <v>2.3870543186252844</v>
      </c>
      <c r="D2312">
        <f t="shared" si="72"/>
        <v>2.6491798245016867</v>
      </c>
      <c r="F2312">
        <v>4851.85986328125</v>
      </c>
      <c r="G2312">
        <f t="shared" si="73"/>
        <v>3.9625598263783868E-3</v>
      </c>
    </row>
    <row r="2313" spans="1:7" x14ac:dyDescent="0.25">
      <c r="A2313" s="1">
        <v>42663</v>
      </c>
      <c r="B2313">
        <v>2.60708308219909</v>
      </c>
      <c r="C2313">
        <f>C2314*(1+G2313*3)</f>
        <v>2.3590111501841888</v>
      </c>
      <c r="D2313">
        <f t="shared" si="72"/>
        <v>2.6179110859297556</v>
      </c>
      <c r="F2313">
        <v>4832.7099609375</v>
      </c>
      <c r="G2313">
        <f t="shared" si="73"/>
        <v>-8.0632973384053841E-4</v>
      </c>
    </row>
    <row r="2314" spans="1:7" x14ac:dyDescent="0.25">
      <c r="A2314" s="1">
        <v>42662</v>
      </c>
      <c r="B2314">
        <v>2.6181249618530198</v>
      </c>
      <c r="C2314">
        <f>C2315*(1+G2314*3)</f>
        <v>2.3647314099293069</v>
      </c>
      <c r="D2314">
        <f t="shared" si="72"/>
        <v>2.6241105802832676</v>
      </c>
      <c r="F2314">
        <v>4836.60986328125</v>
      </c>
      <c r="G2314">
        <f t="shared" si="73"/>
        <v>-6.4267177118226826E-4</v>
      </c>
    </row>
    <row r="2315" spans="1:7" x14ac:dyDescent="0.25">
      <c r="A2315" s="1">
        <v>42661</v>
      </c>
      <c r="B2315">
        <v>2.61708307266235</v>
      </c>
      <c r="C2315">
        <f>C2316*(1+G2315*3)</f>
        <v>2.3692994555620084</v>
      </c>
      <c r="D2315">
        <f t="shared" si="72"/>
        <v>2.6290309134567944</v>
      </c>
      <c r="F2315">
        <v>4839.72021484375</v>
      </c>
      <c r="G2315">
        <f t="shared" si="73"/>
        <v>9.0802231109703424E-3</v>
      </c>
    </row>
    <row r="2316" spans="1:7" x14ac:dyDescent="0.25">
      <c r="A2316" s="1">
        <v>42660</v>
      </c>
      <c r="B2316">
        <v>2.5516669750213601</v>
      </c>
      <c r="C2316">
        <f>C2317*(1+G2316*3)</f>
        <v>2.3064696777441931</v>
      </c>
      <c r="D2316">
        <f t="shared" si="72"/>
        <v>2.5591728001036498</v>
      </c>
      <c r="F2316">
        <v>4796.169921875</v>
      </c>
      <c r="G2316">
        <f t="shared" si="73"/>
        <v>-2.5600727555800118E-3</v>
      </c>
    </row>
    <row r="2317" spans="1:7" x14ac:dyDescent="0.25">
      <c r="A2317" s="1">
        <v>42657</v>
      </c>
      <c r="B2317">
        <v>2.56937503814697</v>
      </c>
      <c r="C2317">
        <f>C2318*(1+G2317*3)</f>
        <v>2.3243209701166498</v>
      </c>
      <c r="D2317">
        <f t="shared" si="72"/>
        <v>2.5788331579405317</v>
      </c>
      <c r="F2317">
        <v>4808.47998046875</v>
      </c>
      <c r="G2317">
        <f t="shared" si="73"/>
        <v>1.1200855079254168E-3</v>
      </c>
    </row>
    <row r="2318" spans="1:7" x14ac:dyDescent="0.25">
      <c r="A2318" s="1">
        <v>42656</v>
      </c>
      <c r="B2318">
        <v>2.5635418891906698</v>
      </c>
      <c r="C2318">
        <f>C2319*(1+G2318*3)</f>
        <v>2.3165368121809511</v>
      </c>
      <c r="D2318">
        <f t="shared" si="72"/>
        <v>2.5700519762623957</v>
      </c>
      <c r="F2318">
        <v>4803.10009765625</v>
      </c>
      <c r="G2318">
        <f t="shared" si="73"/>
        <v>-3.4317995936021806E-3</v>
      </c>
    </row>
    <row r="2319" spans="1:7" x14ac:dyDescent="0.25">
      <c r="A2319" s="1">
        <v>42655</v>
      </c>
      <c r="B2319">
        <v>2.5939579010009699</v>
      </c>
      <c r="C2319">
        <f>C2320*(1+G2319*3)</f>
        <v>2.3406345785674478</v>
      </c>
      <c r="D2319">
        <f t="shared" si="72"/>
        <v>2.5966387584815442</v>
      </c>
      <c r="F2319">
        <v>4819.64013671875</v>
      </c>
      <c r="G2319">
        <f t="shared" si="73"/>
        <v>-4.7077184304389341E-4</v>
      </c>
    </row>
    <row r="2320" spans="1:7" x14ac:dyDescent="0.25">
      <c r="A2320" s="1">
        <v>42654</v>
      </c>
      <c r="B2320">
        <v>2.5993750095367401</v>
      </c>
      <c r="C2320">
        <f>C2321*(1+G2320*3)</f>
        <v>2.3439449684458138</v>
      </c>
      <c r="D2320">
        <f t="shared" si="72"/>
        <v>2.6001641623143863</v>
      </c>
      <c r="F2320">
        <v>4821.91015625</v>
      </c>
      <c r="G2320">
        <f t="shared" si="73"/>
        <v>-1.468394775284787E-2</v>
      </c>
    </row>
    <row r="2321" spans="1:7" x14ac:dyDescent="0.25">
      <c r="A2321" s="1">
        <v>42653</v>
      </c>
      <c r="B2321">
        <v>2.7114579677581698</v>
      </c>
      <c r="C2321">
        <f>C2322*(1+G2321*3)</f>
        <v>2.4519582489029808</v>
      </c>
      <c r="D2321">
        <f t="shared" si="72"/>
        <v>2.7198238080368631</v>
      </c>
      <c r="F2321">
        <v>4893.77001953125</v>
      </c>
      <c r="G2321">
        <f t="shared" si="73"/>
        <v>6.0129262255186333E-3</v>
      </c>
    </row>
    <row r="2322" spans="1:7" x14ac:dyDescent="0.25">
      <c r="A2322" s="1">
        <v>42650</v>
      </c>
      <c r="B2322">
        <v>2.6637499332427899</v>
      </c>
      <c r="C2322">
        <f>C2323*(1+G2322*3)</f>
        <v>2.4085116404804454</v>
      </c>
      <c r="D2322">
        <f t="shared" si="72"/>
        <v>2.6714826476021378</v>
      </c>
      <c r="F2322">
        <v>4864.52001953125</v>
      </c>
      <c r="G2322">
        <f t="shared" si="73"/>
        <v>-1.9286123888826445E-3</v>
      </c>
    </row>
    <row r="2323" spans="1:7" x14ac:dyDescent="0.25">
      <c r="A2323" s="1">
        <v>42649</v>
      </c>
      <c r="B2323">
        <v>2.6812500953674299</v>
      </c>
      <c r="C2323">
        <f>C2324*(1+G2323*3)</f>
        <v>2.4225279929794712</v>
      </c>
      <c r="D2323">
        <f t="shared" si="72"/>
        <v>2.686876733245799</v>
      </c>
      <c r="F2323">
        <v>4873.919921875</v>
      </c>
      <c r="G2323">
        <f t="shared" si="73"/>
        <v>-7.8521410998921848E-4</v>
      </c>
    </row>
    <row r="2324" spans="1:7" x14ac:dyDescent="0.25">
      <c r="A2324" s="1">
        <v>42648</v>
      </c>
      <c r="B2324">
        <v>2.6854169368743799</v>
      </c>
      <c r="C2324">
        <f>C2325*(1+G2324*3)</f>
        <v>2.4282480769371668</v>
      </c>
      <c r="D2324">
        <f t="shared" si="72"/>
        <v>2.6930685441919118</v>
      </c>
      <c r="F2324">
        <v>4877.75</v>
      </c>
      <c r="G2324">
        <f t="shared" si="73"/>
        <v>3.7616827242632489E-3</v>
      </c>
    </row>
    <row r="2325" spans="1:7" x14ac:dyDescent="0.25">
      <c r="A2325" s="1">
        <v>42647</v>
      </c>
      <c r="B2325">
        <v>2.6577079296111998</v>
      </c>
      <c r="C2325">
        <f>C2326*(1+G2325*3)</f>
        <v>2.4011509725418905</v>
      </c>
      <c r="D2325">
        <f t="shared" si="72"/>
        <v>2.6628675657684844</v>
      </c>
      <c r="F2325">
        <v>4859.47021484375</v>
      </c>
      <c r="G2325">
        <f t="shared" si="73"/>
        <v>-1.471175770739408E-3</v>
      </c>
    </row>
    <row r="2326" spans="1:7" x14ac:dyDescent="0.25">
      <c r="A2326" s="1">
        <v>42646</v>
      </c>
      <c r="B2326">
        <v>2.6729168891906698</v>
      </c>
      <c r="C2326">
        <f>C2327*(1+G2326*3)</f>
        <v>2.411795497843106</v>
      </c>
      <c r="D2326">
        <f t="shared" si="72"/>
        <v>2.6745205876402762</v>
      </c>
      <c r="F2326">
        <v>4866.6298828125</v>
      </c>
      <c r="G2326">
        <f t="shared" si="73"/>
        <v>-1.860309727148568E-3</v>
      </c>
    </row>
    <row r="2327" spans="1:7" x14ac:dyDescent="0.25">
      <c r="A2327" s="1">
        <v>42643</v>
      </c>
      <c r="B2327">
        <v>2.6789579391479399</v>
      </c>
      <c r="C2327">
        <f>C2328*(1+G2327*3)</f>
        <v>2.425331098947892</v>
      </c>
      <c r="D2327">
        <f t="shared" si="72"/>
        <v>2.6893779285207726</v>
      </c>
      <c r="F2327">
        <v>4875.7001953125</v>
      </c>
      <c r="G2327">
        <f t="shared" si="73"/>
        <v>7.7300688536838802E-3</v>
      </c>
    </row>
    <row r="2328" spans="1:7" x14ac:dyDescent="0.25">
      <c r="A2328" s="1">
        <v>42642</v>
      </c>
      <c r="B2328">
        <v>2.625</v>
      </c>
      <c r="C2328">
        <f>C2329*(1+G2328*3)</f>
        <v>2.3703619164802645</v>
      </c>
      <c r="D2328">
        <f t="shared" ref="D2328:D2391" si="74">D2329*(1+3*G2328--0.0000564765848304393)</f>
        <v>2.6282791557677139</v>
      </c>
      <c r="F2328">
        <v>4838.2998046875</v>
      </c>
      <c r="G2328">
        <f t="shared" si="73"/>
        <v>-7.5832137903419916E-3</v>
      </c>
    </row>
    <row r="2329" spans="1:7" x14ac:dyDescent="0.25">
      <c r="A2329" s="1">
        <v>42641</v>
      </c>
      <c r="B2329">
        <v>2.6818749904632502</v>
      </c>
      <c r="C2329">
        <f>C2330*(1+G2329*3)</f>
        <v>2.4255421300696636</v>
      </c>
      <c r="D2329">
        <f t="shared" si="74"/>
        <v>2.6893080668905052</v>
      </c>
      <c r="F2329">
        <v>4875.27001953125</v>
      </c>
      <c r="G2329">
        <f t="shared" si="73"/>
        <v>1.758900502075722E-3</v>
      </c>
    </row>
    <row r="2330" spans="1:7" x14ac:dyDescent="0.25">
      <c r="A2330" s="1">
        <v>42640</v>
      </c>
      <c r="B2330">
        <v>2.6672921180725</v>
      </c>
      <c r="C2330">
        <f>C2331*(1+G2330*3)</f>
        <v>2.4128104495363543</v>
      </c>
      <c r="D2330">
        <f t="shared" si="74"/>
        <v>2.6750415936704739</v>
      </c>
      <c r="F2330">
        <v>4866.7099609375</v>
      </c>
      <c r="G2330">
        <f t="shared" si="73"/>
        <v>1.0284054718006974E-2</v>
      </c>
    </row>
    <row r="2331" spans="1:7" x14ac:dyDescent="0.25">
      <c r="A2331" s="1">
        <v>42639</v>
      </c>
      <c r="B2331">
        <v>2.59375</v>
      </c>
      <c r="C2331">
        <f>C2332*(1+G2331*3)</f>
        <v>2.3405979377425581</v>
      </c>
      <c r="D2331">
        <f t="shared" si="74"/>
        <v>2.5948386578206128</v>
      </c>
      <c r="F2331">
        <v>4817.169921875</v>
      </c>
      <c r="G2331">
        <f t="shared" si="73"/>
        <v>-8.5904519805350965E-3</v>
      </c>
    </row>
    <row r="2332" spans="1:7" x14ac:dyDescent="0.25">
      <c r="A2332" s="1">
        <v>42636</v>
      </c>
      <c r="B2332">
        <v>2.6597919464111301</v>
      </c>
      <c r="C2332">
        <f>C2333*(1+G2332*3)</f>
        <v>2.4025139806936986</v>
      </c>
      <c r="D2332">
        <f t="shared" si="74"/>
        <v>2.6633257583852812</v>
      </c>
      <c r="F2332">
        <v>4858.91015625</v>
      </c>
      <c r="G2332">
        <f t="shared" si="73"/>
        <v>-6.6340870306528243E-3</v>
      </c>
    </row>
    <row r="2333" spans="1:7" x14ac:dyDescent="0.25">
      <c r="A2333" s="1">
        <v>42635</v>
      </c>
      <c r="B2333">
        <v>2.7085421085357599</v>
      </c>
      <c r="C2333">
        <f>C2334*(1+G2333*3)</f>
        <v>2.4513004012950961</v>
      </c>
      <c r="D2333">
        <f t="shared" si="74"/>
        <v>2.7172517510890102</v>
      </c>
      <c r="F2333">
        <v>4891.35986328125</v>
      </c>
      <c r="G2333">
        <f t="shared" si="73"/>
        <v>7.7486197849601091E-3</v>
      </c>
    </row>
    <row r="2334" spans="1:7" x14ac:dyDescent="0.25">
      <c r="A2334" s="1">
        <v>42634</v>
      </c>
      <c r="B2334">
        <v>2.64666700363159</v>
      </c>
      <c r="C2334">
        <f>C2335*(1+G2334*3)</f>
        <v>2.3956123339121573</v>
      </c>
      <c r="D2334">
        <f t="shared" si="74"/>
        <v>2.6553753037158123</v>
      </c>
      <c r="F2334">
        <v>4853.75</v>
      </c>
      <c r="G2334">
        <f t="shared" si="73"/>
        <v>1.0099388370659268E-2</v>
      </c>
    </row>
    <row r="2335" spans="1:7" x14ac:dyDescent="0.25">
      <c r="A2335" s="1">
        <v>42633</v>
      </c>
      <c r="B2335">
        <v>2.5718750953674299</v>
      </c>
      <c r="C2335">
        <f>C2336*(1+G2335*3)</f>
        <v>2.3251641272716337</v>
      </c>
      <c r="D2335">
        <f t="shared" si="74"/>
        <v>2.5771469319950731</v>
      </c>
      <c r="F2335">
        <v>4805.22021484375</v>
      </c>
      <c r="G2335">
        <f t="shared" si="73"/>
        <v>1.9078935379115425E-3</v>
      </c>
    </row>
    <row r="2336" spans="1:7" x14ac:dyDescent="0.25">
      <c r="A2336" s="1">
        <v>42632</v>
      </c>
      <c r="B2336">
        <v>2.5577080249786301</v>
      </c>
      <c r="C2336">
        <f>C2337*(1+G2336*3)</f>
        <v>2.3119313705059836</v>
      </c>
      <c r="D2336">
        <f t="shared" si="74"/>
        <v>2.5623362258142883</v>
      </c>
      <c r="F2336">
        <v>4796.06982421875</v>
      </c>
      <c r="G2336">
        <f t="shared" si="73"/>
        <v>-4.5620077333707876E-3</v>
      </c>
    </row>
    <row r="2337" spans="1:7" x14ac:dyDescent="0.25">
      <c r="A2337" s="1">
        <v>42629</v>
      </c>
      <c r="B2337">
        <v>2.5916669368743799</v>
      </c>
      <c r="C2337">
        <f>C2338*(1+G2337*3)</f>
        <v>2.3440115671959592</v>
      </c>
      <c r="D2337">
        <f t="shared" si="74"/>
        <v>2.5977422752492871</v>
      </c>
      <c r="F2337">
        <v>4818.0498046875</v>
      </c>
      <c r="G2337">
        <f t="shared" si="73"/>
        <v>-3.8384565939852955E-4</v>
      </c>
    </row>
    <row r="2338" spans="1:7" x14ac:dyDescent="0.25">
      <c r="A2338" s="1">
        <v>42628</v>
      </c>
      <c r="B2338">
        <v>2.59458303451538</v>
      </c>
      <c r="C2338">
        <f>C2339*(1+G2338*3)</f>
        <v>2.3467138950233237</v>
      </c>
      <c r="D2338">
        <f t="shared" si="74"/>
        <v>2.6005900784435689</v>
      </c>
      <c r="F2338">
        <v>4819.89990234375</v>
      </c>
      <c r="G2338">
        <f t="shared" si="73"/>
        <v>1.555813513490989E-2</v>
      </c>
    </row>
    <row r="2339" spans="1:7" x14ac:dyDescent="0.25">
      <c r="A2339" s="1">
        <v>42627</v>
      </c>
      <c r="B2339">
        <v>2.4795830249786301</v>
      </c>
      <c r="C2339">
        <f>C2340*(1+G2339*3)</f>
        <v>2.2420667620279611</v>
      </c>
      <c r="D2339">
        <f t="shared" si="74"/>
        <v>2.4844877734958302</v>
      </c>
      <c r="F2339">
        <v>4746.06005859375</v>
      </c>
      <c r="G2339">
        <f t="shared" si="73"/>
        <v>4.9143971241047968E-3</v>
      </c>
    </row>
    <row r="2340" spans="1:7" x14ac:dyDescent="0.25">
      <c r="A2340" s="1">
        <v>42626</v>
      </c>
      <c r="B2340">
        <v>2.4481248855590798</v>
      </c>
      <c r="C2340">
        <f>C2341*(1+G2340*3)</f>
        <v>2.2094918015619731</v>
      </c>
      <c r="D2340">
        <f t="shared" si="74"/>
        <v>2.4482544209905579</v>
      </c>
      <c r="F2340">
        <v>4722.85009765625</v>
      </c>
      <c r="G2340">
        <f t="shared" si="73"/>
        <v>-8.7729015865234405E-3</v>
      </c>
    </row>
    <row r="2341" spans="1:7" x14ac:dyDescent="0.25">
      <c r="A2341" s="1">
        <v>42625</v>
      </c>
      <c r="B2341">
        <v>2.50729203224182</v>
      </c>
      <c r="C2341">
        <f>C2342*(1+G2341*3)</f>
        <v>2.2692145904028962</v>
      </c>
      <c r="D2341">
        <f t="shared" si="74"/>
        <v>2.5142851513311779</v>
      </c>
      <c r="F2341">
        <v>4764.64990234375</v>
      </c>
      <c r="G2341">
        <f t="shared" si="73"/>
        <v>1.7752675954447961E-2</v>
      </c>
    </row>
    <row r="2342" spans="1:7" x14ac:dyDescent="0.25">
      <c r="A2342" s="1">
        <v>42622</v>
      </c>
      <c r="B2342">
        <v>2.3849999904632502</v>
      </c>
      <c r="C2342">
        <f>C2343*(1+G2342*3)</f>
        <v>2.1544716777580715</v>
      </c>
      <c r="D2342">
        <f t="shared" si="74"/>
        <v>2.3870222433217112</v>
      </c>
      <c r="F2342">
        <v>4681.5400390625</v>
      </c>
      <c r="G2342">
        <f t="shared" si="73"/>
        <v>-2.5491249154350526E-2</v>
      </c>
    </row>
    <row r="2343" spans="1:7" x14ac:dyDescent="0.25">
      <c r="A2343" s="1">
        <v>42621</v>
      </c>
      <c r="B2343">
        <v>2.5806250572204501</v>
      </c>
      <c r="C2343">
        <f>C2344*(1+G2343*3)</f>
        <v>2.3328754021227733</v>
      </c>
      <c r="D2343">
        <f t="shared" si="74"/>
        <v>2.5845245564428163</v>
      </c>
      <c r="F2343">
        <v>4804</v>
      </c>
      <c r="G2343">
        <f t="shared" si="73"/>
        <v>-5.7658674029363866E-3</v>
      </c>
    </row>
    <row r="2344" spans="1:7" x14ac:dyDescent="0.25">
      <c r="A2344" s="1">
        <v>42620</v>
      </c>
      <c r="B2344">
        <v>2.6256248950958199</v>
      </c>
      <c r="C2344">
        <f>C2345*(1+G2344*3)</f>
        <v>2.3739388520536342</v>
      </c>
      <c r="D2344">
        <f t="shared" si="74"/>
        <v>2.629866413654923</v>
      </c>
      <c r="F2344">
        <v>4831.85986328125</v>
      </c>
      <c r="G2344">
        <f t="shared" si="73"/>
        <v>4.8661205180233758E-4</v>
      </c>
    </row>
    <row r="2345" spans="1:7" x14ac:dyDescent="0.25">
      <c r="A2345" s="1">
        <v>42619</v>
      </c>
      <c r="B2345">
        <v>2.6208329200744598</v>
      </c>
      <c r="C2345">
        <f>C2346*(1+G2345*3)</f>
        <v>2.3704783420642794</v>
      </c>
      <c r="D2345">
        <f t="shared" si="74"/>
        <v>2.6258847511523551</v>
      </c>
      <c r="F2345">
        <v>4829.509765625</v>
      </c>
      <c r="G2345">
        <f t="shared" si="73"/>
        <v>6.4120018478157625E-3</v>
      </c>
    </row>
    <row r="2346" spans="1:7" x14ac:dyDescent="0.25">
      <c r="A2346" s="1">
        <v>42615</v>
      </c>
      <c r="B2346">
        <v>2.5731248855590798</v>
      </c>
      <c r="C2346">
        <f>C2347*(1+G2346*3)</f>
        <v>2.3257403870856801</v>
      </c>
      <c r="D2346">
        <f t="shared" si="74"/>
        <v>2.5761837717762033</v>
      </c>
      <c r="F2346">
        <v>4798.740234375</v>
      </c>
      <c r="G2346">
        <f t="shared" si="73"/>
        <v>3.0937455632855659E-3</v>
      </c>
    </row>
    <row r="2347" spans="1:7" x14ac:dyDescent="0.25">
      <c r="A2347" s="1">
        <v>42614</v>
      </c>
      <c r="B2347">
        <v>2.5433330535888601</v>
      </c>
      <c r="C2347">
        <f>C2348*(1+G2347*3)</f>
        <v>2.3043531401747042</v>
      </c>
      <c r="D2347">
        <f t="shared" si="74"/>
        <v>2.5523506532001594</v>
      </c>
      <c r="F2347">
        <v>4783.93994140625</v>
      </c>
      <c r="G2347">
        <f t="shared" si="73"/>
        <v>2.701740129831709E-3</v>
      </c>
    </row>
    <row r="2348" spans="1:7" x14ac:dyDescent="0.25">
      <c r="A2348" s="1">
        <v>42613</v>
      </c>
      <c r="B2348">
        <v>2.53208303451538</v>
      </c>
      <c r="C2348">
        <f>C2349*(1+G2348*3)</f>
        <v>2.2858260165386168</v>
      </c>
      <c r="D2348">
        <f t="shared" si="74"/>
        <v>2.5316877846680965</v>
      </c>
      <c r="F2348">
        <v>4771.0498046875</v>
      </c>
      <c r="G2348">
        <f t="shared" si="73"/>
        <v>-1.0344304416582961E-3</v>
      </c>
    </row>
    <row r="2349" spans="1:7" x14ac:dyDescent="0.25">
      <c r="A2349" s="1">
        <v>42612</v>
      </c>
      <c r="B2349">
        <v>2.5387499332427899</v>
      </c>
      <c r="C2349">
        <f>C2350*(1+G2349*3)</f>
        <v>2.2929416825708122</v>
      </c>
      <c r="D2349">
        <f t="shared" si="74"/>
        <v>2.539424942012912</v>
      </c>
      <c r="F2349">
        <v>4775.990234375</v>
      </c>
      <c r="G2349">
        <f t="shared" si="73"/>
        <v>-3.1516022173321279E-3</v>
      </c>
    </row>
    <row r="2350" spans="1:7" x14ac:dyDescent="0.25">
      <c r="A2350" s="1">
        <v>42611</v>
      </c>
      <c r="B2350">
        <v>2.5618751049041699</v>
      </c>
      <c r="C2350">
        <f>C2351*(1+G2350*3)</f>
        <v>2.3148279331110171</v>
      </c>
      <c r="D2350">
        <f t="shared" si="74"/>
        <v>2.5635177277513503</v>
      </c>
      <c r="F2350">
        <v>4791.08984375</v>
      </c>
      <c r="G2350">
        <f t="shared" si="73"/>
        <v>1.5469025865784136E-3</v>
      </c>
    </row>
    <row r="2351" spans="1:7" x14ac:dyDescent="0.25">
      <c r="A2351" s="1">
        <v>42608</v>
      </c>
      <c r="B2351">
        <v>2.5547919273376398</v>
      </c>
      <c r="C2351">
        <f>C2352*(1+G2351*3)</f>
        <v>2.3041351154014951</v>
      </c>
      <c r="D2351">
        <f t="shared" si="74"/>
        <v>2.5515327082594665</v>
      </c>
      <c r="F2351">
        <v>4783.68994140625</v>
      </c>
      <c r="G2351">
        <f t="shared" si="73"/>
        <v>1.7296380265152678E-3</v>
      </c>
    </row>
    <row r="2352" spans="1:7" x14ac:dyDescent="0.25">
      <c r="A2352" s="1">
        <v>42607</v>
      </c>
      <c r="B2352">
        <v>2.5425000190734801</v>
      </c>
      <c r="C2352">
        <f>C2353*(1+G2352*3)</f>
        <v>2.2922408744543286</v>
      </c>
      <c r="D2352">
        <f t="shared" si="74"/>
        <v>2.5382187592754182</v>
      </c>
      <c r="F2352">
        <v>4775.43017578125</v>
      </c>
      <c r="G2352">
        <f t="shared" si="73"/>
        <v>-1.6849744012915613E-3</v>
      </c>
    </row>
    <row r="2353" spans="1:7" x14ac:dyDescent="0.25">
      <c r="A2353" s="1">
        <v>42606</v>
      </c>
      <c r="B2353">
        <v>2.55458307266235</v>
      </c>
      <c r="C2353">
        <f>C2354*(1+G2353*3)</f>
        <v>2.3038868455288943</v>
      </c>
      <c r="D2353">
        <f t="shared" si="74"/>
        <v>2.5509696448721138</v>
      </c>
      <c r="F2353">
        <v>4783.490234375</v>
      </c>
      <c r="G2353">
        <f t="shared" si="73"/>
        <v>-7.2615734081240557E-3</v>
      </c>
    </row>
    <row r="2354" spans="1:7" x14ac:dyDescent="0.25">
      <c r="A2354" s="1">
        <v>42605</v>
      </c>
      <c r="B2354">
        <v>2.6047921180725</v>
      </c>
      <c r="C2354">
        <f>C2355*(1+G2354*3)</f>
        <v>2.3551940898503796</v>
      </c>
      <c r="D2354">
        <f t="shared" si="74"/>
        <v>2.607628839620892</v>
      </c>
      <c r="F2354">
        <v>4818.47998046875</v>
      </c>
      <c r="G2354">
        <f t="shared" si="73"/>
        <v>2.0629713997792898E-3</v>
      </c>
    </row>
    <row r="2355" spans="1:7" x14ac:dyDescent="0.25">
      <c r="A2355" s="1">
        <v>42604</v>
      </c>
      <c r="B2355">
        <v>2.5893750190734801</v>
      </c>
      <c r="C2355">
        <f>C2356*(1+G2355*3)</f>
        <v>2.3407076510324063</v>
      </c>
      <c r="D2355">
        <f t="shared" si="74"/>
        <v>2.5914442575371832</v>
      </c>
      <c r="F2355">
        <v>4808.56005859375</v>
      </c>
      <c r="G2355">
        <f t="shared" si="73"/>
        <v>5.0350630779827377E-4</v>
      </c>
    </row>
    <row r="2356" spans="1:7" x14ac:dyDescent="0.25">
      <c r="A2356" s="1">
        <v>42601</v>
      </c>
      <c r="B2356">
        <v>2.5868749618530198</v>
      </c>
      <c r="C2356">
        <f>C2357*(1+G2356*3)</f>
        <v>2.3371773004926832</v>
      </c>
      <c r="D2356">
        <f t="shared" si="74"/>
        <v>2.5873898292966473</v>
      </c>
      <c r="F2356">
        <v>4806.14013671875</v>
      </c>
      <c r="G2356">
        <f t="shared" si="73"/>
        <v>-5.2821958825477466E-4</v>
      </c>
    </row>
    <row r="2357" spans="1:7" x14ac:dyDescent="0.25">
      <c r="A2357" s="1">
        <v>42600</v>
      </c>
      <c r="B2357">
        <v>2.5904169082641602</v>
      </c>
      <c r="C2357">
        <f>C2358*(1+G2357*3)</f>
        <v>2.3408868072891753</v>
      </c>
      <c r="D2357">
        <f t="shared" si="74"/>
        <v>2.5913498840113673</v>
      </c>
      <c r="F2357">
        <v>4808.68017578125</v>
      </c>
      <c r="G2357">
        <f t="shared" si="73"/>
        <v>6.7214940067450435E-4</v>
      </c>
    </row>
    <row r="2358" spans="1:7" x14ac:dyDescent="0.25">
      <c r="A2358" s="1">
        <v>42599</v>
      </c>
      <c r="B2358">
        <v>2.5879170894622798</v>
      </c>
      <c r="C2358">
        <f>C2359*(1+G2358*3)</f>
        <v>2.3361760293352121</v>
      </c>
      <c r="D2358">
        <f t="shared" si="74"/>
        <v>2.5859893226459145</v>
      </c>
      <c r="F2358">
        <v>4805.4501953125</v>
      </c>
      <c r="G2358">
        <f t="shared" si="73"/>
        <v>1.7218942770960144E-3</v>
      </c>
    </row>
    <row r="2359" spans="1:7" x14ac:dyDescent="0.25">
      <c r="A2359" s="1">
        <v>42598</v>
      </c>
      <c r="B2359">
        <v>2.57583308219909</v>
      </c>
      <c r="C2359">
        <f>C2360*(1+G2359*3)</f>
        <v>2.3241701037333637</v>
      </c>
      <c r="D2359">
        <f t="shared" si="74"/>
        <v>2.5725550301716207</v>
      </c>
      <c r="F2359">
        <v>4797.18994140625</v>
      </c>
      <c r="G2359">
        <f t="shared" si="73"/>
        <v>-6.2004207590941052E-3</v>
      </c>
    </row>
    <row r="2360" spans="1:7" x14ac:dyDescent="0.25">
      <c r="A2360" s="1">
        <v>42597</v>
      </c>
      <c r="B2360">
        <v>2.61708307266235</v>
      </c>
      <c r="C2360">
        <f>C2361*(1+G2360*3)</f>
        <v>2.3682220227086024</v>
      </c>
      <c r="D2360">
        <f t="shared" si="74"/>
        <v>2.6211639539626375</v>
      </c>
      <c r="F2360">
        <v>4827.1201171875</v>
      </c>
      <c r="G2360">
        <f t="shared" si="73"/>
        <v>4.1688590031387918E-3</v>
      </c>
    </row>
    <row r="2361" spans="1:7" x14ac:dyDescent="0.25">
      <c r="A2361" s="1">
        <v>42594</v>
      </c>
      <c r="B2361">
        <v>2.58458304405212</v>
      </c>
      <c r="C2361">
        <f>C2362*(1+G2361*3)</f>
        <v>2.3389695202805361</v>
      </c>
      <c r="D2361">
        <f t="shared" si="74"/>
        <v>2.5886426970235745</v>
      </c>
      <c r="F2361">
        <v>4807.080078125</v>
      </c>
      <c r="G2361">
        <f t="shared" si="73"/>
        <v>7.8487948628369608E-4</v>
      </c>
    </row>
    <row r="2362" spans="1:7" x14ac:dyDescent="0.25">
      <c r="A2362" s="1">
        <v>42593</v>
      </c>
      <c r="B2362">
        <v>2.5797920227050701</v>
      </c>
      <c r="C2362">
        <f>C2363*(1+G2362*3)</f>
        <v>2.3334750302315839</v>
      </c>
      <c r="D2362">
        <f t="shared" si="74"/>
        <v>2.5824161944879975</v>
      </c>
      <c r="F2362">
        <v>4803.31005859375</v>
      </c>
      <c r="G2362">
        <f t="shared" si="73"/>
        <v>4.1643941442468524E-3</v>
      </c>
    </row>
    <row r="2363" spans="1:7" x14ac:dyDescent="0.25">
      <c r="A2363" s="1">
        <v>42592</v>
      </c>
      <c r="B2363">
        <v>2.546875</v>
      </c>
      <c r="C2363">
        <f>C2364*(1+G2363*3)</f>
        <v>2.3046822148716992</v>
      </c>
      <c r="D2363">
        <f t="shared" si="74"/>
        <v>2.5504094258385246</v>
      </c>
      <c r="F2363">
        <v>4783.39013671875</v>
      </c>
      <c r="G2363">
        <f t="shared" si="73"/>
        <v>-2.5772534600948527E-3</v>
      </c>
    </row>
    <row r="2364" spans="1:7" x14ac:dyDescent="0.25">
      <c r="A2364" s="1">
        <v>42591</v>
      </c>
      <c r="B2364">
        <v>2.56666707992553</v>
      </c>
      <c r="C2364">
        <f>C2365*(1+G2364*3)</f>
        <v>2.3226403132231295</v>
      </c>
      <c r="D2364">
        <f t="shared" si="74"/>
        <v>2.5701359486372137</v>
      </c>
      <c r="F2364">
        <v>4795.75</v>
      </c>
      <c r="G2364">
        <f t="shared" si="73"/>
        <v>2.3010163740766476E-3</v>
      </c>
    </row>
    <row r="2365" spans="1:7" x14ac:dyDescent="0.25">
      <c r="A2365" s="1">
        <v>42590</v>
      </c>
      <c r="B2365">
        <v>2.5497920513153001</v>
      </c>
      <c r="C2365">
        <f>C2366*(1+G2365*3)</f>
        <v>2.3067169329240751</v>
      </c>
      <c r="D2365">
        <f t="shared" si="74"/>
        <v>2.552372645596189</v>
      </c>
      <c r="F2365">
        <v>4784.740234375</v>
      </c>
      <c r="G2365">
        <f t="shared" si="73"/>
        <v>-1.350332507914942E-3</v>
      </c>
    </row>
    <row r="2366" spans="1:7" x14ac:dyDescent="0.25">
      <c r="A2366" s="1">
        <v>42587</v>
      </c>
      <c r="B2366">
        <v>2.5579171180725</v>
      </c>
      <c r="C2366">
        <f>C2367*(1+G2366*3)</f>
        <v>2.316099446044749</v>
      </c>
      <c r="D2366">
        <f t="shared" si="74"/>
        <v>2.5626090410689906</v>
      </c>
      <c r="F2366">
        <v>4791.2099609375</v>
      </c>
      <c r="G2366">
        <f t="shared" si="73"/>
        <v>9.991947771576859E-3</v>
      </c>
    </row>
    <row r="2367" spans="1:7" x14ac:dyDescent="0.25">
      <c r="A2367" s="1">
        <v>42586</v>
      </c>
      <c r="B2367">
        <v>2.4860420227050701</v>
      </c>
      <c r="C2367">
        <f>C2368*(1+G2367*3)</f>
        <v>2.2486929776827949</v>
      </c>
      <c r="D2367">
        <f t="shared" si="74"/>
        <v>2.4878918763625513</v>
      </c>
      <c r="F2367">
        <v>4743.81005859375</v>
      </c>
      <c r="G2367">
        <f t="shared" si="73"/>
        <v>2.0023911117967863E-3</v>
      </c>
    </row>
    <row r="2368" spans="1:7" x14ac:dyDescent="0.25">
      <c r="A2368" s="1">
        <v>42585</v>
      </c>
      <c r="B2368">
        <v>2.4639580249786301</v>
      </c>
      <c r="C2368">
        <f>C2369*(1+G2368*3)</f>
        <v>2.2352653512671408</v>
      </c>
      <c r="D2368">
        <f t="shared" si="74"/>
        <v>2.4728970940952264</v>
      </c>
      <c r="F2368">
        <v>4734.330078125</v>
      </c>
      <c r="G2368">
        <f t="shared" si="73"/>
        <v>3.2039509393848586E-3</v>
      </c>
    </row>
    <row r="2369" spans="1:7" x14ac:dyDescent="0.25">
      <c r="A2369" s="1">
        <v>42584</v>
      </c>
      <c r="B2369">
        <v>2.4408330917358398</v>
      </c>
      <c r="C2369">
        <f>C2370*(1+G2369*3)</f>
        <v>2.2139848547021206</v>
      </c>
      <c r="D2369">
        <f t="shared" si="74"/>
        <v>2.4492172548954225</v>
      </c>
      <c r="F2369">
        <v>4719.2099609375</v>
      </c>
      <c r="G2369">
        <f t="shared" si="73"/>
        <v>-7.7438536729097507E-3</v>
      </c>
    </row>
    <row r="2370" spans="1:7" x14ac:dyDescent="0.25">
      <c r="A2370" s="1">
        <v>42583</v>
      </c>
      <c r="B2370">
        <v>2.4970829486846902</v>
      </c>
      <c r="C2370">
        <f>C2371*(1+G2370*3)</f>
        <v>2.266642498206858</v>
      </c>
      <c r="D2370">
        <f t="shared" si="74"/>
        <v>2.5073247169130846</v>
      </c>
      <c r="F2370">
        <v>4756.0400390625</v>
      </c>
      <c r="G2370">
        <f t="shared" ref="G2370:G2433" si="75">F2370/F2371-1</f>
        <v>5.4564067075639766E-3</v>
      </c>
    </row>
    <row r="2371" spans="1:7" x14ac:dyDescent="0.25">
      <c r="A2371" s="1">
        <v>42580</v>
      </c>
      <c r="B2371">
        <v>2.4585421085357599</v>
      </c>
      <c r="C2371">
        <f>C2372*(1+G2371*3)</f>
        <v>2.2301368964452095</v>
      </c>
      <c r="D2371">
        <f t="shared" si="74"/>
        <v>2.4668057144117737</v>
      </c>
      <c r="F2371">
        <v>4730.22998046875</v>
      </c>
      <c r="G2371">
        <f t="shared" si="75"/>
        <v>1.8680487241877763E-3</v>
      </c>
    </row>
    <row r="2372" spans="1:7" x14ac:dyDescent="0.25">
      <c r="A2372" s="1">
        <v>42579</v>
      </c>
      <c r="B2372">
        <v>2.44250011444091</v>
      </c>
      <c r="C2372">
        <f>C2373*(1+G2372*3)</f>
        <v>2.2177085336544686</v>
      </c>
      <c r="D2372">
        <f t="shared" si="74"/>
        <v>2.4529206559247645</v>
      </c>
      <c r="F2372">
        <v>4721.41015625</v>
      </c>
      <c r="G2372">
        <f t="shared" si="75"/>
        <v>3.9401970493062599E-3</v>
      </c>
    </row>
    <row r="2373" spans="1:7" x14ac:dyDescent="0.25">
      <c r="A2373" s="1">
        <v>42578</v>
      </c>
      <c r="B2373">
        <v>2.4162499904632502</v>
      </c>
      <c r="C2373">
        <f>C2374*(1+G2373*3)</f>
        <v>2.1918001600841706</v>
      </c>
      <c r="D2373">
        <f t="shared" si="74"/>
        <v>2.4241291102889333</v>
      </c>
      <c r="F2373">
        <v>4702.8798828125</v>
      </c>
      <c r="G2373">
        <f t="shared" si="75"/>
        <v>6.5858938320513261E-3</v>
      </c>
    </row>
    <row r="2374" spans="1:7" x14ac:dyDescent="0.25">
      <c r="A2374" s="1">
        <v>42577</v>
      </c>
      <c r="B2374">
        <v>2.3699998855590798</v>
      </c>
      <c r="C2374">
        <f>C2375*(1+G2374*3)</f>
        <v>2.1493342976033634</v>
      </c>
      <c r="D2374">
        <f t="shared" si="74"/>
        <v>2.3770302570131907</v>
      </c>
      <c r="F2374">
        <v>4672.10986328125</v>
      </c>
      <c r="G2374">
        <f t="shared" si="75"/>
        <v>1.3244277704960172E-3</v>
      </c>
    </row>
    <row r="2375" spans="1:7" x14ac:dyDescent="0.25">
      <c r="A2375" s="1">
        <v>42576</v>
      </c>
      <c r="B2375">
        <v>2.3620829582214302</v>
      </c>
      <c r="C2375">
        <f>C2376*(1+G2375*3)</f>
        <v>2.1408281807201446</v>
      </c>
      <c r="D2375">
        <f t="shared" si="74"/>
        <v>2.3674898413953938</v>
      </c>
      <c r="F2375">
        <v>4665.93017578125</v>
      </c>
      <c r="G2375">
        <f t="shared" si="75"/>
        <v>-2.9928492877528967E-5</v>
      </c>
    </row>
    <row r="2376" spans="1:7" x14ac:dyDescent="0.25">
      <c r="A2376" s="1">
        <v>42573</v>
      </c>
      <c r="B2376">
        <v>2.3599998950958199</v>
      </c>
      <c r="C2376">
        <f>C2377*(1+G2376*3)</f>
        <v>2.1410204132627113</v>
      </c>
      <c r="D2376">
        <f t="shared" si="74"/>
        <v>2.3675687024898742</v>
      </c>
      <c r="F2376">
        <v>4666.06982421875</v>
      </c>
      <c r="G2376">
        <f t="shared" si="75"/>
        <v>4.0993592899178921E-3</v>
      </c>
    </row>
    <row r="2377" spans="1:7" x14ac:dyDescent="0.25">
      <c r="A2377" s="1">
        <v>42572</v>
      </c>
      <c r="B2377">
        <v>2.3329169750213601</v>
      </c>
      <c r="C2377">
        <f>C2378*(1+G2377*3)</f>
        <v>2.1150098573418248</v>
      </c>
      <c r="D2377">
        <f t="shared" si="74"/>
        <v>2.3386754097880504</v>
      </c>
      <c r="F2377">
        <v>4647.02001953125</v>
      </c>
      <c r="G2377">
        <f t="shared" si="75"/>
        <v>-2.1859004024555873E-3</v>
      </c>
    </row>
    <row r="2378" spans="1:7" x14ac:dyDescent="0.25">
      <c r="A2378" s="1">
        <v>42571</v>
      </c>
      <c r="B2378">
        <v>2.3468749523162802</v>
      </c>
      <c r="C2378">
        <f>C2379*(1+G2378*3)</f>
        <v>2.1289710131250437</v>
      </c>
      <c r="D2378">
        <f t="shared" si="74"/>
        <v>2.3539791570447672</v>
      </c>
      <c r="F2378">
        <v>4657.2001953125</v>
      </c>
      <c r="G2378">
        <f t="shared" si="75"/>
        <v>1.171347662380251E-2</v>
      </c>
    </row>
    <row r="2379" spans="1:7" x14ac:dyDescent="0.25">
      <c r="A2379" s="1">
        <v>42570</v>
      </c>
      <c r="B2379">
        <v>2.2691669464111301</v>
      </c>
      <c r="C2379">
        <f>C2380*(1+G2379*3)</f>
        <v>2.0566977693930082</v>
      </c>
      <c r="D2379">
        <f t="shared" si="74"/>
        <v>2.2739433844553121</v>
      </c>
      <c r="F2379">
        <v>4603.27978515625</v>
      </c>
      <c r="G2379">
        <f t="shared" si="75"/>
        <v>-3.5501138609074223E-3</v>
      </c>
    </row>
    <row r="2380" spans="1:7" x14ac:dyDescent="0.25">
      <c r="A2380" s="1">
        <v>42569</v>
      </c>
      <c r="B2380">
        <v>2.2929170131683301</v>
      </c>
      <c r="C2380">
        <f>C2381*(1+G2380*3)</f>
        <v>2.0788381053097362</v>
      </c>
      <c r="D2380">
        <f t="shared" si="74"/>
        <v>2.2982911708450917</v>
      </c>
      <c r="F2380">
        <v>4619.68017578125</v>
      </c>
      <c r="G2380">
        <f t="shared" si="75"/>
        <v>6.5035300105149574E-3</v>
      </c>
    </row>
    <row r="2381" spans="1:7" x14ac:dyDescent="0.25">
      <c r="A2381" s="1">
        <v>42566</v>
      </c>
      <c r="B2381">
        <v>2.24812507629394</v>
      </c>
      <c r="C2381">
        <f>C2382*(1+G2381*3)</f>
        <v>2.0390549403174072</v>
      </c>
      <c r="D2381">
        <f t="shared" si="74"/>
        <v>2.2541834138213215</v>
      </c>
      <c r="F2381">
        <v>4589.830078125</v>
      </c>
      <c r="G2381">
        <f t="shared" si="75"/>
        <v>-1.4489656042759869E-3</v>
      </c>
    </row>
    <row r="2382" spans="1:7" x14ac:dyDescent="0.25">
      <c r="A2382" s="1">
        <v>42565</v>
      </c>
      <c r="B2382">
        <v>2.2608330249786301</v>
      </c>
      <c r="C2382">
        <f>C2383*(1+G2382*3)</f>
        <v>2.0479571989382799</v>
      </c>
      <c r="D2382">
        <f t="shared" si="74"/>
        <v>2.2638964810778304</v>
      </c>
      <c r="F2382">
        <v>4596.490234375</v>
      </c>
      <c r="G2382">
        <f t="shared" si="75"/>
        <v>6.7283754355424996E-3</v>
      </c>
    </row>
    <row r="2383" spans="1:7" x14ac:dyDescent="0.25">
      <c r="A2383" s="1">
        <v>42564</v>
      </c>
      <c r="B2383">
        <v>2.2158329486846902</v>
      </c>
      <c r="C2383">
        <f>C2384*(1+G2383*3)</f>
        <v>2.0074368329133478</v>
      </c>
      <c r="D2383">
        <f t="shared" si="74"/>
        <v>2.218980753834916</v>
      </c>
      <c r="F2383">
        <v>4565.77001953125</v>
      </c>
      <c r="G2383">
        <f t="shared" si="75"/>
        <v>-2.5864685072819471E-3</v>
      </c>
    </row>
    <row r="2384" spans="1:7" x14ac:dyDescent="0.25">
      <c r="A2384" s="1">
        <v>42563</v>
      </c>
      <c r="B2384">
        <v>2.2314579486846902</v>
      </c>
      <c r="C2384">
        <f>C2385*(1+G2384*3)</f>
        <v>2.0231351590378264</v>
      </c>
      <c r="D2384">
        <f t="shared" si="74"/>
        <v>2.2362060904380816</v>
      </c>
      <c r="F2384">
        <v>4577.60986328125</v>
      </c>
      <c r="G2384">
        <f t="shared" si="75"/>
        <v>5.027741072460401E-3</v>
      </c>
    </row>
    <row r="2385" spans="1:7" x14ac:dyDescent="0.25">
      <c r="A2385" s="1">
        <v>42562</v>
      </c>
      <c r="B2385">
        <v>2.1968750953674299</v>
      </c>
      <c r="C2385">
        <f>C2386*(1+G2385*3)</f>
        <v>1.9930731912062838</v>
      </c>
      <c r="D2385">
        <f t="shared" si="74"/>
        <v>2.2028555191701993</v>
      </c>
      <c r="F2385">
        <v>4554.7099609375</v>
      </c>
      <c r="G2385">
        <f t="shared" si="75"/>
        <v>5.818905398820684E-3</v>
      </c>
    </row>
    <row r="2386" spans="1:7" x14ac:dyDescent="0.25">
      <c r="A2386" s="1">
        <v>42559</v>
      </c>
      <c r="B2386">
        <v>2.16000008583068</v>
      </c>
      <c r="C2386">
        <f>C2387*(1+G2386*3)</f>
        <v>1.9588776205212435</v>
      </c>
      <c r="D2386">
        <f t="shared" si="74"/>
        <v>2.164940498853746</v>
      </c>
      <c r="F2386">
        <v>4528.35986328125</v>
      </c>
      <c r="G2386">
        <f t="shared" si="75"/>
        <v>1.5422928605683506E-2</v>
      </c>
    </row>
    <row r="2387" spans="1:7" x14ac:dyDescent="0.25">
      <c r="A2387" s="1">
        <v>42558</v>
      </c>
      <c r="B2387">
        <v>2.0645830631256099</v>
      </c>
      <c r="C2387">
        <f>C2388*(1+G2387*3)</f>
        <v>1.8722508470818231</v>
      </c>
      <c r="D2387">
        <f t="shared" si="74"/>
        <v>2.0690893899321892</v>
      </c>
      <c r="F2387">
        <v>4459.580078125</v>
      </c>
      <c r="G2387">
        <f t="shared" si="75"/>
        <v>3.3477809882864751E-3</v>
      </c>
    </row>
    <row r="2388" spans="1:7" x14ac:dyDescent="0.25">
      <c r="A2388" s="1">
        <v>42557</v>
      </c>
      <c r="B2388">
        <v>2.0452079772949201</v>
      </c>
      <c r="C2388">
        <f>C2389*(1+G2388*3)</f>
        <v>1.8536341634469451</v>
      </c>
      <c r="D2388">
        <f t="shared" si="74"/>
        <v>2.0484009103720111</v>
      </c>
      <c r="F2388">
        <v>4444.7001953125</v>
      </c>
      <c r="G2388">
        <f t="shared" si="75"/>
        <v>7.6971479481946492E-3</v>
      </c>
    </row>
    <row r="2389" spans="1:7" x14ac:dyDescent="0.25">
      <c r="A2389" s="1">
        <v>42556</v>
      </c>
      <c r="B2389">
        <v>1.99812495708465</v>
      </c>
      <c r="C2389">
        <f>C2390*(1+G2389*3)</f>
        <v>1.8117971512706028</v>
      </c>
      <c r="D2389">
        <f t="shared" si="74"/>
        <v>2.0020574439640151</v>
      </c>
      <c r="F2389">
        <v>4410.75</v>
      </c>
      <c r="G2389">
        <f t="shared" si="75"/>
        <v>-6.017012955030987E-3</v>
      </c>
    </row>
    <row r="2390" spans="1:7" x14ac:dyDescent="0.25">
      <c r="A2390" s="1">
        <v>42552</v>
      </c>
      <c r="B2390">
        <v>2.0341670513153001</v>
      </c>
      <c r="C2390">
        <f>C2391*(1+G2390*3)</f>
        <v>1.8451031804917664</v>
      </c>
      <c r="D2390">
        <f t="shared" si="74"/>
        <v>2.0387437452616211</v>
      </c>
      <c r="F2390">
        <v>4437.4501953125</v>
      </c>
      <c r="G2390">
        <f t="shared" si="75"/>
        <v>4.4706519516548582E-3</v>
      </c>
    </row>
    <row r="2391" spans="1:7" x14ac:dyDescent="0.25">
      <c r="A2391" s="1">
        <v>42551</v>
      </c>
      <c r="B2391">
        <v>2.0066668987274099</v>
      </c>
      <c r="C2391">
        <f>C2392*(1+G2391*3)</f>
        <v>1.8206842437882489</v>
      </c>
      <c r="D2391">
        <f t="shared" si="74"/>
        <v>2.0116499735010072</v>
      </c>
      <c r="F2391">
        <v>4417.7001953125</v>
      </c>
      <c r="G2391">
        <f t="shared" si="75"/>
        <v>1.2133588276435736E-2</v>
      </c>
    </row>
    <row r="2392" spans="1:7" x14ac:dyDescent="0.25">
      <c r="A2392" s="1">
        <v>42550</v>
      </c>
      <c r="B2392">
        <v>1.9362499713897701</v>
      </c>
      <c r="C2392">
        <f>C2393*(1+G2392*3)</f>
        <v>1.7567376497335097</v>
      </c>
      <c r="D2392">
        <f t="shared" ref="D2392:D2455" si="76">D2393*(1+3*G2392--0.0000564765848304393)</f>
        <v>1.9408904613916544</v>
      </c>
      <c r="F2392">
        <v>4364.740234375</v>
      </c>
      <c r="G2392">
        <f t="shared" si="75"/>
        <v>1.7310461514054465E-2</v>
      </c>
    </row>
    <row r="2393" spans="1:7" x14ac:dyDescent="0.25">
      <c r="A2393" s="1">
        <v>42549</v>
      </c>
      <c r="B2393">
        <v>1.84062504768371</v>
      </c>
      <c r="C2393">
        <f>C2394*(1+G2393*3)</f>
        <v>1.6700116334090576</v>
      </c>
      <c r="D2393">
        <f t="shared" si="76"/>
        <v>1.8449741989535693</v>
      </c>
      <c r="F2393">
        <v>4290.47021484375</v>
      </c>
      <c r="G2393">
        <f t="shared" si="75"/>
        <v>2.128525352317312E-2</v>
      </c>
    </row>
    <row r="2394" spans="1:7" x14ac:dyDescent="0.25">
      <c r="A2394" s="1">
        <v>42548</v>
      </c>
      <c r="B2394">
        <v>1.7320829629898</v>
      </c>
      <c r="C2394">
        <f>C2395*(1+G2394*3)</f>
        <v>1.5697726095077416</v>
      </c>
      <c r="D2394">
        <f t="shared" si="76"/>
        <v>1.7341413459895234</v>
      </c>
      <c r="F2394">
        <v>4201.0498046875</v>
      </c>
      <c r="G2394">
        <f t="shared" si="75"/>
        <v>-1.9751822751761017E-2</v>
      </c>
    </row>
    <row r="2395" spans="1:7" x14ac:dyDescent="0.25">
      <c r="A2395" s="1">
        <v>42545</v>
      </c>
      <c r="B2395">
        <v>1.83916699886322</v>
      </c>
      <c r="C2395">
        <f>C2396*(1+G2395*3)</f>
        <v>1.66864919915763</v>
      </c>
      <c r="D2395">
        <f t="shared" si="76"/>
        <v>1.8432605095402723</v>
      </c>
      <c r="F2395">
        <v>4285.7001953125</v>
      </c>
      <c r="G2395">
        <f t="shared" si="75"/>
        <v>-4.0689557860576375E-2</v>
      </c>
    </row>
    <row r="2396" spans="1:7" x14ac:dyDescent="0.25">
      <c r="A2396" s="1">
        <v>42544</v>
      </c>
      <c r="B2396">
        <v>2.0958330631256099</v>
      </c>
      <c r="C2396">
        <f>C2397*(1+G2396*3)</f>
        <v>1.9006602782535169</v>
      </c>
      <c r="D2396">
        <f t="shared" si="76"/>
        <v>2.0994147108143384</v>
      </c>
      <c r="F2396">
        <v>4467.47998046875</v>
      </c>
      <c r="G2396">
        <f t="shared" si="75"/>
        <v>1.4246049196714239E-2</v>
      </c>
    </row>
    <row r="2397" spans="1:7" x14ac:dyDescent="0.25">
      <c r="A2397" s="1">
        <v>42543</v>
      </c>
      <c r="B2397">
        <v>2.0110421180725</v>
      </c>
      <c r="C2397">
        <f>C2398*(1+G2397*3)</f>
        <v>1.8227589377506768</v>
      </c>
      <c r="D2397">
        <f t="shared" si="76"/>
        <v>2.0132580875887522</v>
      </c>
      <c r="F2397">
        <v>4404.72998046875</v>
      </c>
      <c r="G2397">
        <f t="shared" si="75"/>
        <v>-1.9644541774689328E-3</v>
      </c>
    </row>
    <row r="2398" spans="1:7" x14ac:dyDescent="0.25">
      <c r="A2398" s="1">
        <v>42542</v>
      </c>
      <c r="B2398">
        <v>2.0241670608520499</v>
      </c>
      <c r="C2398">
        <f>C2399*(1+G2398*3)</f>
        <v>1.8335647998428104</v>
      </c>
      <c r="D2398">
        <f t="shared" si="76"/>
        <v>2.0250782383006318</v>
      </c>
      <c r="F2398">
        <v>4413.39990234375</v>
      </c>
      <c r="G2398">
        <f t="shared" si="75"/>
        <v>3.0089236808674702E-3</v>
      </c>
    </row>
    <row r="2399" spans="1:7" x14ac:dyDescent="0.25">
      <c r="A2399" s="1">
        <v>42541</v>
      </c>
      <c r="B2399">
        <v>2.00416707992553</v>
      </c>
      <c r="C2399">
        <f>C2400*(1+G2399*3)</f>
        <v>1.817161697254309</v>
      </c>
      <c r="D2399">
        <f t="shared" si="76"/>
        <v>2.0068495270950311</v>
      </c>
      <c r="F2399">
        <v>4400.16015625</v>
      </c>
      <c r="G2399">
        <f t="shared" si="75"/>
        <v>5.8934692752208306E-3</v>
      </c>
    </row>
    <row r="2400" spans="1:7" x14ac:dyDescent="0.25">
      <c r="A2400" s="1">
        <v>42538</v>
      </c>
      <c r="B2400">
        <v>1.96875</v>
      </c>
      <c r="C2400">
        <f>C2401*(1+G2400*3)</f>
        <v>1.7855917076528849</v>
      </c>
      <c r="D2400">
        <f t="shared" si="76"/>
        <v>1.9718746149771953</v>
      </c>
      <c r="F2400">
        <v>4374.3798828125</v>
      </c>
      <c r="G2400">
        <f t="shared" si="75"/>
        <v>-1.126751951781868E-2</v>
      </c>
    </row>
    <row r="2401" spans="1:7" x14ac:dyDescent="0.25">
      <c r="A2401" s="1">
        <v>42537</v>
      </c>
      <c r="B2401">
        <v>2.03854203224182</v>
      </c>
      <c r="C2401">
        <f>C2402*(1+G2401*3)</f>
        <v>1.8480608942408123</v>
      </c>
      <c r="D2401">
        <f t="shared" si="76"/>
        <v>2.0407416499740063</v>
      </c>
      <c r="F2401">
        <v>4424.22998046875</v>
      </c>
      <c r="G2401">
        <f t="shared" si="75"/>
        <v>3.338288296468539E-3</v>
      </c>
    </row>
    <row r="2402" spans="1:7" x14ac:dyDescent="0.25">
      <c r="A2402" s="1">
        <v>42536</v>
      </c>
      <c r="B2402">
        <v>2.0239579677581698</v>
      </c>
      <c r="C2402">
        <f>C2403*(1+G2402*3)</f>
        <v>1.8297363320916775</v>
      </c>
      <c r="D2402">
        <f t="shared" si="76"/>
        <v>2.02039357635419</v>
      </c>
      <c r="F2402">
        <v>4409.509765625</v>
      </c>
      <c r="G2402">
        <f t="shared" si="75"/>
        <v>-3.480384930131919E-3</v>
      </c>
    </row>
    <row r="2403" spans="1:7" x14ac:dyDescent="0.25">
      <c r="A2403" s="1">
        <v>42535</v>
      </c>
      <c r="B2403">
        <v>2.0422921180725</v>
      </c>
      <c r="C2403">
        <f>C2404*(1+G2403*3)</f>
        <v>1.849042470742718</v>
      </c>
      <c r="D2403">
        <f t="shared" si="76"/>
        <v>2.0415948822323013</v>
      </c>
      <c r="F2403">
        <v>4424.91015625</v>
      </c>
      <c r="G2403">
        <f t="shared" si="75"/>
        <v>4.8621013551608527E-4</v>
      </c>
    </row>
    <row r="2404" spans="1:7" x14ac:dyDescent="0.25">
      <c r="A2404" s="1">
        <v>42534</v>
      </c>
      <c r="B2404">
        <v>2.0412499904632502</v>
      </c>
      <c r="C2404">
        <f>C2405*(1+G2404*3)</f>
        <v>1.8463493294696436</v>
      </c>
      <c r="D2404">
        <f t="shared" si="76"/>
        <v>2.0385063270442267</v>
      </c>
      <c r="F2404">
        <v>4422.759765625</v>
      </c>
      <c r="G2404">
        <f t="shared" si="75"/>
        <v>-8.583190221787329E-3</v>
      </c>
    </row>
    <row r="2405" spans="1:7" x14ac:dyDescent="0.25">
      <c r="A2405" s="1">
        <v>42531</v>
      </c>
      <c r="B2405">
        <v>2.0950000286102202</v>
      </c>
      <c r="C2405">
        <f>C2406*(1+G2405*3)</f>
        <v>1.8951485920623135</v>
      </c>
      <c r="D2405">
        <f t="shared" si="76"/>
        <v>2.0922630381239644</v>
      </c>
      <c r="F2405">
        <v>4461.0498046875</v>
      </c>
      <c r="G2405">
        <f t="shared" si="75"/>
        <v>-1.1443315935563247E-2</v>
      </c>
    </row>
    <row r="2406" spans="1:7" x14ac:dyDescent="0.25">
      <c r="A2406" s="1">
        <v>42530</v>
      </c>
      <c r="B2406">
        <v>2.1679170131683301</v>
      </c>
      <c r="C2406">
        <f>C2407*(1+G2406*3)</f>
        <v>1.9625218652663963</v>
      </c>
      <c r="D2406">
        <f t="shared" si="76"/>
        <v>2.1665170995883725</v>
      </c>
      <c r="F2406">
        <v>4512.68994140625</v>
      </c>
      <c r="G2406">
        <f t="shared" si="75"/>
        <v>-1.7563794453595571E-3</v>
      </c>
    </row>
    <row r="2407" spans="1:7" x14ac:dyDescent="0.25">
      <c r="A2407" s="1">
        <v>42529</v>
      </c>
      <c r="B2407">
        <v>2.1775000095367401</v>
      </c>
      <c r="C2407">
        <f>C2408*(1+G2407*3)</f>
        <v>1.9729174401843901</v>
      </c>
      <c r="D2407">
        <f t="shared" si="76"/>
        <v>2.1778695971365725</v>
      </c>
      <c r="F2407">
        <v>4520.6298828125</v>
      </c>
      <c r="G2407">
        <f t="shared" si="75"/>
        <v>1.6707044006540883E-3</v>
      </c>
    </row>
    <row r="2408" spans="1:7" x14ac:dyDescent="0.25">
      <c r="A2408" s="1">
        <v>42528</v>
      </c>
      <c r="B2408">
        <v>2.1679170131683301</v>
      </c>
      <c r="C2408">
        <f>C2409*(1+G2408*3)</f>
        <v>1.9630782696724793</v>
      </c>
      <c r="D2408">
        <f t="shared" si="76"/>
        <v>2.1668865381601154</v>
      </c>
      <c r="F2408">
        <v>4513.08984375</v>
      </c>
      <c r="G2408">
        <f t="shared" si="75"/>
        <v>-2.3299958961158218E-3</v>
      </c>
    </row>
    <row r="2409" spans="1:7" x14ac:dyDescent="0.25">
      <c r="A2409" s="1">
        <v>42527</v>
      </c>
      <c r="B2409">
        <v>2.1833329200744598</v>
      </c>
      <c r="C2409">
        <f>C2410*(1+G2409*3)</f>
        <v>1.976896753641568</v>
      </c>
      <c r="D2409">
        <f t="shared" si="76"/>
        <v>2.1820155673242048</v>
      </c>
      <c r="F2409">
        <v>4523.6298828125</v>
      </c>
      <c r="G2409">
        <f t="shared" si="75"/>
        <v>3.0688443652859831E-3</v>
      </c>
    </row>
    <row r="2410" spans="1:7" x14ac:dyDescent="0.25">
      <c r="A2410" s="1">
        <v>42524</v>
      </c>
      <c r="B2410">
        <v>2.1602079868316602</v>
      </c>
      <c r="C2410">
        <f>C2411*(1+G2410*3)</f>
        <v>1.9588624219238933</v>
      </c>
      <c r="D2410">
        <f t="shared" si="76"/>
        <v>2.1619890418995467</v>
      </c>
      <c r="F2410">
        <v>4509.7900390625</v>
      </c>
      <c r="G2410">
        <f t="shared" si="75"/>
        <v>-4.757976790383367E-3</v>
      </c>
    </row>
    <row r="2411" spans="1:7" x14ac:dyDescent="0.25">
      <c r="A2411" s="1">
        <v>42523</v>
      </c>
      <c r="B2411">
        <v>2.1902079582214302</v>
      </c>
      <c r="C2411">
        <f>C2412*(1+G2411*3)</f>
        <v>1.9872279756803561</v>
      </c>
      <c r="D2411">
        <f t="shared" si="76"/>
        <v>2.1931703398519184</v>
      </c>
      <c r="F2411">
        <v>4531.35009765625</v>
      </c>
      <c r="G2411">
        <f t="shared" si="75"/>
        <v>2.4955971646853925E-3</v>
      </c>
    </row>
    <row r="2412" spans="1:7" x14ac:dyDescent="0.25">
      <c r="A2412" s="1">
        <v>42522</v>
      </c>
      <c r="B2412">
        <v>2.17791700363159</v>
      </c>
      <c r="C2412">
        <f>C2413*(1+G2412*3)</f>
        <v>1.9724605746278709</v>
      </c>
      <c r="D2412">
        <f t="shared" si="76"/>
        <v>2.1767505270852565</v>
      </c>
      <c r="F2412">
        <v>4520.06982421875</v>
      </c>
      <c r="G2412">
        <f t="shared" si="75"/>
        <v>-8.4447508328988619E-4</v>
      </c>
    </row>
    <row r="2413" spans="1:7" x14ac:dyDescent="0.25">
      <c r="A2413" s="1">
        <v>42521</v>
      </c>
      <c r="B2413">
        <v>2.1770830154418901</v>
      </c>
      <c r="C2413">
        <f>C2414*(1+G2413*3)</f>
        <v>1.9774703479382061</v>
      </c>
      <c r="D2413">
        <f t="shared" si="76"/>
        <v>2.1821556145215535</v>
      </c>
      <c r="F2413">
        <v>4523.89013671875</v>
      </c>
      <c r="G2413">
        <f t="shared" si="75"/>
        <v>2.5152347808548026E-3</v>
      </c>
    </row>
    <row r="2414" spans="1:7" x14ac:dyDescent="0.25">
      <c r="A2414" s="1">
        <v>42517</v>
      </c>
      <c r="B2414">
        <v>2.1641669273376398</v>
      </c>
      <c r="C2414">
        <f>C2415*(1+G2414*3)</f>
        <v>1.9626606906418493</v>
      </c>
      <c r="D2414">
        <f t="shared" si="76"/>
        <v>2.1656916348802482</v>
      </c>
      <c r="F2414">
        <v>4512.5400390625</v>
      </c>
      <c r="G2414">
        <f t="shared" si="75"/>
        <v>5.4768933633413397E-3</v>
      </c>
    </row>
    <row r="2415" spans="1:7" x14ac:dyDescent="0.25">
      <c r="A2415" s="1">
        <v>42516</v>
      </c>
      <c r="B2415">
        <v>2.1320829391479399</v>
      </c>
      <c r="C2415">
        <f>C2416*(1+G2415*3)</f>
        <v>1.9309341296821332</v>
      </c>
      <c r="D2415">
        <f t="shared" si="76"/>
        <v>2.1305646811757915</v>
      </c>
      <c r="F2415">
        <v>4487.9599609375</v>
      </c>
      <c r="G2415">
        <f t="shared" si="75"/>
        <v>2.5756651401889208E-3</v>
      </c>
    </row>
    <row r="2416" spans="1:7" x14ac:dyDescent="0.25">
      <c r="A2416" s="1">
        <v>42515</v>
      </c>
      <c r="B2416">
        <v>2.11437511444091</v>
      </c>
      <c r="C2416">
        <f>C2417*(1+G2416*3)</f>
        <v>1.9161282157339383</v>
      </c>
      <c r="D2416">
        <f t="shared" si="76"/>
        <v>2.1141095685327742</v>
      </c>
      <c r="F2416">
        <v>4476.43017578125</v>
      </c>
      <c r="G2416">
        <f t="shared" si="75"/>
        <v>7.2295687747845339E-3</v>
      </c>
    </row>
    <row r="2417" spans="1:7" x14ac:dyDescent="0.25">
      <c r="A2417" s="1">
        <v>42514</v>
      </c>
      <c r="B2417">
        <v>2.06979203224182</v>
      </c>
      <c r="C2417">
        <f>C2418*(1+G2417*3)</f>
        <v>1.8754520862107178</v>
      </c>
      <c r="D2417">
        <f t="shared" si="76"/>
        <v>2.0691162570625821</v>
      </c>
      <c r="F2417">
        <v>4444.2998046875</v>
      </c>
      <c r="G2417">
        <f t="shared" si="75"/>
        <v>2.0481666329380976E-2</v>
      </c>
    </row>
    <row r="2418" spans="1:7" x14ac:dyDescent="0.25">
      <c r="A2418" s="1">
        <v>42513</v>
      </c>
      <c r="B2418">
        <v>1.95041704177856</v>
      </c>
      <c r="C2418">
        <f>C2419*(1+G2418*3)</f>
        <v>1.7668857905954183</v>
      </c>
      <c r="D2418">
        <f t="shared" si="76"/>
        <v>1.9492354035077735</v>
      </c>
      <c r="F2418">
        <v>4355.10009765625</v>
      </c>
      <c r="G2418">
        <f t="shared" si="75"/>
        <v>-1.7877569648824254E-3</v>
      </c>
    </row>
    <row r="2419" spans="1:7" x14ac:dyDescent="0.25">
      <c r="A2419" s="1">
        <v>42510</v>
      </c>
      <c r="B2419">
        <v>1.96000003814697</v>
      </c>
      <c r="C2419">
        <f>C2420*(1+G2419*3)</f>
        <v>1.7764131756773969</v>
      </c>
      <c r="D2419">
        <f t="shared" si="76"/>
        <v>1.9596347822193745</v>
      </c>
      <c r="F2419">
        <v>4362.89990234375</v>
      </c>
      <c r="G2419">
        <f t="shared" si="75"/>
        <v>1.0964881513520375E-2</v>
      </c>
    </row>
    <row r="2420" spans="1:7" x14ac:dyDescent="0.25">
      <c r="A2420" s="1">
        <v>42509</v>
      </c>
      <c r="B2420">
        <v>1.89666700363159</v>
      </c>
      <c r="C2420">
        <f>C2421*(1+G2420*3)</f>
        <v>1.7198396613505127</v>
      </c>
      <c r="D2420">
        <f t="shared" si="76"/>
        <v>1.8971224699232319</v>
      </c>
      <c r="F2420">
        <v>4315.580078125</v>
      </c>
      <c r="G2420">
        <f t="shared" si="75"/>
        <v>-5.22100083345578E-3</v>
      </c>
    </row>
    <row r="2421" spans="1:7" x14ac:dyDescent="0.25">
      <c r="A2421" s="1">
        <v>42508</v>
      </c>
      <c r="B2421">
        <v>1.9270830154418901</v>
      </c>
      <c r="C2421">
        <f>C2422*(1+G2421*3)</f>
        <v>1.7472061557364702</v>
      </c>
      <c r="D2421">
        <f t="shared" si="76"/>
        <v>1.9271993566268346</v>
      </c>
      <c r="F2421">
        <v>4338.22998046875</v>
      </c>
      <c r="G2421">
        <f t="shared" si="75"/>
        <v>3.6251484450393612E-3</v>
      </c>
    </row>
    <row r="2422" spans="1:7" x14ac:dyDescent="0.25">
      <c r="A2422" s="1">
        <v>42507</v>
      </c>
      <c r="B2422">
        <v>1.90541696548461</v>
      </c>
      <c r="C2422">
        <f>C2423*(1+G2422*3)</f>
        <v>1.7284089388057586</v>
      </c>
      <c r="D2422">
        <f t="shared" si="76"/>
        <v>1.9063591868448697</v>
      </c>
      <c r="F2422">
        <v>4322.56005859375</v>
      </c>
      <c r="G2422">
        <f t="shared" si="75"/>
        <v>-1.3222277497727974E-2</v>
      </c>
    </row>
    <row r="2423" spans="1:7" x14ac:dyDescent="0.25">
      <c r="A2423" s="1">
        <v>42506</v>
      </c>
      <c r="B2423">
        <v>1.9814579486846899</v>
      </c>
      <c r="C2423">
        <f>C2424*(1+G2423*3)</f>
        <v>1.7998013577860634</v>
      </c>
      <c r="D2423">
        <f t="shared" si="76"/>
        <v>1.9849851553198889</v>
      </c>
      <c r="F2423">
        <v>4380.47998046875</v>
      </c>
      <c r="G2423">
        <f t="shared" si="75"/>
        <v>1.2469622998458441E-2</v>
      </c>
    </row>
    <row r="2424" spans="1:7" x14ac:dyDescent="0.25">
      <c r="A2424" s="1">
        <v>42503</v>
      </c>
      <c r="B2424">
        <v>1.9079170227050699</v>
      </c>
      <c r="C2424">
        <f>C2425*(1+G2424*3)</f>
        <v>1.7349006853286182</v>
      </c>
      <c r="D2424">
        <f t="shared" si="76"/>
        <v>1.9133026117704004</v>
      </c>
      <c r="F2424">
        <v>4326.52978515625</v>
      </c>
      <c r="G2424">
        <f t="shared" si="75"/>
        <v>-3.7487878166082567E-3</v>
      </c>
    </row>
    <row r="2425" spans="1:7" x14ac:dyDescent="0.25">
      <c r="A2425" s="1">
        <v>42502</v>
      </c>
      <c r="B2425">
        <v>1.9312499761581401</v>
      </c>
      <c r="C2425">
        <f>C2426*(1+G2425*3)</f>
        <v>1.754633936297618</v>
      </c>
      <c r="D2425">
        <f t="shared" si="76"/>
        <v>1.9349545340958407</v>
      </c>
      <c r="F2425">
        <v>4342.81005859375</v>
      </c>
      <c r="G2425">
        <f t="shared" si="75"/>
        <v>-4.1778496043560764E-3</v>
      </c>
    </row>
    <row r="2426" spans="1:7" x14ac:dyDescent="0.25">
      <c r="A2426" s="1">
        <v>42501</v>
      </c>
      <c r="B2426">
        <v>1.9587500095367401</v>
      </c>
      <c r="C2426">
        <f>C2427*(1+G2426*3)</f>
        <v>1.7769048600978323</v>
      </c>
      <c r="D2426">
        <f t="shared" si="76"/>
        <v>1.9594021360717717</v>
      </c>
      <c r="F2426">
        <v>4361.02978515625</v>
      </c>
      <c r="G2426">
        <f t="shared" si="75"/>
        <v>-9.316192842940163E-3</v>
      </c>
    </row>
    <row r="2427" spans="1:7" x14ac:dyDescent="0.25">
      <c r="A2427" s="1">
        <v>42500</v>
      </c>
      <c r="B2427">
        <v>2.01375007629394</v>
      </c>
      <c r="C2427">
        <f>C2428*(1+G2427*3)</f>
        <v>1.8279947139098094</v>
      </c>
      <c r="D2427">
        <f t="shared" si="76"/>
        <v>2.015622072395586</v>
      </c>
      <c r="F2427">
        <v>4402.0400390625</v>
      </c>
      <c r="G2427">
        <f t="shared" si="75"/>
        <v>1.4007564415461804E-2</v>
      </c>
    </row>
    <row r="2428" spans="1:7" x14ac:dyDescent="0.25">
      <c r="A2428" s="1">
        <v>42499</v>
      </c>
      <c r="B2428">
        <v>1.9327080249786299</v>
      </c>
      <c r="C2428">
        <f>C2429*(1+G2428*3)</f>
        <v>1.7542753394503872</v>
      </c>
      <c r="D2428">
        <f t="shared" si="76"/>
        <v>1.9342312280573206</v>
      </c>
      <c r="F2428">
        <v>4341.22998046875</v>
      </c>
      <c r="G2428">
        <f t="shared" si="75"/>
        <v>2.5541858156368225E-3</v>
      </c>
    </row>
    <row r="2429" spans="1:7" x14ac:dyDescent="0.25">
      <c r="A2429" s="1">
        <v>42496</v>
      </c>
      <c r="B2429">
        <v>1.9158329963684</v>
      </c>
      <c r="C2429">
        <f>C2430*(1+G2429*3)</f>
        <v>1.7409353225301443</v>
      </c>
      <c r="D2429">
        <f t="shared" si="76"/>
        <v>1.919415196831934</v>
      </c>
      <c r="F2429">
        <v>4330.169921875</v>
      </c>
      <c r="G2429">
        <f t="shared" si="75"/>
        <v>4.8010297066050089E-3</v>
      </c>
    </row>
    <row r="2430" spans="1:7" x14ac:dyDescent="0.25">
      <c r="A2430" s="1">
        <v>42495</v>
      </c>
      <c r="B2430">
        <v>1.8885420560836701</v>
      </c>
      <c r="C2430">
        <f>C2431*(1+G2430*3)</f>
        <v>1.7162165032844412</v>
      </c>
      <c r="D2430">
        <f t="shared" si="76"/>
        <v>1.8920568761148251</v>
      </c>
      <c r="F2430">
        <v>4309.47998046875</v>
      </c>
      <c r="G2430">
        <f t="shared" si="75"/>
        <v>-5.8668354056556904E-4</v>
      </c>
    </row>
    <row r="2431" spans="1:7" x14ac:dyDescent="0.25">
      <c r="A2431" s="1">
        <v>42494</v>
      </c>
      <c r="B2431">
        <v>1.88958299160003</v>
      </c>
      <c r="C2431">
        <f>C2432*(1+G2431*3)</f>
        <v>1.7192424570398015</v>
      </c>
      <c r="D2431">
        <f t="shared" si="76"/>
        <v>1.8952856355159355</v>
      </c>
      <c r="F2431">
        <v>4312.009765625</v>
      </c>
      <c r="G2431">
        <f t="shared" si="75"/>
        <v>-6.7675030735560027E-3</v>
      </c>
    </row>
    <row r="2432" spans="1:7" x14ac:dyDescent="0.25">
      <c r="A2432" s="1">
        <v>42493</v>
      </c>
      <c r="B2432">
        <v>1.927708029747</v>
      </c>
      <c r="C2432">
        <f>C2433*(1+G2432*3)</f>
        <v>1.7548707363455371</v>
      </c>
      <c r="D2432">
        <f t="shared" si="76"/>
        <v>1.9344505851962335</v>
      </c>
      <c r="F2432">
        <v>4341.39013671875</v>
      </c>
      <c r="G2432">
        <f t="shared" si="75"/>
        <v>-9.1090931339715686E-3</v>
      </c>
    </row>
    <row r="2433" spans="1:7" x14ac:dyDescent="0.25">
      <c r="A2433" s="1">
        <v>42492</v>
      </c>
      <c r="B2433">
        <v>1.9804170131683301</v>
      </c>
      <c r="C2433">
        <f>C2434*(1+G2433*3)</f>
        <v>1.8041739006173498</v>
      </c>
      <c r="D2433">
        <f t="shared" si="76"/>
        <v>1.9886835830553073</v>
      </c>
      <c r="F2433">
        <v>4381.2998046875</v>
      </c>
      <c r="G2433">
        <f t="shared" si="75"/>
        <v>9.2138303732929305E-3</v>
      </c>
    </row>
    <row r="2434" spans="1:7" x14ac:dyDescent="0.25">
      <c r="A2434" s="1">
        <v>42489</v>
      </c>
      <c r="B2434">
        <v>1.9293750524520801</v>
      </c>
      <c r="C2434">
        <f>C2435*(1+G2434*3)</f>
        <v>1.7556452480828113</v>
      </c>
      <c r="D2434">
        <f t="shared" si="76"/>
        <v>1.9350856433986061</v>
      </c>
      <c r="F2434">
        <v>4341.2998046875</v>
      </c>
      <c r="G2434">
        <f t="shared" ref="G2434:G2497" si="77">F2434/F2435-1</f>
        <v>-5.1994684838586602E-3</v>
      </c>
    </row>
    <row r="2435" spans="1:7" x14ac:dyDescent="0.25">
      <c r="A2435" s="1">
        <v>42488</v>
      </c>
      <c r="B2435">
        <v>1.9606250524520801</v>
      </c>
      <c r="C2435">
        <f>C2436*(1+G2435*3)</f>
        <v>1.7834644496773504</v>
      </c>
      <c r="D2435">
        <f t="shared" si="76"/>
        <v>1.9656354091048702</v>
      </c>
      <c r="F2435">
        <v>4363.990234375</v>
      </c>
      <c r="G2435">
        <f t="shared" si="77"/>
        <v>-1.1918510229337875E-2</v>
      </c>
    </row>
    <row r="2436" spans="1:7" x14ac:dyDescent="0.25">
      <c r="A2436" s="1">
        <v>42487</v>
      </c>
      <c r="B2436">
        <v>2.0327079296111998</v>
      </c>
      <c r="C2436">
        <f>C2437*(1+G2436*3)</f>
        <v>1.8495978005970819</v>
      </c>
      <c r="D2436">
        <f t="shared" si="76"/>
        <v>2.0384045224354672</v>
      </c>
      <c r="F2436">
        <v>4416.6298828125</v>
      </c>
      <c r="G2436">
        <f t="shared" si="77"/>
        <v>-8.1609196284563312E-3</v>
      </c>
    </row>
    <row r="2437" spans="1:7" x14ac:dyDescent="0.25">
      <c r="A2437" s="1">
        <v>42486</v>
      </c>
      <c r="B2437">
        <v>2.0827078819274898</v>
      </c>
      <c r="C2437">
        <f>C2438*(1+G2437*3)</f>
        <v>1.8960175408932003</v>
      </c>
      <c r="D2437">
        <f t="shared" si="76"/>
        <v>2.089441818135803</v>
      </c>
      <c r="F2437">
        <v>4452.97021484375</v>
      </c>
      <c r="G2437">
        <f t="shared" si="77"/>
        <v>-4.7293369935538232E-3</v>
      </c>
    </row>
    <row r="2438" spans="1:7" x14ac:dyDescent="0.25">
      <c r="A2438" s="1">
        <v>42485</v>
      </c>
      <c r="B2438">
        <v>2.1116669178009002</v>
      </c>
      <c r="C2438">
        <f>C2439*(1+G2438*3)</f>
        <v>1.9233054193014145</v>
      </c>
      <c r="D2438">
        <f t="shared" si="76"/>
        <v>2.1193920802156221</v>
      </c>
      <c r="F2438">
        <v>4474.1298828125</v>
      </c>
      <c r="G2438">
        <f t="shared" si="77"/>
        <v>-1.3423344680574267E-5</v>
      </c>
    </row>
    <row r="2439" spans="1:7" x14ac:dyDescent="0.25">
      <c r="A2439" s="1">
        <v>42482</v>
      </c>
      <c r="B2439">
        <v>2.1133329868316602</v>
      </c>
      <c r="C2439">
        <f>C2440*(1+G2439*3)</f>
        <v>1.9233828739952257</v>
      </c>
      <c r="D2439">
        <f t="shared" si="76"/>
        <v>2.1193577327368871</v>
      </c>
      <c r="F2439">
        <v>4474.18994140625</v>
      </c>
      <c r="G2439">
        <f t="shared" si="77"/>
        <v>-1.4669191804599691E-2</v>
      </c>
    </row>
    <row r="2440" spans="1:7" x14ac:dyDescent="0.25">
      <c r="A2440" s="1">
        <v>42481</v>
      </c>
      <c r="B2440">
        <v>2.2135419845581001</v>
      </c>
      <c r="C2440">
        <f>C2441*(1+G2440*3)</f>
        <v>2.0119227145840171</v>
      </c>
      <c r="D2440">
        <f t="shared" si="76"/>
        <v>2.2167880012632812</v>
      </c>
      <c r="F2440">
        <v>4540.7998046875</v>
      </c>
      <c r="G2440">
        <f t="shared" si="77"/>
        <v>7.9257359615780842E-5</v>
      </c>
    </row>
    <row r="2441" spans="1:7" x14ac:dyDescent="0.25">
      <c r="A2441" s="1">
        <v>42480</v>
      </c>
      <c r="B2441">
        <v>2.2129170894622798</v>
      </c>
      <c r="C2441">
        <f>C2442*(1+G2441*3)</f>
        <v>2.0114444492558317</v>
      </c>
      <c r="D2441">
        <f t="shared" si="76"/>
        <v>2.2161359062343431</v>
      </c>
      <c r="F2441">
        <v>4540.43994140625</v>
      </c>
      <c r="G2441">
        <f t="shared" si="77"/>
        <v>7.3838027714279164E-4</v>
      </c>
    </row>
    <row r="2442" spans="1:7" x14ac:dyDescent="0.25">
      <c r="A2442" s="1">
        <v>42479</v>
      </c>
      <c r="B2442">
        <v>2.2074999809265101</v>
      </c>
      <c r="C2442">
        <f>C2443*(1+G2442*3)</f>
        <v>2.0069986645653306</v>
      </c>
      <c r="D2442">
        <f t="shared" si="76"/>
        <v>2.2111131031997959</v>
      </c>
      <c r="F2442">
        <v>4537.08984375</v>
      </c>
      <c r="G2442">
        <f t="shared" si="77"/>
        <v>-7.0514398083254548E-3</v>
      </c>
    </row>
    <row r="2443" spans="1:7" x14ac:dyDescent="0.25">
      <c r="A2443" s="1">
        <v>42478</v>
      </c>
      <c r="B2443">
        <v>2.2462499141693102</v>
      </c>
      <c r="C2443">
        <f>C2444*(1+G2443*3)</f>
        <v>2.0503729080015121</v>
      </c>
      <c r="D2443">
        <f t="shared" si="76"/>
        <v>2.2587682405512592</v>
      </c>
      <c r="F2443">
        <v>4569.31005859375</v>
      </c>
      <c r="G2443">
        <f t="shared" si="77"/>
        <v>5.7558838879532281E-3</v>
      </c>
    </row>
    <row r="2444" spans="1:7" x14ac:dyDescent="0.25">
      <c r="A2444" s="1">
        <v>42475</v>
      </c>
      <c r="B2444">
        <v>2.2135419845581001</v>
      </c>
      <c r="C2444">
        <f>C2445*(1+G2444*3)</f>
        <v>2.0155687686007595</v>
      </c>
      <c r="D2444">
        <f t="shared" si="76"/>
        <v>2.2203034193632054</v>
      </c>
      <c r="F2444">
        <v>4543.16015625</v>
      </c>
      <c r="G2444">
        <f t="shared" si="77"/>
        <v>-2.5182565559899173E-3</v>
      </c>
    </row>
    <row r="2445" spans="1:7" x14ac:dyDescent="0.25">
      <c r="A2445" s="1">
        <v>42474</v>
      </c>
      <c r="B2445">
        <v>2.2306249141693102</v>
      </c>
      <c r="C2445">
        <f>C2446*(1+G2445*3)</f>
        <v>2.0309118397661456</v>
      </c>
      <c r="D2445">
        <f t="shared" si="76"/>
        <v>2.2370776834837165</v>
      </c>
      <c r="F2445">
        <v>4554.6298828125</v>
      </c>
      <c r="G2445">
        <f t="shared" si="77"/>
        <v>-1.9832619126747275E-5</v>
      </c>
    </row>
    <row r="2446" spans="1:7" x14ac:dyDescent="0.25">
      <c r="A2446" s="1">
        <v>42473</v>
      </c>
      <c r="B2446">
        <v>2.2291669845581001</v>
      </c>
      <c r="C2446">
        <f>C2447*(1+G2446*3)</f>
        <v>2.0310326818589854</v>
      </c>
      <c r="D2446">
        <f t="shared" si="76"/>
        <v>2.2370844423255338</v>
      </c>
      <c r="F2446">
        <v>4554.72021484375</v>
      </c>
      <c r="G2446">
        <f t="shared" si="77"/>
        <v>1.3051524290581318E-2</v>
      </c>
    </row>
    <row r="2447" spans="1:7" x14ac:dyDescent="0.25">
      <c r="A2447" s="1">
        <v>42472</v>
      </c>
      <c r="B2447">
        <v>2.1454169750213601</v>
      </c>
      <c r="C2447">
        <f>C2448*(1+G2447*3)</f>
        <v>1.9545048781781791</v>
      </c>
      <c r="D2447">
        <f t="shared" si="76"/>
        <v>2.1526757663858103</v>
      </c>
      <c r="F2447">
        <v>4496.0400390625</v>
      </c>
      <c r="G2447">
        <f t="shared" si="77"/>
        <v>8.3723943589169014E-3</v>
      </c>
    </row>
    <row r="2448" spans="1:7" x14ac:dyDescent="0.25">
      <c r="A2448" s="1">
        <v>42471</v>
      </c>
      <c r="B2448">
        <v>2.0964579582214302</v>
      </c>
      <c r="C2448">
        <f>C2449*(1+G2448*3)</f>
        <v>1.9066160537003163</v>
      </c>
      <c r="D2448">
        <f t="shared" si="76"/>
        <v>2.0998157200960734</v>
      </c>
      <c r="F2448">
        <v>4458.7099609375</v>
      </c>
      <c r="G2448">
        <f t="shared" si="77"/>
        <v>-3.6246855719750393E-3</v>
      </c>
    </row>
    <row r="2449" spans="1:7" x14ac:dyDescent="0.25">
      <c r="A2449" s="1">
        <v>42468</v>
      </c>
      <c r="B2449">
        <v>2.1191670894622798</v>
      </c>
      <c r="C2449">
        <f>C2450*(1+G2449*3)</f>
        <v>1.9275766313135112</v>
      </c>
      <c r="D2449">
        <f t="shared" si="76"/>
        <v>2.1227790525981631</v>
      </c>
      <c r="F2449">
        <v>4474.93017578125</v>
      </c>
      <c r="G2449">
        <f t="shared" si="77"/>
        <v>-8.0411163993598933E-5</v>
      </c>
    </row>
    <row r="2450" spans="1:7" x14ac:dyDescent="0.25">
      <c r="A2450" s="1">
        <v>42467</v>
      </c>
      <c r="B2450">
        <v>2.1241669654846098</v>
      </c>
      <c r="C2450">
        <f>C2451*(1+G2450*3)</f>
        <v>1.9280417395550289</v>
      </c>
      <c r="D2450">
        <f t="shared" si="76"/>
        <v>2.1231713231651814</v>
      </c>
      <c r="F2450">
        <v>4475.2900390625</v>
      </c>
      <c r="G2450">
        <f t="shared" si="77"/>
        <v>-1.5073297856003975E-2</v>
      </c>
    </row>
    <row r="2451" spans="1:7" x14ac:dyDescent="0.25">
      <c r="A2451" s="1">
        <v>42466</v>
      </c>
      <c r="B2451">
        <v>2.2200000286102202</v>
      </c>
      <c r="C2451">
        <f>C2452*(1+G2451*3)</f>
        <v>2.0193568409799805</v>
      </c>
      <c r="D2451">
        <f t="shared" si="76"/>
        <v>2.223596540946299</v>
      </c>
      <c r="F2451">
        <v>4543.77978515625</v>
      </c>
      <c r="G2451">
        <f t="shared" si="77"/>
        <v>1.6335018767824172E-2</v>
      </c>
    </row>
    <row r="2452" spans="1:7" x14ac:dyDescent="0.25">
      <c r="A2452" s="1">
        <v>42465</v>
      </c>
      <c r="B2452">
        <v>2.1185419559478702</v>
      </c>
      <c r="C2452">
        <f>C2453*(1+G2452*3)</f>
        <v>1.9250210748229126</v>
      </c>
      <c r="D2452">
        <f t="shared" si="76"/>
        <v>2.1196054485233446</v>
      </c>
      <c r="F2452">
        <v>4470.75</v>
      </c>
      <c r="G2452">
        <f t="shared" si="77"/>
        <v>-9.0764442537750734E-3</v>
      </c>
    </row>
    <row r="2453" spans="1:7" x14ac:dyDescent="0.25">
      <c r="A2453" s="1">
        <v>42464</v>
      </c>
      <c r="B2453">
        <v>2.1770830154418901</v>
      </c>
      <c r="C2453">
        <f>C2454*(1+G2453*3)</f>
        <v>1.9789053470200884</v>
      </c>
      <c r="D2453">
        <f t="shared" si="76"/>
        <v>2.1788099375934902</v>
      </c>
      <c r="F2453">
        <v>4511.7001953125</v>
      </c>
      <c r="G2453">
        <f t="shared" si="77"/>
        <v>-4.4968055420882003E-3</v>
      </c>
    </row>
    <row r="2454" spans="1:7" x14ac:dyDescent="0.25">
      <c r="A2454" s="1">
        <v>42461</v>
      </c>
      <c r="B2454">
        <v>2.2043750286102202</v>
      </c>
      <c r="C2454">
        <f>C2455*(1+G2454*3)</f>
        <v>2.0059666731796844</v>
      </c>
      <c r="D2454">
        <f t="shared" si="76"/>
        <v>2.2084785054180727</v>
      </c>
      <c r="F2454">
        <v>4532.080078125</v>
      </c>
      <c r="G2454">
        <f t="shared" si="77"/>
        <v>1.0799195342114709E-2</v>
      </c>
    </row>
    <row r="2455" spans="1:7" x14ac:dyDescent="0.25">
      <c r="A2455" s="1">
        <v>42460</v>
      </c>
      <c r="B2455">
        <v>2.1333329677581698</v>
      </c>
      <c r="C2455">
        <f>C2456*(1+G2455*3)</f>
        <v>1.9430175935422007</v>
      </c>
      <c r="D2455">
        <f t="shared" si="76"/>
        <v>2.1390574025469182</v>
      </c>
      <c r="F2455">
        <v>4483.66015625</v>
      </c>
      <c r="G2455">
        <f t="shared" si="77"/>
        <v>-1.6076418766245437E-3</v>
      </c>
    </row>
    <row r="2456" spans="1:7" x14ac:dyDescent="0.25">
      <c r="A2456" s="1">
        <v>42459</v>
      </c>
      <c r="B2456">
        <v>2.1458330154418901</v>
      </c>
      <c r="C2456">
        <f>C2457*(1+G2456*3)</f>
        <v>1.9524340377032776</v>
      </c>
      <c r="D2456">
        <f t="shared" ref="D2456:D2513" si="78">D2457*(1+3*G2456--0.0000564765848304393)</f>
        <v>2.1493019407298193</v>
      </c>
      <c r="F2456">
        <v>4490.8798828125</v>
      </c>
      <c r="G2456">
        <f t="shared" si="77"/>
        <v>5.1837775990992707E-3</v>
      </c>
    </row>
    <row r="2457" spans="1:7" x14ac:dyDescent="0.25">
      <c r="A2457" s="1">
        <v>42458</v>
      </c>
      <c r="B2457">
        <v>2.1141669750213601</v>
      </c>
      <c r="C2457">
        <f>C2458*(1+G2457*3)</f>
        <v>1.9225360399315037</v>
      </c>
      <c r="D2457">
        <f t="shared" si="78"/>
        <v>2.1162715773497287</v>
      </c>
      <c r="F2457">
        <v>4467.72021484375</v>
      </c>
      <c r="G2457">
        <f t="shared" si="77"/>
        <v>1.5836581366093228E-2</v>
      </c>
    </row>
    <row r="2458" spans="1:7" x14ac:dyDescent="0.25">
      <c r="A2458" s="1">
        <v>42457</v>
      </c>
      <c r="B2458">
        <v>2.0177080631256099</v>
      </c>
      <c r="C2458">
        <f>C2459*(1+G2458*3)</f>
        <v>1.8353395285945207</v>
      </c>
      <c r="D2458">
        <f t="shared" si="78"/>
        <v>2.0201792837208168</v>
      </c>
      <c r="F2458">
        <v>4398.06982421875</v>
      </c>
      <c r="G2458">
        <f t="shared" si="77"/>
        <v>-1.6933175580006177E-3</v>
      </c>
    </row>
    <row r="2459" spans="1:7" x14ac:dyDescent="0.25">
      <c r="A2459" s="1">
        <v>42453</v>
      </c>
      <c r="B2459">
        <v>2.0250000953674299</v>
      </c>
      <c r="C2459">
        <f>C2460*(1+G2459*3)</f>
        <v>1.844710570992393</v>
      </c>
      <c r="D2459">
        <f t="shared" si="78"/>
        <v>2.0303788432920538</v>
      </c>
      <c r="F2459">
        <v>4405.52978515625</v>
      </c>
      <c r="G2459">
        <f t="shared" si="77"/>
        <v>6.7454538336231273E-4</v>
      </c>
    </row>
    <row r="2460" spans="1:7" x14ac:dyDescent="0.25">
      <c r="A2460" s="1">
        <v>42452</v>
      </c>
      <c r="B2460">
        <v>2.0256249904632502</v>
      </c>
      <c r="C2460">
        <f>C2461*(1+G2460*3)</f>
        <v>1.8409850870185314</v>
      </c>
      <c r="D2460">
        <f t="shared" si="78"/>
        <v>2.0261641933504317</v>
      </c>
      <c r="F2460">
        <v>4402.56005859375</v>
      </c>
      <c r="G2460">
        <f t="shared" si="77"/>
        <v>-7.9006444147748933E-3</v>
      </c>
    </row>
    <row r="2461" spans="1:7" x14ac:dyDescent="0.25">
      <c r="A2461" s="1">
        <v>42451</v>
      </c>
      <c r="B2461">
        <v>2.07500004768371</v>
      </c>
      <c r="C2461">
        <f>C2462*(1+G2461*3)</f>
        <v>1.8856793326819619</v>
      </c>
      <c r="D2461">
        <f t="shared" si="78"/>
        <v>2.075234050141356</v>
      </c>
      <c r="F2461">
        <v>4437.6201171875</v>
      </c>
      <c r="G2461">
        <f t="shared" si="77"/>
        <v>2.4034752281900662E-3</v>
      </c>
    </row>
    <row r="2462" spans="1:7" x14ac:dyDescent="0.25">
      <c r="A2462" s="1">
        <v>42450</v>
      </c>
      <c r="B2462">
        <v>2.0566670894622798</v>
      </c>
      <c r="C2462">
        <f>C2463*(1+G2462*3)</f>
        <v>1.8721801170796293</v>
      </c>
      <c r="D2462">
        <f t="shared" si="78"/>
        <v>2.060262325174981</v>
      </c>
      <c r="F2462">
        <v>4426.97998046875</v>
      </c>
      <c r="G2462">
        <f t="shared" si="77"/>
        <v>3.6614201993052653E-3</v>
      </c>
    </row>
    <row r="2463" spans="1:7" x14ac:dyDescent="0.25">
      <c r="A2463" s="1">
        <v>42447</v>
      </c>
      <c r="B2463">
        <v>2.0325000286102202</v>
      </c>
      <c r="C2463">
        <f>C2464*(1+G2463*3)</f>
        <v>1.8518390345388616</v>
      </c>
      <c r="D2463">
        <f t="shared" si="78"/>
        <v>2.0377639094106916</v>
      </c>
      <c r="F2463">
        <v>4410.830078125</v>
      </c>
      <c r="G2463">
        <f t="shared" si="77"/>
        <v>2.4022019296623398E-3</v>
      </c>
    </row>
    <row r="2464" spans="1:7" x14ac:dyDescent="0.25">
      <c r="A2464" s="1">
        <v>42446</v>
      </c>
      <c r="B2464">
        <v>2.0208330154418901</v>
      </c>
      <c r="C2464">
        <f>C2465*(1+G2464*3)</f>
        <v>1.8385890480615332</v>
      </c>
      <c r="D2464">
        <f t="shared" si="78"/>
        <v>2.0230701840161678</v>
      </c>
      <c r="F2464">
        <v>4400.259765625</v>
      </c>
      <c r="G2464">
        <f t="shared" si="77"/>
        <v>-8.9469813195452996E-4</v>
      </c>
    </row>
    <row r="2465" spans="1:7" x14ac:dyDescent="0.25">
      <c r="A2465" s="1">
        <v>42445</v>
      </c>
      <c r="B2465">
        <v>2.0266671180725</v>
      </c>
      <c r="C2465">
        <f>C2466*(1+G2465*3)</f>
        <v>1.8435372761329674</v>
      </c>
      <c r="D2465">
        <f t="shared" si="78"/>
        <v>2.0284000440999455</v>
      </c>
      <c r="F2465">
        <v>4404.2001953125</v>
      </c>
      <c r="G2465">
        <f t="shared" si="77"/>
        <v>8.4999854647587192E-3</v>
      </c>
    </row>
    <row r="2466" spans="1:7" x14ac:dyDescent="0.25">
      <c r="A2466" s="1">
        <v>42444</v>
      </c>
      <c r="B2466">
        <v>1.9762500524520801</v>
      </c>
      <c r="C2466">
        <f>C2467*(1+G2466*3)</f>
        <v>1.7976961038740198</v>
      </c>
      <c r="D2466">
        <f t="shared" si="78"/>
        <v>1.9778531720655388</v>
      </c>
      <c r="F2466">
        <v>4367.080078125</v>
      </c>
      <c r="G2466">
        <f t="shared" si="77"/>
        <v>-5.724321164823909E-5</v>
      </c>
    </row>
    <row r="2467" spans="1:7" x14ac:dyDescent="0.25">
      <c r="A2467" s="1">
        <v>42443</v>
      </c>
      <c r="B2467">
        <v>1.97749996185302</v>
      </c>
      <c r="C2467">
        <f>C2468*(1+G2467*3)</f>
        <v>1.7980048745947628</v>
      </c>
      <c r="D2467">
        <f t="shared" si="78"/>
        <v>1.9780811519516748</v>
      </c>
      <c r="F2467">
        <v>4367.330078125</v>
      </c>
      <c r="G2467">
        <f t="shared" si="77"/>
        <v>1.2609386201409833E-3</v>
      </c>
    </row>
    <row r="2468" spans="1:7" x14ac:dyDescent="0.25">
      <c r="A2468" s="1">
        <v>42440</v>
      </c>
      <c r="B2468">
        <v>1.96604204177856</v>
      </c>
      <c r="C2468">
        <f>C2469*(1+G2468*3)</f>
        <v>1.7912289851799748</v>
      </c>
      <c r="D2468">
        <f t="shared" si="78"/>
        <v>1.970515765659326</v>
      </c>
      <c r="F2468">
        <v>4361.830078125</v>
      </c>
      <c r="G2468">
        <f t="shared" si="77"/>
        <v>1.746218413695666E-2</v>
      </c>
    </row>
    <row r="2469" spans="1:7" x14ac:dyDescent="0.25">
      <c r="A2469" s="1">
        <v>42439</v>
      </c>
      <c r="B2469">
        <v>1.8691669702529901</v>
      </c>
      <c r="C2469">
        <f>C2470*(1+G2469*3)</f>
        <v>1.7020637341635736</v>
      </c>
      <c r="D2469">
        <f t="shared" si="78"/>
        <v>1.8723253528884136</v>
      </c>
      <c r="F2469">
        <v>4286.97021484375</v>
      </c>
      <c r="G2469">
        <f t="shared" si="77"/>
        <v>-1.4580550432838901E-3</v>
      </c>
    </row>
    <row r="2470" spans="1:7" x14ac:dyDescent="0.25">
      <c r="A2470" s="1">
        <v>42438</v>
      </c>
      <c r="B2470">
        <v>1.8762500286102199</v>
      </c>
      <c r="C2470">
        <f>C2471*(1+G2470*3)</f>
        <v>1.7095415512048866</v>
      </c>
      <c r="D2470">
        <f t="shared" si="78"/>
        <v>1.8804445266808112</v>
      </c>
      <c r="F2470">
        <v>4293.22998046875</v>
      </c>
      <c r="G2470">
        <f t="shared" si="77"/>
        <v>6.4986874645422965E-3</v>
      </c>
    </row>
    <row r="2471" spans="1:7" x14ac:dyDescent="0.25">
      <c r="A2471" s="1">
        <v>42437</v>
      </c>
      <c r="B2471">
        <v>1.84104204177856</v>
      </c>
      <c r="C2471">
        <f>C2472*(1+G2471*3)</f>
        <v>1.6768495870313951</v>
      </c>
      <c r="D2471">
        <f t="shared" si="78"/>
        <v>1.8443821723644827</v>
      </c>
      <c r="F2471">
        <v>4265.509765625</v>
      </c>
      <c r="G2471">
        <f t="shared" si="77"/>
        <v>-8.7886152847653776E-3</v>
      </c>
    </row>
    <row r="2472" spans="1:7" x14ac:dyDescent="0.25">
      <c r="A2472" s="1">
        <v>42436</v>
      </c>
      <c r="B2472">
        <v>1.89104199409484</v>
      </c>
      <c r="C2472">
        <f>C2473*(1+G2472*3)</f>
        <v>1.7222583861622169</v>
      </c>
      <c r="D2472">
        <f t="shared" si="78"/>
        <v>1.8942178492368684</v>
      </c>
      <c r="F2472">
        <v>4303.330078125</v>
      </c>
      <c r="G2472">
        <f t="shared" si="77"/>
        <v>-5.9297578828828579E-3</v>
      </c>
    </row>
    <row r="2473" spans="1:7" x14ac:dyDescent="0.25">
      <c r="A2473" s="1">
        <v>42433</v>
      </c>
      <c r="B2473">
        <v>1.92687499523162</v>
      </c>
      <c r="C2473">
        <f>C2474*(1+G2473*3)</f>
        <v>1.7534510059363162</v>
      </c>
      <c r="D2473">
        <f t="shared" si="78"/>
        <v>1.9284140237755003</v>
      </c>
      <c r="F2473">
        <v>4329</v>
      </c>
      <c r="G2473">
        <f t="shared" si="77"/>
        <v>7.2589885433038681E-4</v>
      </c>
    </row>
    <row r="2474" spans="1:7" x14ac:dyDescent="0.25">
      <c r="A2474" s="1">
        <v>42432</v>
      </c>
      <c r="B2474">
        <v>1.9235420227050699</v>
      </c>
      <c r="C2474">
        <f>C2475*(1+G2474*3)</f>
        <v>1.7496408191380104</v>
      </c>
      <c r="D2474">
        <f t="shared" si="78"/>
        <v>1.9241152172238636</v>
      </c>
      <c r="F2474">
        <v>4325.85986328125</v>
      </c>
      <c r="G2474">
        <f t="shared" si="77"/>
        <v>-1.9680446772052385E-3</v>
      </c>
    </row>
    <row r="2475" spans="1:7" x14ac:dyDescent="0.25">
      <c r="A2475" s="1">
        <v>42431</v>
      </c>
      <c r="B2475">
        <v>1.93437504768371</v>
      </c>
      <c r="C2475">
        <f>C2476*(1+G2475*3)</f>
        <v>1.7600322856524735</v>
      </c>
      <c r="D2475">
        <f t="shared" si="78"/>
        <v>1.9354329662215428</v>
      </c>
      <c r="F2475">
        <v>4334.39013671875</v>
      </c>
      <c r="G2475">
        <f t="shared" si="77"/>
        <v>1.8005161103928913E-4</v>
      </c>
    </row>
    <row r="2476" spans="1:7" x14ac:dyDescent="0.25">
      <c r="A2476" s="1">
        <v>42430</v>
      </c>
      <c r="B2476">
        <v>1.9322919845580999</v>
      </c>
      <c r="C2476">
        <f>C2477*(1+G2476*3)</f>
        <v>1.7590821089494733</v>
      </c>
      <c r="D2476">
        <f t="shared" si="78"/>
        <v>1.9342789146499875</v>
      </c>
      <c r="F2476">
        <v>4333.60986328125</v>
      </c>
      <c r="G2476">
        <f t="shared" si="77"/>
        <v>3.1536766956915097E-2</v>
      </c>
    </row>
    <row r="2477" spans="1:7" x14ac:dyDescent="0.25">
      <c r="A2477" s="1">
        <v>42429</v>
      </c>
      <c r="B2477">
        <v>1.7635420560836701</v>
      </c>
      <c r="C2477">
        <f>C2478*(1+G2477*3)</f>
        <v>1.607039608114551</v>
      </c>
      <c r="D2477">
        <f t="shared" si="78"/>
        <v>1.7670024837567386</v>
      </c>
      <c r="F2477">
        <v>4201.1201171875</v>
      </c>
      <c r="G2477">
        <f t="shared" si="77"/>
        <v>-8.1452063795816043E-3</v>
      </c>
    </row>
    <row r="2478" spans="1:7" x14ac:dyDescent="0.25">
      <c r="A2478" s="1">
        <v>42426</v>
      </c>
      <c r="B2478">
        <v>1.81145799160003</v>
      </c>
      <c r="C2478">
        <f>C2479*(1+G2478*3)</f>
        <v>1.6472922132476917</v>
      </c>
      <c r="D2478">
        <f t="shared" si="78"/>
        <v>1.8111569369091578</v>
      </c>
      <c r="F2478">
        <v>4235.6201171875</v>
      </c>
      <c r="G2478">
        <f t="shared" si="77"/>
        <v>-1.2826843598281457E-3</v>
      </c>
    </row>
    <row r="2479" spans="1:7" x14ac:dyDescent="0.25">
      <c r="A2479" s="1">
        <v>42425</v>
      </c>
      <c r="B2479">
        <v>1.81562495231628</v>
      </c>
      <c r="C2479">
        <f>C2480*(1+G2479*3)</f>
        <v>1.6536555676471831</v>
      </c>
      <c r="D2479">
        <f t="shared" si="78"/>
        <v>1.8180502133642504</v>
      </c>
      <c r="F2479">
        <v>4241.06005859375</v>
      </c>
      <c r="G2479">
        <f t="shared" si="77"/>
        <v>9.6175126863429217E-3</v>
      </c>
    </row>
    <row r="2480" spans="1:7" x14ac:dyDescent="0.25">
      <c r="A2480" s="1">
        <v>42424</v>
      </c>
      <c r="B2480">
        <v>1.7668750286102199</v>
      </c>
      <c r="C2480">
        <f>C2481*(1+G2480*3)</f>
        <v>1.6072814193245517</v>
      </c>
      <c r="D2480">
        <f t="shared" si="78"/>
        <v>1.766968884020848</v>
      </c>
      <c r="F2480">
        <v>4200.66015625</v>
      </c>
      <c r="G2480">
        <f t="shared" si="77"/>
        <v>9.1578980213451455E-3</v>
      </c>
    </row>
    <row r="2481" spans="1:7" x14ac:dyDescent="0.25">
      <c r="A2481" s="1">
        <v>42423</v>
      </c>
      <c r="B2481">
        <v>1.7158329486846899</v>
      </c>
      <c r="C2481">
        <f>C2482*(1+G2481*3)</f>
        <v>1.5643042041954027</v>
      </c>
      <c r="D2481">
        <f t="shared" si="78"/>
        <v>1.7196272523122511</v>
      </c>
      <c r="F2481">
        <v>4162.5400390625</v>
      </c>
      <c r="G2481">
        <f t="shared" si="77"/>
        <v>-1.6243345414378441E-2</v>
      </c>
    </row>
    <row r="2482" spans="1:7" x14ac:dyDescent="0.25">
      <c r="A2482" s="1">
        <v>42422</v>
      </c>
      <c r="B2482">
        <v>1.8058329820632899</v>
      </c>
      <c r="C2482">
        <f>C2483*(1+G2482*3)</f>
        <v>1.6444377135776187</v>
      </c>
      <c r="D2482">
        <f t="shared" si="78"/>
        <v>1.8076100688367283</v>
      </c>
      <c r="F2482">
        <v>4231.27001953125</v>
      </c>
      <c r="G2482">
        <f t="shared" si="77"/>
        <v>1.6133219575481306E-2</v>
      </c>
    </row>
    <row r="2483" spans="1:7" x14ac:dyDescent="0.25">
      <c r="A2483" s="1">
        <v>42419</v>
      </c>
      <c r="B2483">
        <v>1.7243750095367401</v>
      </c>
      <c r="C2483">
        <f>C2484*(1+G2483*3)</f>
        <v>1.5685217940410427</v>
      </c>
      <c r="D2483">
        <f t="shared" si="78"/>
        <v>1.724068378216004</v>
      </c>
      <c r="F2483">
        <v>4164.08984375</v>
      </c>
      <c r="G2483">
        <f t="shared" si="77"/>
        <v>3.0349606198452062E-3</v>
      </c>
    </row>
    <row r="2484" spans="1:7" x14ac:dyDescent="0.25">
      <c r="A2484" s="1">
        <v>42418</v>
      </c>
      <c r="B2484">
        <v>1.7066669464111299</v>
      </c>
      <c r="C2484">
        <f>C2485*(1+G2484*3)</f>
        <v>1.5543694438883671</v>
      </c>
      <c r="D2484">
        <f t="shared" si="78"/>
        <v>1.7084169580905033</v>
      </c>
      <c r="F2484">
        <v>4151.490234375</v>
      </c>
      <c r="G2484">
        <f t="shared" si="77"/>
        <v>-1.1338111065231304E-2</v>
      </c>
    </row>
    <row r="2485" spans="1:7" x14ac:dyDescent="0.25">
      <c r="A2485" s="1">
        <v>42417</v>
      </c>
      <c r="B2485">
        <v>1.76666700839996</v>
      </c>
      <c r="C2485">
        <f>C2486*(1+G2485*3)</f>
        <v>1.6091019745981991</v>
      </c>
      <c r="D2485">
        <f t="shared" si="78"/>
        <v>1.7684704231400461</v>
      </c>
      <c r="F2485">
        <v>4199.10009765625</v>
      </c>
      <c r="G2485">
        <f t="shared" si="77"/>
        <v>2.3090252910298092E-2</v>
      </c>
    </row>
    <row r="2486" spans="1:7" x14ac:dyDescent="0.25">
      <c r="A2486" s="1">
        <v>42416</v>
      </c>
      <c r="B2486">
        <v>1.6525000333786</v>
      </c>
      <c r="C2486">
        <f>C2487*(1+G2486*3)</f>
        <v>1.5048592336968278</v>
      </c>
      <c r="D2486">
        <f t="shared" si="78"/>
        <v>1.6538159365387297</v>
      </c>
      <c r="F2486">
        <v>4104.330078125</v>
      </c>
      <c r="G2486">
        <f t="shared" si="77"/>
        <v>2.1183407094455653E-2</v>
      </c>
    </row>
    <row r="2487" spans="1:7" x14ac:dyDescent="0.25">
      <c r="A2487" s="1">
        <v>42412</v>
      </c>
      <c r="B2487">
        <v>1.5493750572204501</v>
      </c>
      <c r="C2487">
        <f>C2488*(1+G2487*3)</f>
        <v>1.4149395144508938</v>
      </c>
      <c r="D2487">
        <f t="shared" si="78"/>
        <v>1.5549130518390841</v>
      </c>
      <c r="F2487">
        <v>4019.18994140625</v>
      </c>
      <c r="G2487">
        <f t="shared" si="77"/>
        <v>1.437829578477956E-2</v>
      </c>
    </row>
    <row r="2488" spans="1:7" x14ac:dyDescent="0.25">
      <c r="A2488" s="1">
        <v>42411</v>
      </c>
      <c r="B2488">
        <v>1.4860420227050699</v>
      </c>
      <c r="C2488">
        <f>C2489*(1+G2488*3)</f>
        <v>1.3564300567489871</v>
      </c>
      <c r="D2488">
        <f t="shared" si="78"/>
        <v>1.4905348199659314</v>
      </c>
      <c r="F2488">
        <v>3962.21997070312</v>
      </c>
      <c r="G2488">
        <f t="shared" si="77"/>
        <v>-1.0236439595188163E-3</v>
      </c>
    </row>
    <row r="2489" spans="1:7" x14ac:dyDescent="0.25">
      <c r="A2489" s="1">
        <v>42410</v>
      </c>
      <c r="B2489">
        <v>1.4895830154418901</v>
      </c>
      <c r="C2489">
        <f>C2490*(1+G2489*3)</f>
        <v>1.3606083924355488</v>
      </c>
      <c r="D2489">
        <f t="shared" si="78"/>
        <v>1.4950415558984498</v>
      </c>
      <c r="F2489">
        <v>3966.28002929687</v>
      </c>
      <c r="G2489">
        <f t="shared" si="77"/>
        <v>4.6810831957500021E-3</v>
      </c>
    </row>
    <row r="2490" spans="1:7" x14ac:dyDescent="0.25">
      <c r="A2490" s="1">
        <v>42409</v>
      </c>
      <c r="B2490">
        <v>1.4720829725265501</v>
      </c>
      <c r="C2490">
        <f>C2491*(1+G2490*3)</f>
        <v>1.3417656426285196</v>
      </c>
      <c r="D2490">
        <f t="shared" si="78"/>
        <v>1.4742549645899019</v>
      </c>
      <c r="F2490">
        <v>3947.80004882812</v>
      </c>
      <c r="G2490">
        <f t="shared" si="77"/>
        <v>-3.2494182299309671E-3</v>
      </c>
    </row>
    <row r="2491" spans="1:7" x14ac:dyDescent="0.25">
      <c r="A2491" s="1">
        <v>42408</v>
      </c>
      <c r="B2491">
        <v>1.48937499523162</v>
      </c>
      <c r="C2491">
        <f>C2492*(1+G2491*3)</f>
        <v>1.3549742769786253</v>
      </c>
      <c r="D2491">
        <f t="shared" si="78"/>
        <v>1.4886829494041682</v>
      </c>
      <c r="F2491">
        <v>3960.669921875</v>
      </c>
      <c r="G2491">
        <f t="shared" si="77"/>
        <v>-1.5853031403530005E-2</v>
      </c>
    </row>
    <row r="2492" spans="1:7" x14ac:dyDescent="0.25">
      <c r="A2492" s="1">
        <v>42405</v>
      </c>
      <c r="B2492">
        <v>1.56062495708465</v>
      </c>
      <c r="C2492">
        <f>C2493*(1+G2492*3)</f>
        <v>1.4226334345180021</v>
      </c>
      <c r="D2492">
        <f t="shared" si="78"/>
        <v>1.562926026834222</v>
      </c>
      <c r="F2492">
        <v>4024.46997070312</v>
      </c>
      <c r="G2492">
        <f t="shared" si="77"/>
        <v>-3.4382906963817295E-2</v>
      </c>
    </row>
    <row r="2493" spans="1:7" x14ac:dyDescent="0.25">
      <c r="A2493" s="1">
        <v>42404</v>
      </c>
      <c r="B2493">
        <v>1.7395830154418901</v>
      </c>
      <c r="C2493">
        <f>C2494*(1+G2493*3)</f>
        <v>1.5862534487680842</v>
      </c>
      <c r="D2493">
        <f t="shared" si="78"/>
        <v>1.7425716489941157</v>
      </c>
      <c r="F2493">
        <v>4167.77001953125</v>
      </c>
      <c r="G2493">
        <f t="shared" si="77"/>
        <v>-1.0067654120721192E-3</v>
      </c>
    </row>
    <row r="2494" spans="1:7" x14ac:dyDescent="0.25">
      <c r="A2494" s="1">
        <v>42403</v>
      </c>
      <c r="B2494">
        <v>1.7427079677581701</v>
      </c>
      <c r="C2494">
        <f>C2495*(1+G2494*3)</f>
        <v>1.591058918029808</v>
      </c>
      <c r="D2494">
        <f t="shared" si="78"/>
        <v>1.7477516697386295</v>
      </c>
      <c r="F2494">
        <v>4171.97021484375</v>
      </c>
      <c r="G2494">
        <f t="shared" si="77"/>
        <v>-5.0392030527272036E-3</v>
      </c>
    </row>
    <row r="2495" spans="1:7" x14ac:dyDescent="0.25">
      <c r="A2495" s="1">
        <v>42402</v>
      </c>
      <c r="B2495">
        <v>1.7677079439163199</v>
      </c>
      <c r="C2495">
        <f>C2496*(1+G2495*3)</f>
        <v>1.6154811303610235</v>
      </c>
      <c r="D2495">
        <f t="shared" si="78"/>
        <v>1.7744773077185823</v>
      </c>
      <c r="F2495">
        <v>4193.10009765625</v>
      </c>
      <c r="G2495">
        <f t="shared" si="77"/>
        <v>-2.1803021457760807E-2</v>
      </c>
    </row>
    <row r="2496" spans="1:7" x14ac:dyDescent="0.25">
      <c r="A2496" s="1">
        <v>42401</v>
      </c>
      <c r="B2496">
        <v>1.88750004768371</v>
      </c>
      <c r="C2496">
        <f>C2497*(1+G2496*3)</f>
        <v>1.7285435464636887</v>
      </c>
      <c r="D2496">
        <f t="shared" si="78"/>
        <v>1.8985526355011693</v>
      </c>
      <c r="F2496">
        <v>4286.56005859375</v>
      </c>
      <c r="G2496">
        <f t="shared" si="77"/>
        <v>1.7270023985194172E-3</v>
      </c>
    </row>
    <row r="2497" spans="1:7" x14ac:dyDescent="0.25">
      <c r="A2497" s="1">
        <v>42398</v>
      </c>
      <c r="B2497">
        <v>1.87687504291534</v>
      </c>
      <c r="C2497">
        <f>C2498*(1+G2497*3)</f>
        <v>1.7196341097672572</v>
      </c>
      <c r="D2497">
        <f t="shared" si="78"/>
        <v>1.8886608051674487</v>
      </c>
      <c r="F2497">
        <v>4279.169921875</v>
      </c>
      <c r="G2497">
        <f t="shared" si="77"/>
        <v>2.2242839801139613E-2</v>
      </c>
    </row>
    <row r="2498" spans="1:7" x14ac:dyDescent="0.25">
      <c r="A2498" s="1">
        <v>42397</v>
      </c>
      <c r="B2498">
        <v>1.7620830535888601</v>
      </c>
      <c r="C2498">
        <f>C2499*(1+G2498*3)</f>
        <v>1.6120634992762581</v>
      </c>
      <c r="D2498">
        <f t="shared" si="78"/>
        <v>1.7704231051898411</v>
      </c>
      <c r="F2498">
        <v>4186.06005859375</v>
      </c>
      <c r="G2498">
        <f t="shared" ref="G2498:G2561" si="79">F2498/F2499-1</f>
        <v>1.3853750722128577E-2</v>
      </c>
    </row>
    <row r="2499" spans="1:7" x14ac:dyDescent="0.25">
      <c r="A2499" s="1">
        <v>42396</v>
      </c>
      <c r="B2499">
        <v>1.69520795345306</v>
      </c>
      <c r="C2499">
        <f>C2500*(1+G2499*3)</f>
        <v>1.5477375871301486</v>
      </c>
      <c r="D2499">
        <f t="shared" si="78"/>
        <v>1.6996860329099635</v>
      </c>
      <c r="F2499">
        <v>4128.85986328125</v>
      </c>
      <c r="G2499">
        <f t="shared" si="79"/>
        <v>-2.4797815688637592E-2</v>
      </c>
    </row>
    <row r="2500" spans="1:7" x14ac:dyDescent="0.25">
      <c r="A2500" s="1">
        <v>42395</v>
      </c>
      <c r="B2500">
        <v>1.8314579725265501</v>
      </c>
      <c r="C2500">
        <f>C2501*(1+G2500*3)</f>
        <v>1.6721333510701317</v>
      </c>
      <c r="D2500">
        <f t="shared" si="78"/>
        <v>1.8361822593188348</v>
      </c>
      <c r="F2500">
        <v>4233.85009765625</v>
      </c>
      <c r="G2500">
        <f t="shared" si="79"/>
        <v>8.8931365701270249E-3</v>
      </c>
    </row>
    <row r="2501" spans="1:7" x14ac:dyDescent="0.25">
      <c r="A2501" s="1">
        <v>42394</v>
      </c>
      <c r="B2501">
        <v>1.7806249856948799</v>
      </c>
      <c r="C2501">
        <f>C2502*(1+G2501*3)</f>
        <v>1.6286811006970798</v>
      </c>
      <c r="D2501">
        <f t="shared" si="78"/>
        <v>1.7883686387395712</v>
      </c>
      <c r="F2501">
        <v>4196.52978515625</v>
      </c>
      <c r="G2501">
        <f t="shared" si="79"/>
        <v>-1.4845926912730123E-2</v>
      </c>
    </row>
    <row r="2502" spans="1:7" x14ac:dyDescent="0.25">
      <c r="A2502" s="1">
        <v>42391</v>
      </c>
      <c r="B2502">
        <v>1.8645830154418901</v>
      </c>
      <c r="C2502">
        <f>C2503*(1+G2502*3)</f>
        <v>1.7046002111474374</v>
      </c>
      <c r="D2502">
        <f t="shared" si="78"/>
        <v>1.8716207715381037</v>
      </c>
      <c r="F2502">
        <v>4259.77001953125</v>
      </c>
      <c r="G2502">
        <f t="shared" si="79"/>
        <v>2.8284149836546035E-2</v>
      </c>
    </row>
    <row r="2503" spans="1:7" x14ac:dyDescent="0.25">
      <c r="A2503" s="1">
        <v>42390</v>
      </c>
      <c r="B2503">
        <v>1.7166670560836701</v>
      </c>
      <c r="C2503">
        <f>C2504*(1+G2503*3)</f>
        <v>1.5712737819027189</v>
      </c>
      <c r="D2503">
        <f t="shared" si="78"/>
        <v>1.7251409095468462</v>
      </c>
      <c r="F2503">
        <v>4142.60009765625</v>
      </c>
      <c r="G2503">
        <f t="shared" si="79"/>
        <v>1.5280186129287276E-3</v>
      </c>
    </row>
    <row r="2504" spans="1:7" x14ac:dyDescent="0.25">
      <c r="A2504" s="1">
        <v>42389</v>
      </c>
      <c r="B2504">
        <v>1.71041703224182</v>
      </c>
      <c r="C2504">
        <f>C2505*(1+G2504*3)</f>
        <v>1.564103842550806</v>
      </c>
      <c r="D2504">
        <f t="shared" si="78"/>
        <v>1.7171723157387235</v>
      </c>
      <c r="F2504">
        <v>4136.27978515625</v>
      </c>
      <c r="G2504">
        <f t="shared" si="79"/>
        <v>-2.6018464891732762E-3</v>
      </c>
    </row>
    <row r="2505" spans="1:7" x14ac:dyDescent="0.25">
      <c r="A2505" s="1">
        <v>42388</v>
      </c>
      <c r="B2505">
        <v>1.72604203224182</v>
      </c>
      <c r="C2505">
        <f>C2506*(1+G2505*3)</f>
        <v>1.5764085617968475</v>
      </c>
      <c r="D2505">
        <f t="shared" si="78"/>
        <v>1.7305827099820696</v>
      </c>
      <c r="F2505">
        <v>4147.06982421875</v>
      </c>
      <c r="G2505">
        <f t="shared" si="79"/>
        <v>1.4464212188001202E-3</v>
      </c>
    </row>
    <row r="2506" spans="1:7" x14ac:dyDescent="0.25">
      <c r="A2506" s="1">
        <v>42384</v>
      </c>
      <c r="B2506">
        <v>1.71875</v>
      </c>
      <c r="C2506">
        <f>C2507*(1+G2506*3)</f>
        <v>1.569597663699585</v>
      </c>
      <c r="D2506">
        <f t="shared" si="78"/>
        <v>1.7230088108163688</v>
      </c>
      <c r="F2506">
        <v>4141.080078125</v>
      </c>
      <c r="G2506">
        <f t="shared" si="79"/>
        <v>-3.0866149326428838E-2</v>
      </c>
    </row>
    <row r="2507" spans="1:7" x14ac:dyDescent="0.25">
      <c r="A2507" s="1">
        <v>42383</v>
      </c>
      <c r="B2507">
        <v>1.8927079439163199</v>
      </c>
      <c r="C2507">
        <f>C2508*(1+G2507*3)</f>
        <v>1.7297718526094779</v>
      </c>
      <c r="D2507">
        <f t="shared" si="78"/>
        <v>1.8987201132200577</v>
      </c>
      <c r="F2507">
        <v>4272.97021484375</v>
      </c>
      <c r="G2507">
        <f t="shared" si="79"/>
        <v>2.1479205745748464E-2</v>
      </c>
    </row>
    <row r="2508" spans="1:7" x14ac:dyDescent="0.25">
      <c r="A2508" s="1">
        <v>42382</v>
      </c>
      <c r="B2508">
        <v>1.7777080535888601</v>
      </c>
      <c r="C2508">
        <f>C2509*(1+G2508*3)</f>
        <v>1.6250570485277585</v>
      </c>
      <c r="D2508">
        <f t="shared" si="78"/>
        <v>1.7836830887456459</v>
      </c>
      <c r="F2508">
        <v>4183.1201171875</v>
      </c>
      <c r="G2508">
        <f t="shared" si="79"/>
        <v>-3.4750766129391208E-2</v>
      </c>
    </row>
    <row r="2509" spans="1:7" x14ac:dyDescent="0.25">
      <c r="A2509" s="1">
        <v>42381</v>
      </c>
      <c r="B2509">
        <v>1.98541700839996</v>
      </c>
      <c r="C2509">
        <f>C2510*(1+G2509*3)</f>
        <v>1.8141905869293309</v>
      </c>
      <c r="D2509">
        <f t="shared" si="78"/>
        <v>1.9911529016714098</v>
      </c>
      <c r="F2509">
        <v>4333.72021484375</v>
      </c>
      <c r="G2509">
        <f t="shared" si="79"/>
        <v>1.1712344304097622E-2</v>
      </c>
    </row>
    <row r="2510" spans="1:7" x14ac:dyDescent="0.25">
      <c r="A2510" s="1">
        <v>42380</v>
      </c>
      <c r="B2510">
        <v>1.9206249713897701</v>
      </c>
      <c r="C2510">
        <f>C2511*(1+G2510*3)</f>
        <v>1.7526091031882223</v>
      </c>
      <c r="D2510">
        <f t="shared" si="78"/>
        <v>1.92345960770047</v>
      </c>
      <c r="F2510">
        <v>4283.5498046875</v>
      </c>
      <c r="G2510">
        <f t="shared" si="79"/>
        <v>2.9900908437456852E-3</v>
      </c>
    </row>
    <row r="2511" spans="1:7" x14ac:dyDescent="0.25">
      <c r="A2511" s="1">
        <v>42377</v>
      </c>
      <c r="B2511">
        <v>1.9039579629898</v>
      </c>
      <c r="C2511">
        <f>C2512*(1+G2511*3)</f>
        <v>1.7370274931801448</v>
      </c>
      <c r="D2511">
        <f t="shared" si="78"/>
        <v>1.906252346021023</v>
      </c>
      <c r="F2511">
        <v>4270.77978515625</v>
      </c>
      <c r="G2511">
        <f t="shared" si="79"/>
        <v>-8.114886231354479E-3</v>
      </c>
    </row>
    <row r="2512" spans="1:7" x14ac:dyDescent="0.25">
      <c r="A2512" s="1">
        <v>42376</v>
      </c>
      <c r="B2512">
        <v>1.95000004768371</v>
      </c>
      <c r="C2512">
        <f>C2513*(1+G2512*3)</f>
        <v>1.7803699930091035</v>
      </c>
      <c r="D2512">
        <f t="shared" si="78"/>
        <v>1.9537042711462085</v>
      </c>
      <c r="F2512">
        <v>4305.72021484375</v>
      </c>
      <c r="G2512">
        <f t="shared" si="79"/>
        <v>-3.1113934153524592E-2</v>
      </c>
    </row>
    <row r="2513" spans="1:7" x14ac:dyDescent="0.25">
      <c r="A2513" s="1">
        <v>42375</v>
      </c>
      <c r="B2513">
        <v>2.1549999713897701</v>
      </c>
      <c r="C2513">
        <f>C2514*(1+G2513*3)</f>
        <v>1.9636617171066648</v>
      </c>
      <c r="D2513">
        <f t="shared" si="78"/>
        <v>2.1547067968577642</v>
      </c>
      <c r="F2513">
        <v>4443.990234375</v>
      </c>
      <c r="G2513">
        <f t="shared" si="79"/>
        <v>-8.9626062804775142E-3</v>
      </c>
    </row>
    <row r="2514" spans="1:7" x14ac:dyDescent="0.25">
      <c r="A2514" s="1">
        <v>42374</v>
      </c>
      <c r="B2514">
        <v>2.2143750190734801</v>
      </c>
      <c r="C2514">
        <f>C2515*(1+G2514*3)</f>
        <v>2.0179191619703798</v>
      </c>
      <c r="D2514">
        <f>D2515*(1+3*G2514--0.0000564765848304393)</f>
        <v>2.2141144597218529</v>
      </c>
      <c r="F2514">
        <v>4484.18017578125</v>
      </c>
      <c r="G2514">
        <f t="shared" si="79"/>
        <v>-3.0413769916833866E-3</v>
      </c>
    </row>
    <row r="2515" spans="1:7" x14ac:dyDescent="0.25">
      <c r="A2515" s="1">
        <v>42373</v>
      </c>
      <c r="B2515">
        <v>2.234375</v>
      </c>
      <c r="C2515">
        <f>C2516*(1+G2515*3)</f>
        <v>2.0365004588880238</v>
      </c>
      <c r="D2515">
        <v>2.234375</v>
      </c>
      <c r="E2515" s="2">
        <v>-5.6476584830439298E-5</v>
      </c>
      <c r="F2515">
        <v>4497.85986328125</v>
      </c>
      <c r="G2515">
        <f t="shared" si="79"/>
        <v>-2.0771728168451298E-2</v>
      </c>
    </row>
    <row r="2516" spans="1:7" x14ac:dyDescent="0.25">
      <c r="A2516" s="1">
        <v>42369</v>
      </c>
      <c r="B2516">
        <v>2.3797919750213601</v>
      </c>
      <c r="C2516">
        <f>C2517*(1+G2516*3)</f>
        <v>2.1718390073467617</v>
      </c>
      <c r="D2516">
        <f t="shared" ref="D2516:D2579" si="80">D2517*(1+3*G2516--0.0000632272285483554)</f>
        <v>2.3797919750208281</v>
      </c>
      <c r="F2516">
        <v>4593.27001953125</v>
      </c>
      <c r="G2516">
        <f t="shared" si="79"/>
        <v>-1.262674608462655E-2</v>
      </c>
    </row>
    <row r="2517" spans="1:7" x14ac:dyDescent="0.25">
      <c r="A2517" s="1">
        <v>42368</v>
      </c>
      <c r="B2517">
        <v>2.4714579582214302</v>
      </c>
      <c r="C2517">
        <f>C2518*(1+G2517*3)</f>
        <v>2.2573478829757749</v>
      </c>
      <c r="D2517">
        <f t="shared" si="80"/>
        <v>2.4733257626564429</v>
      </c>
      <c r="F2517">
        <v>4652.009765625</v>
      </c>
      <c r="G2517">
        <f t="shared" si="79"/>
        <v>-8.3286390019622347E-3</v>
      </c>
    </row>
    <row r="2518" spans="1:7" x14ac:dyDescent="0.25">
      <c r="A2518" s="1">
        <v>42367</v>
      </c>
      <c r="B2518">
        <v>2.53625011444091</v>
      </c>
      <c r="C2518">
        <f>C2519*(1+G2518*3)</f>
        <v>2.3151951570215461</v>
      </c>
      <c r="D2518">
        <f t="shared" si="80"/>
        <v>2.536543243008754</v>
      </c>
      <c r="F2518">
        <v>4691.080078125</v>
      </c>
      <c r="G2518">
        <f t="shared" si="79"/>
        <v>1.5088660022557931E-2</v>
      </c>
    </row>
    <row r="2519" spans="1:7" x14ac:dyDescent="0.25">
      <c r="A2519" s="1">
        <v>42366</v>
      </c>
      <c r="B2519">
        <v>2.42562508583068</v>
      </c>
      <c r="C2519">
        <f>C2520*(1+G2519*3)</f>
        <v>2.2149339987814902</v>
      </c>
      <c r="D2519">
        <f t="shared" si="80"/>
        <v>2.4265496700026254</v>
      </c>
      <c r="F2519">
        <v>4621.35009765625</v>
      </c>
      <c r="G2519">
        <f t="shared" si="79"/>
        <v>-3.071582339162493E-4</v>
      </c>
    </row>
    <row r="2520" spans="1:7" x14ac:dyDescent="0.25">
      <c r="A2520" s="1">
        <v>42362</v>
      </c>
      <c r="B2520">
        <v>2.4262499809265101</v>
      </c>
      <c r="C2520">
        <f>C2521*(1+G2520*3)</f>
        <v>2.2169768868971276</v>
      </c>
      <c r="D2520">
        <f t="shared" si="80"/>
        <v>2.4286340390299515</v>
      </c>
      <c r="F2520">
        <v>4622.77001953125</v>
      </c>
      <c r="G2520">
        <f t="shared" si="79"/>
        <v>-3.9351040421653494E-4</v>
      </c>
    </row>
    <row r="2521" spans="1:7" x14ac:dyDescent="0.25">
      <c r="A2521" s="1">
        <v>42361</v>
      </c>
      <c r="B2521">
        <v>2.4312500953674299</v>
      </c>
      <c r="C2521">
        <f>C2522*(1+G2521*3)</f>
        <v>2.2195971906602114</v>
      </c>
      <c r="D2521">
        <f t="shared" si="80"/>
        <v>2.4313505967384343</v>
      </c>
      <c r="F2521">
        <v>4624.58984375</v>
      </c>
      <c r="G2521">
        <f t="shared" si="79"/>
        <v>7.6984263104113992E-3</v>
      </c>
    </row>
    <row r="2522" spans="1:7" x14ac:dyDescent="0.25">
      <c r="A2522" s="1">
        <v>42360</v>
      </c>
      <c r="B2522">
        <v>2.3768749237060498</v>
      </c>
      <c r="C2522">
        <f>C2523*(1+G2522*3)</f>
        <v>2.1694921639936511</v>
      </c>
      <c r="D2522">
        <f t="shared" si="80"/>
        <v>2.3763186076261191</v>
      </c>
      <c r="F2522">
        <v>4589.259765625</v>
      </c>
      <c r="G2522">
        <f t="shared" si="79"/>
        <v>6.2952850351487566E-3</v>
      </c>
    </row>
    <row r="2523" spans="1:7" x14ac:dyDescent="0.25">
      <c r="A2523" s="1">
        <v>42359</v>
      </c>
      <c r="B2523">
        <v>2.3327078819274898</v>
      </c>
      <c r="C2523">
        <f>C2524*(1+G2523*3)</f>
        <v>2.1292789110013963</v>
      </c>
      <c r="D2523">
        <f t="shared" si="80"/>
        <v>2.3321269421853223</v>
      </c>
      <c r="F2523">
        <v>4560.5498046875</v>
      </c>
      <c r="G2523">
        <f t="shared" si="79"/>
        <v>1.0126566398150461E-2</v>
      </c>
    </row>
    <row r="2524" spans="1:7" x14ac:dyDescent="0.25">
      <c r="A2524" s="1">
        <v>42356</v>
      </c>
      <c r="B2524">
        <v>2.2654170989990199</v>
      </c>
      <c r="C2524">
        <f>C2525*(1+G2524*3)</f>
        <v>2.0664992843570791</v>
      </c>
      <c r="D2524">
        <f t="shared" si="80"/>
        <v>2.2632276687859738</v>
      </c>
      <c r="F2524">
        <v>4514.830078125</v>
      </c>
      <c r="G2524">
        <f t="shared" si="79"/>
        <v>-1.8118207822435006E-2</v>
      </c>
    </row>
    <row r="2525" spans="1:7" x14ac:dyDescent="0.25">
      <c r="A2525" s="1">
        <v>42355</v>
      </c>
      <c r="B2525">
        <v>2.39708304405212</v>
      </c>
      <c r="C2525">
        <f>C2526*(1+G2525*3)</f>
        <v>2.1852793189071669</v>
      </c>
      <c r="D2525">
        <f t="shared" si="80"/>
        <v>2.3931554178366721</v>
      </c>
      <c r="F2525">
        <v>4598.14013671875</v>
      </c>
      <c r="G2525">
        <f t="shared" si="79"/>
        <v>-1.4239268235518021E-2</v>
      </c>
    </row>
    <row r="2526" spans="1:7" x14ac:dyDescent="0.25">
      <c r="A2526" s="1">
        <v>42354</v>
      </c>
      <c r="B2526">
        <v>2.5012500286102202</v>
      </c>
      <c r="C2526">
        <f>C2527*(1+G2526*3)</f>
        <v>2.2827953237313579</v>
      </c>
      <c r="D2526">
        <f t="shared" si="80"/>
        <v>2.4997825879108868</v>
      </c>
      <c r="F2526">
        <v>4664.56005859375</v>
      </c>
      <c r="G2526">
        <f t="shared" si="79"/>
        <v>1.4623701001727829E-2</v>
      </c>
    </row>
    <row r="2527" spans="1:7" x14ac:dyDescent="0.25">
      <c r="A2527" s="1">
        <v>42353</v>
      </c>
      <c r="B2527">
        <v>2.3954169750213601</v>
      </c>
      <c r="C2527">
        <f>C2528*(1+G2527*3)</f>
        <v>2.1868555582767408</v>
      </c>
      <c r="D2527">
        <f t="shared" si="80"/>
        <v>2.394578390147585</v>
      </c>
      <c r="F2527">
        <v>4597.330078125</v>
      </c>
      <c r="G2527">
        <f t="shared" si="79"/>
        <v>5.945069963870564E-3</v>
      </c>
    </row>
    <row r="2528" spans="1:7" x14ac:dyDescent="0.25">
      <c r="A2528" s="1">
        <v>42352</v>
      </c>
      <c r="B2528">
        <v>2.3554170131683301</v>
      </c>
      <c r="C2528">
        <f>C2529*(1+G2528*3)</f>
        <v>2.1485359683220402</v>
      </c>
      <c r="D2528">
        <f t="shared" si="80"/>
        <v>2.3524728035955436</v>
      </c>
      <c r="F2528">
        <v>4570.16015625</v>
      </c>
      <c r="G2528">
        <f t="shared" si="79"/>
        <v>7.1844994303729148E-3</v>
      </c>
    </row>
    <row r="2529" spans="1:7" x14ac:dyDescent="0.25">
      <c r="A2529" s="1">
        <v>42349</v>
      </c>
      <c r="B2529">
        <v>2.30375003814697</v>
      </c>
      <c r="C2529">
        <f>C2530*(1+G2529*3)</f>
        <v>2.1032045525918779</v>
      </c>
      <c r="D2529">
        <f t="shared" si="80"/>
        <v>2.3026960550189779</v>
      </c>
      <c r="F2529">
        <v>4537.56005859375</v>
      </c>
      <c r="G2529">
        <f t="shared" si="79"/>
        <v>-2.2719925594433699E-2</v>
      </c>
    </row>
    <row r="2530" spans="1:7" x14ac:dyDescent="0.25">
      <c r="A2530" s="1">
        <v>42348</v>
      </c>
      <c r="B2530">
        <v>2.4733328819274898</v>
      </c>
      <c r="C2530">
        <f>C2531*(1+G2530*3)</f>
        <v>2.2570441800973629</v>
      </c>
      <c r="D2530">
        <f t="shared" si="80"/>
        <v>2.4709598981727021</v>
      </c>
      <c r="F2530">
        <v>4643.0498046875</v>
      </c>
      <c r="G2530">
        <f t="shared" si="79"/>
        <v>4.5238065809907191E-3</v>
      </c>
    </row>
    <row r="2531" spans="1:7" x14ac:dyDescent="0.25">
      <c r="A2531" s="1">
        <v>42347</v>
      </c>
      <c r="B2531">
        <v>2.4387500286102202</v>
      </c>
      <c r="C2531">
        <f>C2532*(1+G2531*3)</f>
        <v>2.22682303006306</v>
      </c>
      <c r="D2531">
        <f t="shared" si="80"/>
        <v>2.4377224136480482</v>
      </c>
      <c r="F2531">
        <v>4622.14013671875</v>
      </c>
      <c r="G2531">
        <f t="shared" si="79"/>
        <v>-1.5470381405339184E-2</v>
      </c>
    </row>
    <row r="2532" spans="1:7" x14ac:dyDescent="0.25">
      <c r="A2532" s="1">
        <v>42346</v>
      </c>
      <c r="B2532">
        <v>2.5579171180725</v>
      </c>
      <c r="C2532">
        <f>C2533*(1+G2532*3)</f>
        <v>2.3352024476337889</v>
      </c>
      <c r="D2532">
        <f t="shared" si="80"/>
        <v>2.5561968112599582</v>
      </c>
      <c r="F2532">
        <v>4694.77001953125</v>
      </c>
      <c r="G2532">
        <f t="shared" si="79"/>
        <v>2.4499263149557748E-4</v>
      </c>
    </row>
    <row r="2533" spans="1:7" x14ac:dyDescent="0.25">
      <c r="A2533" s="1">
        <v>42345</v>
      </c>
      <c r="B2533">
        <v>2.5577080249786301</v>
      </c>
      <c r="C2533">
        <f>C2534*(1+G2533*3)</f>
        <v>2.3334873859880241</v>
      </c>
      <c r="D2533">
        <f t="shared" si="80"/>
        <v>2.5541580692040782</v>
      </c>
      <c r="F2533">
        <v>4693.6201171875</v>
      </c>
      <c r="G2533">
        <f t="shared" si="79"/>
        <v>-4.7708708516563947E-3</v>
      </c>
    </row>
    <row r="2534" spans="1:7" x14ac:dyDescent="0.25">
      <c r="A2534" s="1">
        <v>42342</v>
      </c>
      <c r="B2534">
        <v>2.5893750190734801</v>
      </c>
      <c r="C2534">
        <f>C2535*(1+G2534*3)</f>
        <v>2.3673706448010692</v>
      </c>
      <c r="D2534">
        <f t="shared" si="80"/>
        <v>2.5910793573787023</v>
      </c>
      <c r="F2534">
        <v>4716.1201171875</v>
      </c>
      <c r="G2534">
        <f t="shared" si="79"/>
        <v>2.3741274692028025E-2</v>
      </c>
    </row>
    <row r="2535" spans="1:7" x14ac:dyDescent="0.25">
      <c r="A2535" s="1">
        <v>42341</v>
      </c>
      <c r="B2535">
        <v>2.4229168891906698</v>
      </c>
      <c r="C2535">
        <f>C2536*(1+G2535*3)</f>
        <v>2.2099682546202648</v>
      </c>
      <c r="D2535">
        <f t="shared" si="80"/>
        <v>2.4186602033724198</v>
      </c>
      <c r="F2535">
        <v>4606.75</v>
      </c>
      <c r="G2535">
        <f t="shared" si="79"/>
        <v>-1.6958275795923017E-2</v>
      </c>
    </row>
    <row r="2536" spans="1:7" x14ac:dyDescent="0.25">
      <c r="A2536" s="1">
        <v>42340</v>
      </c>
      <c r="B2536">
        <v>2.5531249046325599</v>
      </c>
      <c r="C2536">
        <f>C2537*(1+G2536*3)</f>
        <v>2.328426553620822</v>
      </c>
      <c r="D2536">
        <f t="shared" si="80"/>
        <v>2.548135021222484</v>
      </c>
      <c r="F2536">
        <v>4686.22021484375</v>
      </c>
      <c r="G2536">
        <f t="shared" si="79"/>
        <v>-6.348372492518628E-3</v>
      </c>
    </row>
    <row r="2537" spans="1:7" x14ac:dyDescent="0.25">
      <c r="A2537" s="1">
        <v>42339</v>
      </c>
      <c r="B2537">
        <v>2.6004168987274099</v>
      </c>
      <c r="C2537">
        <f>C2538*(1+G2537*3)</f>
        <v>2.3736326666048759</v>
      </c>
      <c r="D2537">
        <f t="shared" si="80"/>
        <v>2.5974393295035765</v>
      </c>
      <c r="F2537">
        <v>4716.16015625</v>
      </c>
      <c r="G2537">
        <f t="shared" si="79"/>
        <v>1.1073058739341946E-2</v>
      </c>
    </row>
    <row r="2538" spans="1:7" x14ac:dyDescent="0.25">
      <c r="A2538" s="1">
        <v>42338</v>
      </c>
      <c r="B2538">
        <v>2.5254170894622798</v>
      </c>
      <c r="C2538">
        <f>C2539*(1+G2538*3)</f>
        <v>2.2973176662218679</v>
      </c>
      <c r="D2538">
        <f t="shared" si="80"/>
        <v>2.513774860425054</v>
      </c>
      <c r="F2538">
        <v>4664.509765625</v>
      </c>
      <c r="G2538">
        <f t="shared" si="79"/>
        <v>-3.41000978237882E-3</v>
      </c>
    </row>
    <row r="2539" spans="1:7" x14ac:dyDescent="0.25">
      <c r="A2539" s="1">
        <v>42335</v>
      </c>
      <c r="B2539">
        <v>2.5414578914642298</v>
      </c>
      <c r="C2539">
        <f>C2540*(1+G2539*3)</f>
        <v>2.3210622006510575</v>
      </c>
      <c r="D2539">
        <f t="shared" si="80"/>
        <v>2.5395944142966802</v>
      </c>
      <c r="F2539">
        <v>4680.47021484375</v>
      </c>
      <c r="G2539">
        <f t="shared" si="79"/>
        <v>1.6243370729831508E-3</v>
      </c>
    </row>
    <row r="2540" spans="1:7" x14ac:dyDescent="0.25">
      <c r="A2540" s="1">
        <v>42333</v>
      </c>
      <c r="B2540">
        <v>2.5322918891906698</v>
      </c>
      <c r="C2540">
        <f>C2541*(1+G2540*3)</f>
        <v>2.3098064877227822</v>
      </c>
      <c r="D2540">
        <f t="shared" si="80"/>
        <v>2.5271199476496533</v>
      </c>
      <c r="F2540">
        <v>4672.8798828125</v>
      </c>
      <c r="G2540">
        <f t="shared" si="79"/>
        <v>7.4307598741474301E-4</v>
      </c>
    </row>
    <row r="2541" spans="1:7" x14ac:dyDescent="0.25">
      <c r="A2541" s="1">
        <v>42332</v>
      </c>
      <c r="B2541">
        <v>2.5266671180725</v>
      </c>
      <c r="C2541">
        <f>C2542*(1+G2541*3)</f>
        <v>2.3046688554664629</v>
      </c>
      <c r="D2541">
        <f t="shared" si="80"/>
        <v>2.5213398889335155</v>
      </c>
      <c r="F2541">
        <v>4669.41015625</v>
      </c>
      <c r="G2541">
        <f t="shared" si="79"/>
        <v>-1.150828757558231E-3</v>
      </c>
    </row>
    <row r="2542" spans="1:7" x14ac:dyDescent="0.25">
      <c r="A2542" s="1">
        <v>42331</v>
      </c>
      <c r="B2542">
        <v>2.5345830917358398</v>
      </c>
      <c r="C2542">
        <f>C2543*(1+G2542*3)</f>
        <v>2.3126532590969515</v>
      </c>
      <c r="D2542">
        <f t="shared" si="80"/>
        <v>2.5299144242768614</v>
      </c>
      <c r="F2542">
        <v>4674.7900390625</v>
      </c>
      <c r="G2542">
        <f t="shared" si="79"/>
        <v>-2.468829658047067E-3</v>
      </c>
    </row>
    <row r="2543" spans="1:7" x14ac:dyDescent="0.25">
      <c r="A2543" s="1">
        <v>42328</v>
      </c>
      <c r="B2543">
        <v>2.5552079677581698</v>
      </c>
      <c r="C2543">
        <f>C2544*(1+G2543*3)</f>
        <v>2.3299097096723846</v>
      </c>
      <c r="D2543">
        <f t="shared" si="80"/>
        <v>2.5486296791031018</v>
      </c>
      <c r="F2543">
        <v>4686.35986328125</v>
      </c>
      <c r="G2543">
        <f t="shared" si="79"/>
        <v>6.6611028117116167E-3</v>
      </c>
    </row>
    <row r="2544" spans="1:7" x14ac:dyDescent="0.25">
      <c r="A2544" s="1">
        <v>42327</v>
      </c>
      <c r="B2544">
        <v>2.5054171085357599</v>
      </c>
      <c r="C2544">
        <f>C2545*(1+G2544*3)</f>
        <v>2.2842625858720647</v>
      </c>
      <c r="D2544">
        <f t="shared" si="80"/>
        <v>2.4985425566343022</v>
      </c>
      <c r="F2544">
        <v>4655.35009765625</v>
      </c>
      <c r="G2544">
        <f t="shared" si="79"/>
        <v>4.1048262662712887E-4</v>
      </c>
    </row>
    <row r="2545" spans="1:7" x14ac:dyDescent="0.25">
      <c r="A2545" s="1">
        <v>42326</v>
      </c>
      <c r="B2545">
        <v>2.5016670227050701</v>
      </c>
      <c r="C2545">
        <f>C2546*(1+G2545*3)</f>
        <v>2.2814530952948151</v>
      </c>
      <c r="D2545">
        <f t="shared" si="80"/>
        <v>2.4953119383799143</v>
      </c>
      <c r="F2545">
        <v>4653.43994140625</v>
      </c>
      <c r="G2545">
        <f t="shared" si="79"/>
        <v>1.9190445650687282E-2</v>
      </c>
    </row>
    <row r="2546" spans="1:7" x14ac:dyDescent="0.25">
      <c r="A2546" s="1">
        <v>42325</v>
      </c>
      <c r="B2546">
        <v>2.3660418987274099</v>
      </c>
      <c r="C2546">
        <f>C2547*(1+G2546*3)</f>
        <v>2.1572569297027289</v>
      </c>
      <c r="D2546">
        <f t="shared" si="80"/>
        <v>2.3593328195671512</v>
      </c>
      <c r="F2546">
        <v>4565.81982421875</v>
      </c>
      <c r="G2546">
        <f t="shared" si="79"/>
        <v>7.6576860333688046E-5</v>
      </c>
    </row>
    <row r="2547" spans="1:7" x14ac:dyDescent="0.25">
      <c r="A2547" s="1">
        <v>42324</v>
      </c>
      <c r="B2547">
        <v>2.3579170703887899</v>
      </c>
      <c r="C2547">
        <f>C2548*(1+G2547*3)</f>
        <v>2.156761455640444</v>
      </c>
      <c r="D2547">
        <f t="shared" si="80"/>
        <v>2.3586418370210658</v>
      </c>
      <c r="F2547">
        <v>4565.47021484375</v>
      </c>
      <c r="G2547">
        <f t="shared" si="79"/>
        <v>1.4066660788385921E-2</v>
      </c>
    </row>
    <row r="2548" spans="1:7" x14ac:dyDescent="0.25">
      <c r="A2548" s="1">
        <v>42321</v>
      </c>
      <c r="B2548">
        <v>2.2635419368743799</v>
      </c>
      <c r="C2548">
        <f>C2549*(1+G2548*3)</f>
        <v>2.0694314835295931</v>
      </c>
      <c r="D2548">
        <f t="shared" si="80"/>
        <v>2.2630001858556525</v>
      </c>
      <c r="F2548">
        <v>4502.14013671875</v>
      </c>
      <c r="G2548">
        <f t="shared" si="79"/>
        <v>-1.8912913410743748E-2</v>
      </c>
    </row>
    <row r="2549" spans="1:7" x14ac:dyDescent="0.25">
      <c r="A2549" s="1">
        <v>42320</v>
      </c>
      <c r="B2549">
        <v>2.4049999713897701</v>
      </c>
      <c r="C2549">
        <f>C2550*(1+G2549*3)</f>
        <v>2.1939112436771628</v>
      </c>
      <c r="D2549">
        <f t="shared" si="80"/>
        <v>2.398962623202304</v>
      </c>
      <c r="F2549">
        <v>4588.93017578125</v>
      </c>
      <c r="G2549">
        <f t="shared" si="79"/>
        <v>-1.0353760504053455E-2</v>
      </c>
    </row>
    <row r="2550" spans="1:7" x14ac:dyDescent="0.25">
      <c r="A2550" s="1">
        <v>42319</v>
      </c>
      <c r="B2550">
        <v>2.4768750667571999</v>
      </c>
      <c r="C2550">
        <f>C2551*(1+G2550*3)</f>
        <v>2.2642414858816449</v>
      </c>
      <c r="D2550">
        <f t="shared" si="80"/>
        <v>2.4757046503438533</v>
      </c>
      <c r="F2550">
        <v>4636.93994140625</v>
      </c>
      <c r="G2550">
        <f t="shared" si="79"/>
        <v>-1.0319512515064577E-3</v>
      </c>
    </row>
    <row r="2551" spans="1:7" x14ac:dyDescent="0.25">
      <c r="A2551" s="1">
        <v>42318</v>
      </c>
      <c r="B2551">
        <v>2.4879169464111301</v>
      </c>
      <c r="C2551">
        <f>C2552*(1+G2551*3)</f>
        <v>2.2712730149725862</v>
      </c>
      <c r="D2551">
        <f t="shared" si="80"/>
        <v>2.4832353758147789</v>
      </c>
      <c r="F2551">
        <v>4641.72998046875</v>
      </c>
      <c r="G2551">
        <f t="shared" si="79"/>
        <v>-2.9620835061704431E-3</v>
      </c>
    </row>
    <row r="2552" spans="1:7" x14ac:dyDescent="0.25">
      <c r="A2552" s="1">
        <v>42317</v>
      </c>
      <c r="B2552">
        <v>2.5056250095367401</v>
      </c>
      <c r="C2552">
        <f>C2553*(1+G2552*3)</f>
        <v>2.2916370761285734</v>
      </c>
      <c r="D2552">
        <f t="shared" si="80"/>
        <v>2.5053400494200893</v>
      </c>
      <c r="F2552">
        <v>4655.52001953125</v>
      </c>
      <c r="G2552">
        <f t="shared" si="79"/>
        <v>-1.0985220852190114E-2</v>
      </c>
    </row>
    <row r="2553" spans="1:7" x14ac:dyDescent="0.25">
      <c r="A2553" s="1">
        <v>42314</v>
      </c>
      <c r="B2553">
        <v>2.5889580249786301</v>
      </c>
      <c r="C2553">
        <f>C2554*(1+G2553*3)</f>
        <v>2.3697332039469492</v>
      </c>
      <c r="D2553">
        <f t="shared" si="80"/>
        <v>2.590549532377866</v>
      </c>
      <c r="F2553">
        <v>4707.22998046875</v>
      </c>
      <c r="G2553">
        <f t="shared" si="79"/>
        <v>9.2072513022056768E-4</v>
      </c>
    </row>
    <row r="2554" spans="1:7" x14ac:dyDescent="0.25">
      <c r="A2554" s="1">
        <v>42313</v>
      </c>
      <c r="B2554">
        <v>2.5804169178009002</v>
      </c>
      <c r="C2554">
        <f>C2555*(1+G2554*3)</f>
        <v>2.3632056155525962</v>
      </c>
      <c r="D2554">
        <f t="shared" si="80"/>
        <v>2.5832508087766719</v>
      </c>
      <c r="F2554">
        <v>4702.89990234375</v>
      </c>
      <c r="G2554">
        <f t="shared" si="79"/>
        <v>-3.1054049136255424E-3</v>
      </c>
    </row>
    <row r="2555" spans="1:7" x14ac:dyDescent="0.25">
      <c r="A2555" s="1">
        <v>42312</v>
      </c>
      <c r="B2555">
        <v>2.6033329963684002</v>
      </c>
      <c r="C2555">
        <f>C2556*(1+G2555*3)</f>
        <v>2.3854287823379243</v>
      </c>
      <c r="D2555">
        <f t="shared" si="80"/>
        <v>2.6073768340621832</v>
      </c>
      <c r="F2555">
        <v>4717.5498046875</v>
      </c>
      <c r="G2555">
        <f t="shared" si="79"/>
        <v>-3.1786059950245082E-4</v>
      </c>
    </row>
    <row r="2556" spans="1:7" x14ac:dyDescent="0.25">
      <c r="A2556" s="1">
        <v>42311</v>
      </c>
      <c r="B2556">
        <v>2.6022920608520499</v>
      </c>
      <c r="C2556">
        <f>C2557*(1+G2556*3)</f>
        <v>2.3877056549907167</v>
      </c>
      <c r="D2556">
        <f t="shared" si="80"/>
        <v>2.6097003927330769</v>
      </c>
      <c r="F2556">
        <v>4719.0498046875</v>
      </c>
      <c r="G2556">
        <f t="shared" si="79"/>
        <v>3.2164414071209624E-3</v>
      </c>
    </row>
    <row r="2557" spans="1:7" x14ac:dyDescent="0.25">
      <c r="A2557" s="1">
        <v>42310</v>
      </c>
      <c r="B2557">
        <v>2.57770800590515</v>
      </c>
      <c r="C2557">
        <f>C2558*(1+G2557*3)</f>
        <v>2.3648861022435734</v>
      </c>
      <c r="D2557">
        <f t="shared" si="80"/>
        <v>2.5845973579170032</v>
      </c>
      <c r="F2557">
        <v>4703.919921875</v>
      </c>
      <c r="G2557">
        <f t="shared" si="79"/>
        <v>1.1850259704957677E-2</v>
      </c>
    </row>
    <row r="2558" spans="1:7" x14ac:dyDescent="0.25">
      <c r="A2558" s="1">
        <v>42307</v>
      </c>
      <c r="B2558">
        <v>2.4927079677581698</v>
      </c>
      <c r="C2558">
        <f>C2559*(1+G2558*3)</f>
        <v>2.2836988295879963</v>
      </c>
      <c r="D2558">
        <f t="shared" si="80"/>
        <v>2.4957149498612723</v>
      </c>
      <c r="F2558">
        <v>4648.830078125</v>
      </c>
      <c r="G2558">
        <f t="shared" si="79"/>
        <v>-4.6951007117501664E-3</v>
      </c>
    </row>
    <row r="2559" spans="1:7" x14ac:dyDescent="0.25">
      <c r="A2559" s="1">
        <v>42306</v>
      </c>
      <c r="B2559">
        <v>2.5272920131683301</v>
      </c>
      <c r="C2559">
        <f>C2560*(1+G2559*3)</f>
        <v>2.316324966585781</v>
      </c>
      <c r="D2559">
        <f t="shared" si="80"/>
        <v>2.5312077343162791</v>
      </c>
      <c r="F2559">
        <v>4670.759765625</v>
      </c>
      <c r="G2559">
        <f t="shared" si="79"/>
        <v>-1.6715140853449384E-3</v>
      </c>
    </row>
    <row r="2560" spans="1:7" x14ac:dyDescent="0.25">
      <c r="A2560" s="1">
        <v>42305</v>
      </c>
      <c r="B2560">
        <v>2.5366671085357599</v>
      </c>
      <c r="C2560">
        <f>C2561*(1+G2560*3)</f>
        <v>2.3279988150156763</v>
      </c>
      <c r="D2560">
        <f t="shared" si="80"/>
        <v>2.5438029038611303</v>
      </c>
      <c r="F2560">
        <v>4678.580078125</v>
      </c>
      <c r="G2560">
        <f t="shared" si="79"/>
        <v>8.482032109189408E-3</v>
      </c>
    </row>
    <row r="2561" spans="1:7" x14ac:dyDescent="0.25">
      <c r="A2561" s="1">
        <v>42304</v>
      </c>
      <c r="B2561">
        <v>2.4791669845581001</v>
      </c>
      <c r="C2561">
        <f>C2562*(1+G2561*3)</f>
        <v>2.2702303157161965</v>
      </c>
      <c r="D2561">
        <f t="shared" si="80"/>
        <v>2.480526354494847</v>
      </c>
      <c r="F2561">
        <v>4639.22998046875</v>
      </c>
      <c r="G2561">
        <f t="shared" si="79"/>
        <v>1.8095776446620526E-3</v>
      </c>
    </row>
    <row r="2562" spans="1:7" x14ac:dyDescent="0.25">
      <c r="A2562" s="1">
        <v>42303</v>
      </c>
      <c r="B2562">
        <v>2.4631249904632502</v>
      </c>
      <c r="C2562">
        <f>C2563*(1+G2562*3)</f>
        <v>2.2579723866567218</v>
      </c>
      <c r="D2562">
        <f t="shared" si="80"/>
        <v>2.4669778106369722</v>
      </c>
      <c r="F2562">
        <v>4630.85009765625</v>
      </c>
      <c r="G2562">
        <f t="shared" ref="G2562:G2625" si="81">F2562/F2563-1</f>
        <v>1.4619642209996453E-3</v>
      </c>
    </row>
    <row r="2563" spans="1:7" x14ac:dyDescent="0.25">
      <c r="A2563" s="1">
        <v>42300</v>
      </c>
      <c r="B2563">
        <v>2.4558329582214302</v>
      </c>
      <c r="C2563">
        <f>C2564*(1+G2563*3)</f>
        <v>2.2481124069455025</v>
      </c>
      <c r="D2563">
        <f t="shared" si="80"/>
        <v>2.4560505472923682</v>
      </c>
      <c r="F2563">
        <v>4624.08984375</v>
      </c>
      <c r="G2563">
        <f t="shared" si="81"/>
        <v>2.6840710233941856E-2</v>
      </c>
    </row>
    <row r="2564" spans="1:7" x14ac:dyDescent="0.25">
      <c r="A2564" s="1">
        <v>42299</v>
      </c>
      <c r="B2564">
        <v>2.2672920227050701</v>
      </c>
      <c r="C2564">
        <f>C2565*(1+G2564*3)</f>
        <v>2.0805796966743277</v>
      </c>
      <c r="D2564">
        <f t="shared" si="80"/>
        <v>2.2728889756533426</v>
      </c>
      <c r="F2564">
        <v>4503.22021484375</v>
      </c>
      <c r="G2564">
        <f t="shared" si="81"/>
        <v>2.0323957955452165E-2</v>
      </c>
    </row>
    <row r="2565" spans="1:7" x14ac:dyDescent="0.25">
      <c r="A2565" s="1">
        <v>42298</v>
      </c>
      <c r="B2565">
        <v>2.1404170989990199</v>
      </c>
      <c r="C2565">
        <f>C2566*(1+G2565*3)</f>
        <v>1.9610130559751338</v>
      </c>
      <c r="D2565">
        <f t="shared" si="80"/>
        <v>2.1421430575745326</v>
      </c>
      <c r="F2565">
        <v>4413.52001953125</v>
      </c>
      <c r="G2565">
        <f t="shared" si="81"/>
        <v>-5.5563666352637098E-3</v>
      </c>
    </row>
    <row r="2566" spans="1:7" x14ac:dyDescent="0.25">
      <c r="A2566" s="1">
        <v>42297</v>
      </c>
      <c r="B2566">
        <v>2.1754169464111301</v>
      </c>
      <c r="C2566">
        <f>C2567*(1+G2566*3)</f>
        <v>1.9942555001447195</v>
      </c>
      <c r="D2566">
        <f t="shared" si="80"/>
        <v>2.1783158939604541</v>
      </c>
      <c r="F2566">
        <v>4438.18017578125</v>
      </c>
      <c r="G2566">
        <f t="shared" si="81"/>
        <v>-5.3539387276806405E-3</v>
      </c>
    </row>
    <row r="2567" spans="1:7" x14ac:dyDescent="0.25">
      <c r="A2567" s="1">
        <v>42296</v>
      </c>
      <c r="B2567">
        <v>2.2120831012725799</v>
      </c>
      <c r="C2567">
        <f>C2568*(1+G2567*3)</f>
        <v>2.0268097457184471</v>
      </c>
      <c r="D2567">
        <f t="shared" si="80"/>
        <v>2.2137324901251745</v>
      </c>
      <c r="F2567">
        <v>4462.06982421875</v>
      </c>
      <c r="G2567">
        <f t="shared" si="81"/>
        <v>5.2831074550503399E-3</v>
      </c>
    </row>
    <row r="2568" spans="1:7" x14ac:dyDescent="0.25">
      <c r="A2568" s="1">
        <v>42293</v>
      </c>
      <c r="B2568">
        <v>2.1731250286102202</v>
      </c>
      <c r="C2568">
        <f>C2569*(1+G2568*3)</f>
        <v>1.995187377788989</v>
      </c>
      <c r="D2568">
        <f t="shared" si="80"/>
        <v>2.1790581197274581</v>
      </c>
      <c r="F2568">
        <v>4438.6201171875</v>
      </c>
      <c r="G2568">
        <f t="shared" si="81"/>
        <v>4.617221720912168E-3</v>
      </c>
    </row>
    <row r="2569" spans="1:7" x14ac:dyDescent="0.25">
      <c r="A2569" s="1">
        <v>42292</v>
      </c>
      <c r="B2569">
        <v>2.14645791053771</v>
      </c>
      <c r="C2569">
        <f>C2570*(1+G2569*3)</f>
        <v>1.9679282939962772</v>
      </c>
      <c r="D2569">
        <f t="shared" si="80"/>
        <v>2.1491528885508542</v>
      </c>
      <c r="F2569">
        <v>4418.22021484375</v>
      </c>
      <c r="G2569">
        <f t="shared" si="81"/>
        <v>1.6402485955617774E-2</v>
      </c>
    </row>
    <row r="2570" spans="1:7" x14ac:dyDescent="0.25">
      <c r="A2570" s="1">
        <v>42291</v>
      </c>
      <c r="B2570">
        <v>2.04645800590515</v>
      </c>
      <c r="C2570">
        <f>C2571*(1+G2570*3)</f>
        <v>1.8756331545691429</v>
      </c>
      <c r="D2570">
        <f t="shared" si="80"/>
        <v>2.0482349493595633</v>
      </c>
      <c r="F2570">
        <v>4346.919921875</v>
      </c>
      <c r="G2570">
        <f t="shared" si="81"/>
        <v>-1.3829778522754799E-3</v>
      </c>
    </row>
    <row r="2571" spans="1:7" x14ac:dyDescent="0.25">
      <c r="A2571" s="1">
        <v>42290</v>
      </c>
      <c r="B2571">
        <v>2.0552079677581698</v>
      </c>
      <c r="C2571">
        <f>C2572*(1+G2571*3)</f>
        <v>1.8834474529090366</v>
      </c>
      <c r="D2571">
        <f t="shared" si="80"/>
        <v>2.0566377673003982</v>
      </c>
      <c r="F2571">
        <v>4352.93994140625</v>
      </c>
      <c r="G2571">
        <f t="shared" si="81"/>
        <v>-6.7586334908105172E-3</v>
      </c>
    </row>
    <row r="2572" spans="1:7" x14ac:dyDescent="0.25">
      <c r="A2572" s="1">
        <v>42289</v>
      </c>
      <c r="B2572">
        <v>2.0962500572204501</v>
      </c>
      <c r="C2572">
        <f>C2573*(1+G2572*3)</f>
        <v>1.9224263788318072</v>
      </c>
      <c r="D2572">
        <f t="shared" si="80"/>
        <v>2.0990654922119898</v>
      </c>
      <c r="F2572">
        <v>4382.56005859375</v>
      </c>
      <c r="G2572">
        <f t="shared" si="81"/>
        <v>2.8719141699573569E-3</v>
      </c>
    </row>
    <row r="2573" spans="1:7" x14ac:dyDescent="0.25">
      <c r="A2573" s="1">
        <v>42286</v>
      </c>
      <c r="B2573">
        <v>2.0787498950958199</v>
      </c>
      <c r="C2573">
        <f>C2574*(1+G2573*3)</f>
        <v>1.9060047328311367</v>
      </c>
      <c r="D2573">
        <f t="shared" si="80"/>
        <v>2.0810045169835734</v>
      </c>
      <c r="F2573">
        <v>4370.009765625</v>
      </c>
      <c r="G2573">
        <f t="shared" si="81"/>
        <v>4.5653284891515877E-3</v>
      </c>
    </row>
    <row r="2574" spans="1:7" x14ac:dyDescent="0.25">
      <c r="A2574" s="1">
        <v>42285</v>
      </c>
      <c r="B2574">
        <v>2.05375003814697</v>
      </c>
      <c r="C2574">
        <f>C2575*(1+G2574*3)</f>
        <v>1.8802528175666036</v>
      </c>
      <c r="D2574">
        <f t="shared" si="80"/>
        <v>2.052760153418804</v>
      </c>
      <c r="F2574">
        <v>4350.14990234375</v>
      </c>
      <c r="G2574">
        <f t="shared" si="81"/>
        <v>3.8514123948751866E-3</v>
      </c>
    </row>
    <row r="2575" spans="1:7" x14ac:dyDescent="0.25">
      <c r="A2575" s="1">
        <v>42284</v>
      </c>
      <c r="B2575">
        <v>2.02895808219909</v>
      </c>
      <c r="C2575">
        <f>C2576*(1+G2575*3)</f>
        <v>1.8587760778895595</v>
      </c>
      <c r="D2575">
        <f t="shared" si="80"/>
        <v>2.0291861554699269</v>
      </c>
      <c r="F2575">
        <v>4333.4599609375</v>
      </c>
      <c r="G2575">
        <f t="shared" si="81"/>
        <v>6.2135194955352802E-3</v>
      </c>
    </row>
    <row r="2576" spans="1:7" x14ac:dyDescent="0.25">
      <c r="A2576" s="1">
        <v>42283</v>
      </c>
      <c r="B2576">
        <v>1.99687504768371</v>
      </c>
      <c r="C2576">
        <f>C2577*(1+G2576*3)</f>
        <v>1.8247615043437333</v>
      </c>
      <c r="D2576">
        <f t="shared" si="80"/>
        <v>1.9919295323374009</v>
      </c>
      <c r="F2576">
        <v>4306.7001953125</v>
      </c>
      <c r="G2576">
        <f t="shared" si="81"/>
        <v>-5.709426093724268E-3</v>
      </c>
    </row>
    <row r="2577" spans="1:7" x14ac:dyDescent="0.25">
      <c r="A2577" s="1">
        <v>42282</v>
      </c>
      <c r="B2577">
        <v>2.0258328914642298</v>
      </c>
      <c r="C2577">
        <f>C2578*(1+G2577*3)</f>
        <v>1.8565612012446806</v>
      </c>
      <c r="D2577">
        <f t="shared" si="80"/>
        <v>2.0265120641712424</v>
      </c>
      <c r="F2577">
        <v>4331.43017578125</v>
      </c>
      <c r="G2577">
        <f t="shared" si="81"/>
        <v>1.4992554696719784E-2</v>
      </c>
    </row>
    <row r="2578" spans="1:7" x14ac:dyDescent="0.25">
      <c r="A2578" s="1">
        <v>42279</v>
      </c>
      <c r="B2578">
        <v>1.9375</v>
      </c>
      <c r="C2578">
        <f>C2579*(1+G2578*3)</f>
        <v>1.7766515639940978</v>
      </c>
      <c r="D2578">
        <f t="shared" si="80"/>
        <v>1.939170113825923</v>
      </c>
      <c r="F2578">
        <v>4267.4501953125</v>
      </c>
      <c r="G2578">
        <f t="shared" si="81"/>
        <v>1.7765548698047917E-2</v>
      </c>
    </row>
    <row r="2579" spans="1:7" x14ac:dyDescent="0.25">
      <c r="A2579" s="1">
        <v>42278</v>
      </c>
      <c r="B2579">
        <v>1.84187495708465</v>
      </c>
      <c r="C2579">
        <f>C2580*(1+G2579*3)</f>
        <v>1.6867532718178813</v>
      </c>
      <c r="D2579">
        <f t="shared" si="80"/>
        <v>1.84093790065218</v>
      </c>
      <c r="F2579">
        <v>4192.9599609375</v>
      </c>
      <c r="G2579">
        <f t="shared" si="81"/>
        <v>2.8461447998793243E-3</v>
      </c>
    </row>
    <row r="2580" spans="1:7" x14ac:dyDescent="0.25">
      <c r="A2580" s="1">
        <v>42277</v>
      </c>
      <c r="B2580">
        <v>1.8164579868316599</v>
      </c>
      <c r="C2580">
        <f>C2581*(1+G2580*3)</f>
        <v>1.672472971069239</v>
      </c>
      <c r="D2580">
        <f t="shared" ref="D2580:D2643" si="82">D2581*(1+3*G2580--0.0000632272285483554)</f>
        <v>1.8252378225119645</v>
      </c>
      <c r="F2580">
        <v>4181.06005859375</v>
      </c>
      <c r="G2580">
        <f t="shared" si="81"/>
        <v>2.3923851770148996E-2</v>
      </c>
    </row>
    <row r="2581" spans="1:7" x14ac:dyDescent="0.25">
      <c r="A2581" s="1">
        <v>42276</v>
      </c>
      <c r="B2581">
        <v>1.7037500143051101</v>
      </c>
      <c r="C2581">
        <f>C2582*(1+G2581*3)</f>
        <v>1.560475236334103</v>
      </c>
      <c r="D2581">
        <f t="shared" si="82"/>
        <v>1.7029096762360005</v>
      </c>
      <c r="F2581">
        <v>4083.3701171875</v>
      </c>
      <c r="G2581">
        <f t="shared" si="81"/>
        <v>-4.8983169375862445E-3</v>
      </c>
    </row>
    <row r="2582" spans="1:7" x14ac:dyDescent="0.25">
      <c r="A2582" s="1">
        <v>42275</v>
      </c>
      <c r="B2582">
        <v>1.72937500476837</v>
      </c>
      <c r="C2582">
        <f>C2583*(1+G2582*3)</f>
        <v>1.5837483402945192</v>
      </c>
      <c r="D2582">
        <f t="shared" si="82"/>
        <v>1.7281961648189235</v>
      </c>
      <c r="F2582">
        <v>4103.47021484375</v>
      </c>
      <c r="G2582">
        <f t="shared" si="81"/>
        <v>-2.8704728055118034E-2</v>
      </c>
    </row>
    <row r="2583" spans="1:7" x14ac:dyDescent="0.25">
      <c r="A2583" s="1">
        <v>42272</v>
      </c>
      <c r="B2583">
        <v>1.89250004291534</v>
      </c>
      <c r="C2583">
        <f>C2584*(1+G2583*3)</f>
        <v>1.7329827346626365</v>
      </c>
      <c r="D2583">
        <f t="shared" si="82"/>
        <v>1.8909108532207619</v>
      </c>
      <c r="F2583">
        <v>4224.740234375</v>
      </c>
      <c r="G2583">
        <f t="shared" si="81"/>
        <v>-8.5329756278781366E-3</v>
      </c>
    </row>
    <row r="2584" spans="1:7" x14ac:dyDescent="0.25">
      <c r="A2584" s="1">
        <v>42271</v>
      </c>
      <c r="B2584">
        <v>1.9395829439163199</v>
      </c>
      <c r="C2584">
        <f>C2585*(1+G2584*3)</f>
        <v>1.7785107000345832</v>
      </c>
      <c r="D2584">
        <f t="shared" si="82"/>
        <v>1.9404619056351984</v>
      </c>
      <c r="F2584">
        <v>4261.10009765625</v>
      </c>
      <c r="G2584">
        <f t="shared" si="81"/>
        <v>-2.9085295118741472E-3</v>
      </c>
    </row>
    <row r="2585" spans="1:7" x14ac:dyDescent="0.25">
      <c r="A2585" s="1">
        <v>42270</v>
      </c>
      <c r="B2585">
        <v>1.96229195594787</v>
      </c>
      <c r="C2585">
        <f>C2586*(1+G2585*3)</f>
        <v>1.7941658530328115</v>
      </c>
      <c r="D2585">
        <f t="shared" si="82"/>
        <v>1.9574177655492719</v>
      </c>
      <c r="F2585">
        <v>4273.52978515625</v>
      </c>
      <c r="G2585">
        <f t="shared" si="81"/>
        <v>-1.3343452117853261E-4</v>
      </c>
    </row>
    <row r="2586" spans="1:7" x14ac:dyDescent="0.25">
      <c r="A2586" s="1">
        <v>42269</v>
      </c>
      <c r="B2586">
        <v>1.95916700363159</v>
      </c>
      <c r="C2586">
        <f>C2587*(1+G2586*3)</f>
        <v>1.7948843516349053</v>
      </c>
      <c r="D2586">
        <f t="shared" si="82"/>
        <v>1.9580777872334125</v>
      </c>
      <c r="F2586">
        <v>4274.10009765625</v>
      </c>
      <c r="G2586">
        <f t="shared" si="81"/>
        <v>-1.4305333749831339E-2</v>
      </c>
    </row>
    <row r="2587" spans="1:7" x14ac:dyDescent="0.25">
      <c r="A2587" s="1">
        <v>42268</v>
      </c>
      <c r="B2587">
        <v>2.0495829582214302</v>
      </c>
      <c r="C2587">
        <f>C2588*(1+G2587*3)</f>
        <v>1.8753676312404826</v>
      </c>
      <c r="D2587">
        <f t="shared" si="82"/>
        <v>2.0457435743289318</v>
      </c>
      <c r="F2587">
        <v>4336.1298828125</v>
      </c>
      <c r="G2587">
        <f t="shared" si="81"/>
        <v>2.8377468093840896E-3</v>
      </c>
    </row>
    <row r="2588" spans="1:7" x14ac:dyDescent="0.25">
      <c r="A2588" s="1">
        <v>42265</v>
      </c>
      <c r="B2588">
        <v>2.0322918891906698</v>
      </c>
      <c r="C2588">
        <f>C2589*(1+G2588*3)</f>
        <v>1.8595369461330202</v>
      </c>
      <c r="D2588">
        <f t="shared" si="82"/>
        <v>2.0283475174489816</v>
      </c>
      <c r="F2588">
        <v>4323.85986328125</v>
      </c>
      <c r="G2588">
        <f t="shared" si="81"/>
        <v>-1.3934014951230478E-2</v>
      </c>
    </row>
    <row r="2589" spans="1:7" x14ac:dyDescent="0.25">
      <c r="A2589" s="1">
        <v>42264</v>
      </c>
      <c r="B2589">
        <v>2.1220829486846902</v>
      </c>
      <c r="C2589">
        <f>C2590*(1+G2589*3)</f>
        <v>1.9406605244206401</v>
      </c>
      <c r="D2589">
        <f t="shared" si="82"/>
        <v>2.1166959016560929</v>
      </c>
      <c r="F2589">
        <v>4384.9599609375</v>
      </c>
      <c r="G2589">
        <f t="shared" si="81"/>
        <v>2.9428289207245051E-4</v>
      </c>
    </row>
    <row r="2590" spans="1:7" x14ac:dyDescent="0.25">
      <c r="A2590" s="1">
        <v>42263</v>
      </c>
      <c r="B2590">
        <v>2.11625003814697</v>
      </c>
      <c r="C2590">
        <f>C2591*(1+G2590*3)</f>
        <v>1.9389487261045453</v>
      </c>
      <c r="D2590">
        <f t="shared" si="82"/>
        <v>2.1146952394441323</v>
      </c>
      <c r="F2590">
        <v>4383.669921875</v>
      </c>
      <c r="G2590">
        <f t="shared" si="81"/>
        <v>5.364366020358835E-3</v>
      </c>
    </row>
    <row r="2591" spans="1:7" x14ac:dyDescent="0.25">
      <c r="A2591" s="1">
        <v>42262</v>
      </c>
      <c r="B2591">
        <v>2.0814580917358398</v>
      </c>
      <c r="C2591">
        <f>C2592*(1+G2591*3)</f>
        <v>1.9082392448137628</v>
      </c>
      <c r="D2591">
        <f t="shared" si="82"/>
        <v>2.0810727511255731</v>
      </c>
      <c r="F2591">
        <v>4360.27978515625</v>
      </c>
      <c r="G2591">
        <f t="shared" si="81"/>
        <v>1.1957041546449831E-2</v>
      </c>
    </row>
    <row r="2592" spans="1:7" x14ac:dyDescent="0.25">
      <c r="A2592" s="1">
        <v>42261</v>
      </c>
      <c r="B2592">
        <v>2.0112500190734801</v>
      </c>
      <c r="C2592">
        <f>C2593*(1+G2592*3)</f>
        <v>1.8421589321530112</v>
      </c>
      <c r="D2592">
        <f t="shared" si="82"/>
        <v>2.0088847786282806</v>
      </c>
      <c r="F2592">
        <v>4308.759765625</v>
      </c>
      <c r="G2592">
        <f t="shared" si="81"/>
        <v>-3.3470842192349082E-3</v>
      </c>
    </row>
    <row r="2593" spans="1:7" x14ac:dyDescent="0.25">
      <c r="A2593" s="1">
        <v>42258</v>
      </c>
      <c r="B2593">
        <v>2.02937507629394</v>
      </c>
      <c r="C2593">
        <f>C2594*(1+G2593*3)</f>
        <v>1.8608441383023135</v>
      </c>
      <c r="D2593">
        <f t="shared" si="82"/>
        <v>2.0291315043780673</v>
      </c>
      <c r="F2593">
        <v>4323.22998046875</v>
      </c>
      <c r="G2593">
        <f t="shared" si="81"/>
        <v>6.2682254510888491E-3</v>
      </c>
    </row>
    <row r="2594" spans="1:7" x14ac:dyDescent="0.25">
      <c r="A2594" s="1">
        <v>42257</v>
      </c>
      <c r="B2594">
        <v>1.9970829486846899</v>
      </c>
      <c r="C2594">
        <f>C2595*(1+G2594*3)</f>
        <v>1.8264974449892228</v>
      </c>
      <c r="D2594">
        <f t="shared" si="82"/>
        <v>1.9915550359812944</v>
      </c>
      <c r="F2594">
        <v>4296.2998046875</v>
      </c>
      <c r="G2594">
        <f t="shared" si="81"/>
        <v>1.0074082781602156E-2</v>
      </c>
    </row>
    <row r="2595" spans="1:7" x14ac:dyDescent="0.25">
      <c r="A2595" s="1">
        <v>42256</v>
      </c>
      <c r="B2595">
        <v>1.9352079629898</v>
      </c>
      <c r="C2595">
        <f>C2596*(1+G2595*3)</f>
        <v>1.7729159391808338</v>
      </c>
      <c r="D2595">
        <f t="shared" si="82"/>
        <v>1.933012823337136</v>
      </c>
      <c r="F2595">
        <v>4253.4501953125</v>
      </c>
      <c r="G2595">
        <f t="shared" si="81"/>
        <v>-1.1636863770871253E-2</v>
      </c>
    </row>
    <row r="2596" spans="1:7" x14ac:dyDescent="0.25">
      <c r="A2596" s="1">
        <v>42255</v>
      </c>
      <c r="B2596">
        <v>2.00500011444091</v>
      </c>
      <c r="C2596">
        <f>C2597*(1+G2596*3)</f>
        <v>1.8370483845555499</v>
      </c>
      <c r="D2596">
        <f t="shared" si="82"/>
        <v>2.0028053091340285</v>
      </c>
      <c r="F2596">
        <v>4303.52978515625</v>
      </c>
      <c r="G2596">
        <f t="shared" si="81"/>
        <v>2.8391281665872681E-2</v>
      </c>
    </row>
    <row r="2597" spans="1:7" x14ac:dyDescent="0.25">
      <c r="A2597" s="1">
        <v>42251</v>
      </c>
      <c r="B2597">
        <v>1.8481249809265099</v>
      </c>
      <c r="C2597">
        <f>C2598*(1+G2597*3)</f>
        <v>1.692860911663036</v>
      </c>
      <c r="D2597">
        <f t="shared" si="82"/>
        <v>1.8455002693795171</v>
      </c>
      <c r="F2597">
        <v>4184.72021484375</v>
      </c>
      <c r="G2597">
        <f t="shared" si="81"/>
        <v>-1.1790747441096761E-2</v>
      </c>
    </row>
    <row r="2598" spans="1:7" x14ac:dyDescent="0.25">
      <c r="A2598" s="1">
        <v>42250</v>
      </c>
      <c r="B2598">
        <v>1.912083029747</v>
      </c>
      <c r="C2598">
        <f>C2599*(1+G2598*3)</f>
        <v>1.7549369673336626</v>
      </c>
      <c r="D2598">
        <f t="shared" si="82"/>
        <v>1.9130481141178726</v>
      </c>
      <c r="F2598">
        <v>4234.64990234375</v>
      </c>
      <c r="G2598">
        <f t="shared" si="81"/>
        <v>-5.0702330992516975E-3</v>
      </c>
    </row>
    <row r="2599" spans="1:7" x14ac:dyDescent="0.25">
      <c r="A2599" s="1">
        <v>42249</v>
      </c>
      <c r="B2599">
        <v>1.9441670179367001</v>
      </c>
      <c r="C2599">
        <f>C2600*(1+G2599*3)</f>
        <v>1.7820430888944792</v>
      </c>
      <c r="D2599">
        <f t="shared" si="82"/>
        <v>1.9424716491688843</v>
      </c>
      <c r="F2599">
        <v>4256.22998046875</v>
      </c>
      <c r="G2599">
        <f t="shared" si="81"/>
        <v>2.7422217497046875E-2</v>
      </c>
    </row>
    <row r="2600" spans="1:7" x14ac:dyDescent="0.25">
      <c r="A2600" s="1">
        <v>42248</v>
      </c>
      <c r="B2600">
        <v>1.79791700839996</v>
      </c>
      <c r="C2600">
        <f>C2601*(1+G2600*3)</f>
        <v>1.6465841248943656</v>
      </c>
      <c r="D2600">
        <f t="shared" si="82"/>
        <v>1.7947131328130406</v>
      </c>
      <c r="F2600">
        <v>4142.6298828125</v>
      </c>
      <c r="G2600">
        <f t="shared" si="81"/>
        <v>-3.0868574901134704E-2</v>
      </c>
    </row>
    <row r="2601" spans="1:7" x14ac:dyDescent="0.25">
      <c r="A2601" s="1">
        <v>42247</v>
      </c>
      <c r="B2601">
        <v>1.9772919416427599</v>
      </c>
      <c r="C2601">
        <f>C2602*(1+G2601*3)</f>
        <v>1.8146291746839089</v>
      </c>
      <c r="D2601">
        <f t="shared" si="82"/>
        <v>1.9777379412467988</v>
      </c>
      <c r="F2601">
        <v>4274.580078125</v>
      </c>
      <c r="G2601">
        <f t="shared" si="81"/>
        <v>-1.2598412052824526E-2</v>
      </c>
    </row>
    <row r="2602" spans="1:7" x14ac:dyDescent="0.25">
      <c r="A2602" s="1">
        <v>42244</v>
      </c>
      <c r="B2602">
        <v>2.0535418987274099</v>
      </c>
      <c r="C2602">
        <f>C2603*(1+G2602*3)</f>
        <v>1.8859074937845304</v>
      </c>
      <c r="D2602">
        <f t="shared" si="82"/>
        <v>2.0552880898048858</v>
      </c>
      <c r="F2602">
        <v>4329.1201171875</v>
      </c>
      <c r="G2602">
        <f t="shared" si="81"/>
        <v>9.9432881450201016E-4</v>
      </c>
    </row>
    <row r="2603" spans="1:7" x14ac:dyDescent="0.25">
      <c r="A2603" s="1">
        <v>42243</v>
      </c>
      <c r="B2603">
        <v>2.0552079677581698</v>
      </c>
      <c r="C2603">
        <f>C2604*(1+G2603*3)</f>
        <v>1.8802985885850376</v>
      </c>
      <c r="D2603">
        <f t="shared" si="82"/>
        <v>2.049046257081891</v>
      </c>
      <c r="F2603">
        <v>4324.81982421875</v>
      </c>
      <c r="G2603">
        <f t="shared" si="81"/>
        <v>2.4935947513354151E-2</v>
      </c>
    </row>
    <row r="2604" spans="1:7" x14ac:dyDescent="0.25">
      <c r="A2604" s="1">
        <v>42242</v>
      </c>
      <c r="B2604">
        <v>1.90625</v>
      </c>
      <c r="C2604">
        <f>C2605*(1+G2604*3)</f>
        <v>1.7494276782921327</v>
      </c>
      <c r="D2604">
        <f t="shared" si="82"/>
        <v>1.9063181759306189</v>
      </c>
      <c r="F2604">
        <v>4219.60009765625</v>
      </c>
      <c r="G2604">
        <f t="shared" si="81"/>
        <v>5.0613503365511958E-2</v>
      </c>
    </row>
    <row r="2605" spans="1:7" x14ac:dyDescent="0.25">
      <c r="A2605" s="1">
        <v>42241</v>
      </c>
      <c r="B2605">
        <v>1.6658329963684</v>
      </c>
      <c r="C2605">
        <f>C2606*(1+G2605*3)</f>
        <v>1.518810688595692</v>
      </c>
      <c r="D2605">
        <f t="shared" si="82"/>
        <v>1.6549283713215592</v>
      </c>
      <c r="F2605">
        <v>4016.32006835937</v>
      </c>
      <c r="G2605">
        <f t="shared" si="81"/>
        <v>-5.5167703556017189E-3</v>
      </c>
    </row>
    <row r="2606" spans="1:7" x14ac:dyDescent="0.25">
      <c r="A2606" s="1">
        <v>42240</v>
      </c>
      <c r="B2606">
        <v>1.6881250143051101</v>
      </c>
      <c r="C2606">
        <f>C2607*(1+G2606*3)</f>
        <v>1.5443705007860997</v>
      </c>
      <c r="D2606">
        <f t="shared" si="82"/>
        <v>1.6826707042954572</v>
      </c>
      <c r="F2606">
        <v>4038.60009765625</v>
      </c>
      <c r="G2606">
        <f t="shared" si="81"/>
        <v>-3.7803124682628919E-2</v>
      </c>
    </row>
    <row r="2607" spans="1:7" x14ac:dyDescent="0.25">
      <c r="A2607" s="1">
        <v>42237</v>
      </c>
      <c r="B2607">
        <v>1.91499996185302</v>
      </c>
      <c r="C2607">
        <f>C2608*(1+G2607*3)</f>
        <v>1.7419206289572418</v>
      </c>
      <c r="D2607">
        <f t="shared" si="82"/>
        <v>1.8977763399541692</v>
      </c>
      <c r="F2607">
        <v>4197.27001953125</v>
      </c>
      <c r="G2607">
        <f t="shared" si="81"/>
        <v>-4.2840205034192058E-2</v>
      </c>
    </row>
    <row r="2608" spans="1:7" x14ac:dyDescent="0.25">
      <c r="A2608" s="1">
        <v>42236</v>
      </c>
      <c r="B2608">
        <v>2.18708300590515</v>
      </c>
      <c r="C2608">
        <f>C2609*(1+G2608*3)</f>
        <v>1.9988087603039193</v>
      </c>
      <c r="D2608">
        <f t="shared" si="82"/>
        <v>2.1774911674426147</v>
      </c>
      <c r="F2608">
        <v>4385.1298828125</v>
      </c>
      <c r="G2608">
        <f t="shared" si="81"/>
        <v>-2.7881358986907023E-2</v>
      </c>
    </row>
    <row r="2609" spans="1:7" x14ac:dyDescent="0.25">
      <c r="A2609" s="1">
        <v>42235</v>
      </c>
      <c r="B2609">
        <v>2.3833329677581698</v>
      </c>
      <c r="C2609">
        <f>C2610*(1+G2609*3)</f>
        <v>2.1812580789290559</v>
      </c>
      <c r="D2609">
        <f t="shared" si="82"/>
        <v>2.3760864957986025</v>
      </c>
      <c r="F2609">
        <v>4510.89990234375</v>
      </c>
      <c r="G2609">
        <f t="shared" si="81"/>
        <v>-6.8624928900914428E-3</v>
      </c>
    </row>
    <row r="2610" spans="1:7" x14ac:dyDescent="0.25">
      <c r="A2610" s="1">
        <v>42234</v>
      </c>
      <c r="B2610">
        <v>2.4289579391479399</v>
      </c>
      <c r="C2610">
        <f>C2611*(1+G2610*3)</f>
        <v>2.2271086303528285</v>
      </c>
      <c r="D2610">
        <f t="shared" si="82"/>
        <v>2.4258757802794513</v>
      </c>
      <c r="F2610">
        <v>4542.06982421875</v>
      </c>
      <c r="G2610">
        <f t="shared" si="81"/>
        <v>-5.321577608719319E-3</v>
      </c>
    </row>
    <row r="2611" spans="1:7" x14ac:dyDescent="0.25">
      <c r="A2611" s="1">
        <v>42233</v>
      </c>
      <c r="B2611">
        <v>2.46833300590515</v>
      </c>
      <c r="C2611">
        <f>C2612*(1+G2611*3)</f>
        <v>2.2632406628566311</v>
      </c>
      <c r="D2611">
        <f t="shared" si="82"/>
        <v>2.4650741710082622</v>
      </c>
      <c r="F2611">
        <v>4566.3701171875</v>
      </c>
      <c r="G2611">
        <f t="shared" si="81"/>
        <v>7.8640312552402669E-3</v>
      </c>
    </row>
    <row r="2612" spans="1:7" x14ac:dyDescent="0.25">
      <c r="A2612" s="1">
        <v>42230</v>
      </c>
      <c r="B2612">
        <v>2.4091670513153001</v>
      </c>
      <c r="C2612">
        <f>C2613*(1+G2612*3)</f>
        <v>2.2110767332427641</v>
      </c>
      <c r="D2612">
        <f t="shared" si="82"/>
        <v>2.4081095662297276</v>
      </c>
      <c r="F2612">
        <v>4530.740234375</v>
      </c>
      <c r="G2612">
        <f t="shared" si="81"/>
        <v>2.5270196844775494E-3</v>
      </c>
    </row>
    <row r="2613" spans="1:7" x14ac:dyDescent="0.25">
      <c r="A2613" s="1">
        <v>42229</v>
      </c>
      <c r="B2613">
        <v>2.3962500095367401</v>
      </c>
      <c r="C2613">
        <f>C2614*(1+G2613*3)</f>
        <v>2.1944405498451407</v>
      </c>
      <c r="D2613">
        <f t="shared" si="82"/>
        <v>2.3898409379317793</v>
      </c>
      <c r="F2613">
        <v>4519.31982421875</v>
      </c>
      <c r="G2613">
        <f t="shared" si="81"/>
        <v>-1.9588659712329592E-3</v>
      </c>
    </row>
    <row r="2614" spans="1:7" x14ac:dyDescent="0.25">
      <c r="A2614" s="1">
        <v>42228</v>
      </c>
      <c r="B2614">
        <v>2.40708303451538</v>
      </c>
      <c r="C2614">
        <f>C2615*(1+G2614*3)</f>
        <v>2.2074126262794067</v>
      </c>
      <c r="D2614">
        <f t="shared" si="82"/>
        <v>2.4038152067874363</v>
      </c>
      <c r="F2614">
        <v>4528.18994140625</v>
      </c>
      <c r="G2614">
        <f t="shared" si="81"/>
        <v>3.1457106227470444E-3</v>
      </c>
    </row>
    <row r="2615" spans="1:7" x14ac:dyDescent="0.25">
      <c r="A2615" s="1">
        <v>42227</v>
      </c>
      <c r="B2615">
        <v>2.3860421180725</v>
      </c>
      <c r="C2615">
        <f>C2616*(1+G2615*3)</f>
        <v>2.1867757352991188</v>
      </c>
      <c r="D2615">
        <f t="shared" si="82"/>
        <v>2.381193018037314</v>
      </c>
      <c r="F2615">
        <v>4513.990234375</v>
      </c>
      <c r="G2615">
        <f t="shared" si="81"/>
        <v>-1.2927664253364557E-2</v>
      </c>
    </row>
    <row r="2616" spans="1:7" x14ac:dyDescent="0.25">
      <c r="A2616" s="1">
        <v>42226</v>
      </c>
      <c r="B2616">
        <v>2.4806249141693102</v>
      </c>
      <c r="C2616">
        <f>C2617*(1+G2616*3)</f>
        <v>2.2750073280313177</v>
      </c>
      <c r="D2616">
        <f t="shared" si="82"/>
        <v>2.4771059808111087</v>
      </c>
      <c r="F2616">
        <v>4573.10986328125</v>
      </c>
      <c r="G2616">
        <f t="shared" si="81"/>
        <v>1.1732045503549449E-2</v>
      </c>
    </row>
    <row r="2617" spans="1:7" x14ac:dyDescent="0.25">
      <c r="A2617" s="1">
        <v>42223</v>
      </c>
      <c r="B2617">
        <v>2.3995831012725799</v>
      </c>
      <c r="C2617">
        <f>C2618*(1+G2617*3)</f>
        <v>2.1976582483197049</v>
      </c>
      <c r="D2617">
        <f t="shared" si="82"/>
        <v>2.3927395081597571</v>
      </c>
      <c r="F2617">
        <v>4520.080078125</v>
      </c>
      <c r="G2617">
        <f t="shared" si="81"/>
        <v>-1.8614705358456218E-3</v>
      </c>
    </row>
    <row r="2618" spans="1:7" x14ac:dyDescent="0.25">
      <c r="A2618" s="1">
        <v>42222</v>
      </c>
      <c r="B2618">
        <v>2.4091670513153001</v>
      </c>
      <c r="C2618">
        <f>C2619*(1+G2618*3)</f>
        <v>2.20999979683782</v>
      </c>
      <c r="D2618">
        <f t="shared" si="82"/>
        <v>2.406023608120389</v>
      </c>
      <c r="F2618">
        <v>4528.509765625</v>
      </c>
      <c r="G2618">
        <f t="shared" si="81"/>
        <v>-1.6020560638989045E-2</v>
      </c>
    </row>
    <row r="2619" spans="1:7" x14ac:dyDescent="0.25">
      <c r="A2619" s="1">
        <v>42221</v>
      </c>
      <c r="B2619">
        <v>2.5306251049041699</v>
      </c>
      <c r="C2619">
        <f>C2620*(1+G2619*3)</f>
        <v>2.3215787775916095</v>
      </c>
      <c r="D2619">
        <f t="shared" si="82"/>
        <v>2.5273316203839982</v>
      </c>
      <c r="F2619">
        <v>4602.240234375</v>
      </c>
      <c r="G2619">
        <f t="shared" si="81"/>
        <v>7.6125333928289685E-3</v>
      </c>
    </row>
    <row r="2620" spans="1:7" x14ac:dyDescent="0.25">
      <c r="A2620" s="1">
        <v>42220</v>
      </c>
      <c r="B2620">
        <v>2.4727079868316602</v>
      </c>
      <c r="C2620">
        <f>C2621*(1+G2620*3)</f>
        <v>2.269743287875309</v>
      </c>
      <c r="D2620">
        <f t="shared" si="82"/>
        <v>2.4707494144770266</v>
      </c>
      <c r="F2620">
        <v>4567.47021484375</v>
      </c>
      <c r="G2620">
        <f t="shared" si="81"/>
        <v>-2.835904298810088E-3</v>
      </c>
    </row>
    <row r="2621" spans="1:7" x14ac:dyDescent="0.25">
      <c r="A2621" s="1">
        <v>42219</v>
      </c>
      <c r="B2621">
        <v>2.4887499809265101</v>
      </c>
      <c r="C2621">
        <f>C2622*(1+G2621*3)</f>
        <v>2.2892193085090686</v>
      </c>
      <c r="D2621">
        <f t="shared" si="82"/>
        <v>2.4917913104857763</v>
      </c>
      <c r="F2621">
        <v>4580.4599609375</v>
      </c>
      <c r="G2621">
        <f t="shared" si="81"/>
        <v>-1.8414383861908856E-3</v>
      </c>
    </row>
    <row r="2622" spans="1:7" x14ac:dyDescent="0.25">
      <c r="A2622" s="1">
        <v>42216</v>
      </c>
      <c r="B2622">
        <v>2.5118749141693102</v>
      </c>
      <c r="C2622">
        <f>C2623*(1+G2622*3)</f>
        <v>2.3019359280504608</v>
      </c>
      <c r="D2622">
        <f t="shared" si="82"/>
        <v>2.5054739238905257</v>
      </c>
      <c r="F2622">
        <v>4588.91015625</v>
      </c>
      <c r="G2622">
        <f t="shared" si="81"/>
        <v>-2.1049251681264369E-3</v>
      </c>
    </row>
    <row r="2623" spans="1:7" x14ac:dyDescent="0.25">
      <c r="A2623" s="1">
        <v>42215</v>
      </c>
      <c r="B2623">
        <v>2.5195829868316602</v>
      </c>
      <c r="C2623">
        <f>C2624*(1+G2623*3)</f>
        <v>2.3165645128907779</v>
      </c>
      <c r="D2623">
        <f t="shared" si="82"/>
        <v>2.5212355496438654</v>
      </c>
      <c r="F2623">
        <v>4598.58984375</v>
      </c>
      <c r="G2623">
        <f t="shared" si="81"/>
        <v>3.7082560091705741E-3</v>
      </c>
    </row>
    <row r="2624" spans="1:7" x14ac:dyDescent="0.25">
      <c r="A2624" s="1">
        <v>42214</v>
      </c>
      <c r="B2624">
        <v>2.4849998950958199</v>
      </c>
      <c r="C2624">
        <f>C2625*(1+G2624*3)</f>
        <v>2.2910768147929952</v>
      </c>
      <c r="D2624">
        <f t="shared" si="82"/>
        <v>2.4933400727383246</v>
      </c>
      <c r="F2624">
        <v>4581.60009765625</v>
      </c>
      <c r="G2624">
        <f t="shared" si="81"/>
        <v>4.6861928628658678E-3</v>
      </c>
    </row>
    <row r="2625" spans="1:7" x14ac:dyDescent="0.25">
      <c r="A2625" s="1">
        <v>42213</v>
      </c>
      <c r="B2625">
        <v>2.4574999809265101</v>
      </c>
      <c r="C2625">
        <f>C2626*(1+G2625*3)</f>
        <v>2.2593140703782582</v>
      </c>
      <c r="D2625">
        <f t="shared" si="82"/>
        <v>2.4586199196547924</v>
      </c>
      <c r="F2625">
        <v>4560.22998046875</v>
      </c>
      <c r="G2625">
        <f t="shared" si="81"/>
        <v>9.103633284841095E-3</v>
      </c>
    </row>
    <row r="2626" spans="1:7" x14ac:dyDescent="0.25">
      <c r="A2626" s="1">
        <v>42212</v>
      </c>
      <c r="B2626">
        <v>2.39437508583068</v>
      </c>
      <c r="C2626">
        <f>C2627*(1+G2626*3)</f>
        <v>2.1992505586168685</v>
      </c>
      <c r="D2626">
        <f t="shared" si="82"/>
        <v>2.3931106058075695</v>
      </c>
      <c r="F2626">
        <v>4519.08984375</v>
      </c>
      <c r="G2626">
        <f t="shared" ref="G2626:G2689" si="83">F2626/F2627-1</f>
        <v>-8.3996411204635413E-3</v>
      </c>
    </row>
    <row r="2627" spans="1:7" x14ac:dyDescent="0.25">
      <c r="A2627" s="1">
        <v>42209</v>
      </c>
      <c r="B2627">
        <v>2.4574999809265101</v>
      </c>
      <c r="C2627">
        <f>C2628*(1+G2627*3)</f>
        <v>2.2561018974255838</v>
      </c>
      <c r="D2627">
        <f t="shared" si="82"/>
        <v>2.4548140662391846</v>
      </c>
      <c r="F2627">
        <v>4557.3701171875</v>
      </c>
      <c r="G2627">
        <f t="shared" si="83"/>
        <v>-9.8765238268405664E-3</v>
      </c>
    </row>
    <row r="2628" spans="1:7" x14ac:dyDescent="0.25">
      <c r="A2628" s="1">
        <v>42208</v>
      </c>
      <c r="B2628">
        <v>2.52937507629394</v>
      </c>
      <c r="C2628">
        <f>C2629*(1+G2628*3)</f>
        <v>2.3249903656563222</v>
      </c>
      <c r="D2628">
        <f t="shared" si="82"/>
        <v>2.5296052457568288</v>
      </c>
      <c r="F2628">
        <v>4602.830078125</v>
      </c>
      <c r="G2628">
        <f t="shared" si="83"/>
        <v>-4.4146865002266944E-3</v>
      </c>
    </row>
    <row r="2629" spans="1:7" x14ac:dyDescent="0.25">
      <c r="A2629" s="1">
        <v>42207</v>
      </c>
      <c r="B2629">
        <v>2.5599999427795401</v>
      </c>
      <c r="C2629">
        <f>C2630*(1+G2629*3)</f>
        <v>2.3561959652148907</v>
      </c>
      <c r="D2629">
        <f t="shared" si="82"/>
        <v>2.5633928975875033</v>
      </c>
      <c r="F2629">
        <v>4623.240234375</v>
      </c>
      <c r="G2629">
        <f t="shared" si="83"/>
        <v>-1.0946818992035312E-2</v>
      </c>
    </row>
    <row r="2630" spans="1:7" x14ac:dyDescent="0.25">
      <c r="A2630" s="1">
        <v>42206</v>
      </c>
      <c r="B2630">
        <v>2.6468749046325599</v>
      </c>
      <c r="C2630">
        <f>C2631*(1+G2630*3)</f>
        <v>2.4362019505572721</v>
      </c>
      <c r="D2630">
        <f t="shared" si="82"/>
        <v>2.6502611150463973</v>
      </c>
      <c r="F2630">
        <v>4674.41015625</v>
      </c>
      <c r="G2630">
        <f t="shared" si="83"/>
        <v>-1.1261495087899753E-3</v>
      </c>
    </row>
    <row r="2631" spans="1:7" x14ac:dyDescent="0.25">
      <c r="A2631" s="1">
        <v>42205</v>
      </c>
      <c r="B2631">
        <v>2.6541669368743799</v>
      </c>
      <c r="C2631">
        <f>C2632*(1+G2631*3)</f>
        <v>2.4444604343093341</v>
      </c>
      <c r="D2631">
        <f t="shared" si="82"/>
        <v>2.6590765422317415</v>
      </c>
      <c r="F2631">
        <v>4679.68017578125</v>
      </c>
      <c r="G2631">
        <f t="shared" si="83"/>
        <v>3.8785133315253351E-3</v>
      </c>
    </row>
    <row r="2632" spans="1:7" x14ac:dyDescent="0.25">
      <c r="A2632" s="1">
        <v>42202</v>
      </c>
      <c r="B2632">
        <v>2.6247920989990199</v>
      </c>
      <c r="C2632">
        <f>C2633*(1+G2632*3)</f>
        <v>2.4163449559338734</v>
      </c>
      <c r="D2632">
        <f t="shared" si="82"/>
        <v>2.6283283407869344</v>
      </c>
      <c r="F2632">
        <v>4661.60009765625</v>
      </c>
      <c r="G2632">
        <f t="shared" si="83"/>
        <v>1.4516136745106767E-2</v>
      </c>
    </row>
    <row r="2633" spans="1:7" x14ac:dyDescent="0.25">
      <c r="A2633" s="1">
        <v>42201</v>
      </c>
      <c r="B2633">
        <v>2.5099999904632502</v>
      </c>
      <c r="C2633">
        <f>C2634*(1+G2633*3)</f>
        <v>2.3155082526444435</v>
      </c>
      <c r="D2633">
        <f t="shared" si="82"/>
        <v>2.5184927481013557</v>
      </c>
      <c r="F2633">
        <v>4594.89990234375</v>
      </c>
      <c r="G2633">
        <f t="shared" si="83"/>
        <v>1.4694070496041656E-2</v>
      </c>
    </row>
    <row r="2634" spans="1:7" x14ac:dyDescent="0.25">
      <c r="A2634" s="1">
        <v>42200</v>
      </c>
      <c r="B2634">
        <v>2.4156250953674299</v>
      </c>
      <c r="C2634">
        <f>C2635*(1+G2634*3)</f>
        <v>2.2177451422567209</v>
      </c>
      <c r="D2634">
        <f t="shared" si="82"/>
        <v>2.4120133601280265</v>
      </c>
      <c r="F2634">
        <v>4528.35986328125</v>
      </c>
      <c r="G2634">
        <f t="shared" si="83"/>
        <v>1.0809507314659683E-3</v>
      </c>
    </row>
    <row r="2635" spans="1:7" x14ac:dyDescent="0.25">
      <c r="A2635" s="1">
        <v>42199</v>
      </c>
      <c r="B2635">
        <v>2.4041669368743799</v>
      </c>
      <c r="C2635">
        <f>C2636*(1+G2635*3)</f>
        <v>2.210576569178476</v>
      </c>
      <c r="D2635">
        <f t="shared" si="82"/>
        <v>2.4040653292117011</v>
      </c>
      <c r="F2635">
        <v>4523.47021484375</v>
      </c>
      <c r="G2635">
        <f t="shared" si="83"/>
        <v>6.4523733863499633E-3</v>
      </c>
    </row>
    <row r="2636" spans="1:7" x14ac:dyDescent="0.25">
      <c r="A2636" s="1">
        <v>42198</v>
      </c>
      <c r="B2636">
        <v>2.3568749427795401</v>
      </c>
      <c r="C2636">
        <f>C2637*(1+G2636*3)</f>
        <v>2.168598742738522</v>
      </c>
      <c r="D2636">
        <f t="shared" si="82"/>
        <v>2.3582669655088226</v>
      </c>
      <c r="F2636">
        <v>4494.47021484375</v>
      </c>
      <c r="G2636">
        <f t="shared" si="83"/>
        <v>1.6813980100673032E-2</v>
      </c>
    </row>
    <row r="2637" spans="1:7" x14ac:dyDescent="0.25">
      <c r="A2637" s="1">
        <v>42195</v>
      </c>
      <c r="B2637">
        <v>2.2422919273376398</v>
      </c>
      <c r="C2637">
        <f>C2638*(1+G2637*3)</f>
        <v>2.064463212612222</v>
      </c>
      <c r="D2637">
        <f t="shared" si="82"/>
        <v>2.2448884959342212</v>
      </c>
      <c r="F2637">
        <v>4420.14990234375</v>
      </c>
      <c r="G2637">
        <f t="shared" si="83"/>
        <v>1.5652493330776673E-2</v>
      </c>
    </row>
    <row r="2638" spans="1:7" x14ac:dyDescent="0.25">
      <c r="A2638" s="1">
        <v>42194</v>
      </c>
      <c r="B2638">
        <v>2.1427080631256099</v>
      </c>
      <c r="C2638">
        <f>C2639*(1+G2638*3)</f>
        <v>1.9718692039215826</v>
      </c>
      <c r="D2638">
        <f t="shared" si="82"/>
        <v>2.1440726820894116</v>
      </c>
      <c r="F2638">
        <v>4352.02978515625</v>
      </c>
      <c r="G2638">
        <f t="shared" si="83"/>
        <v>1.0334338864881332E-4</v>
      </c>
    </row>
    <row r="2639" spans="1:7" x14ac:dyDescent="0.25">
      <c r="A2639" s="1">
        <v>42193</v>
      </c>
      <c r="B2639">
        <v>2.1489579677581698</v>
      </c>
      <c r="C2639">
        <f>C2640*(1+G2639*3)</f>
        <v>1.9712580544598353</v>
      </c>
      <c r="D2639">
        <f t="shared" si="82"/>
        <v>2.1432726897095589</v>
      </c>
      <c r="F2639">
        <v>4351.580078125</v>
      </c>
      <c r="G2639">
        <f t="shared" si="83"/>
        <v>-1.7493549295728106E-2</v>
      </c>
    </row>
    <row r="2640" spans="1:7" x14ac:dyDescent="0.25">
      <c r="A2640" s="1">
        <v>42192</v>
      </c>
      <c r="B2640">
        <v>2.2622919082641602</v>
      </c>
      <c r="C2640">
        <f>C2641*(1+G2640*3)</f>
        <v>2.0804409430416877</v>
      </c>
      <c r="D2640">
        <f t="shared" si="82"/>
        <v>2.261832094042171</v>
      </c>
      <c r="F2640">
        <v>4429.06005859375</v>
      </c>
      <c r="G2640">
        <f t="shared" si="83"/>
        <v>2.3536325438018313E-3</v>
      </c>
    </row>
    <row r="2641" spans="1:7" x14ac:dyDescent="0.25">
      <c r="A2641" s="1">
        <v>42191</v>
      </c>
      <c r="B2641">
        <v>2.25083303451538</v>
      </c>
      <c r="C2641">
        <f>C2642*(1+G2641*3)</f>
        <v>2.0658541583084582</v>
      </c>
      <c r="D2641">
        <f t="shared" si="82"/>
        <v>2.2458325028771315</v>
      </c>
      <c r="F2641">
        <v>4418.66015625</v>
      </c>
      <c r="G2641">
        <f t="shared" si="83"/>
        <v>-3.3225094148046086E-3</v>
      </c>
    </row>
    <row r="2642" spans="1:7" x14ac:dyDescent="0.25">
      <c r="A2642" s="1">
        <v>42187</v>
      </c>
      <c r="B2642">
        <v>2.2699999809265101</v>
      </c>
      <c r="C2642">
        <f>C2643*(1+G2642*3)</f>
        <v>2.0866529303277894</v>
      </c>
      <c r="D2642">
        <f t="shared" si="82"/>
        <v>2.2682984131548269</v>
      </c>
      <c r="F2642">
        <v>4433.39013671875</v>
      </c>
      <c r="G2642">
        <f t="shared" si="83"/>
        <v>9.3925044947873459E-4</v>
      </c>
    </row>
    <row r="2643" spans="1:7" x14ac:dyDescent="0.25">
      <c r="A2643" s="1">
        <v>42186</v>
      </c>
      <c r="B2643">
        <v>2.2614579200744598</v>
      </c>
      <c r="C2643">
        <f>C2644*(1+G2643*3)</f>
        <v>2.0807897821134271</v>
      </c>
      <c r="D2643">
        <f t="shared" si="82"/>
        <v>2.26178226689809</v>
      </c>
      <c r="F2643">
        <v>4429.22998046875</v>
      </c>
      <c r="G2643">
        <f t="shared" si="83"/>
        <v>7.3850327456166376E-3</v>
      </c>
    </row>
    <row r="2644" spans="1:7" x14ac:dyDescent="0.25">
      <c r="A2644" s="1">
        <v>42185</v>
      </c>
      <c r="B2644">
        <v>2.21604204177856</v>
      </c>
      <c r="C2644">
        <f>C2645*(1+G2644*3)</f>
        <v>2.035688894672298</v>
      </c>
      <c r="D2644">
        <f t="shared" ref="D2644:D2707" si="84">D2645*(1+3*G2644--0.0000632272285483554)</f>
        <v>2.2126215217951017</v>
      </c>
      <c r="F2644">
        <v>4396.759765625</v>
      </c>
      <c r="G2644">
        <f t="shared" si="83"/>
        <v>3.8561984683567196E-3</v>
      </c>
    </row>
    <row r="2645" spans="1:7" x14ac:dyDescent="0.25">
      <c r="A2645" s="1">
        <v>42184</v>
      </c>
      <c r="B2645">
        <v>2.1910419464111301</v>
      </c>
      <c r="C2645">
        <f>C2646*(1+G2645*3)</f>
        <v>2.012408158892212</v>
      </c>
      <c r="D2645">
        <f t="shared" si="84"/>
        <v>2.1871806247008938</v>
      </c>
      <c r="F2645">
        <v>4379.8701171875</v>
      </c>
      <c r="G2645">
        <f t="shared" si="83"/>
        <v>-2.32834865287318E-2</v>
      </c>
    </row>
    <row r="2646" spans="1:7" x14ac:dyDescent="0.25">
      <c r="A2646" s="1">
        <v>42181</v>
      </c>
      <c r="B2646">
        <v>2.3577079772949201</v>
      </c>
      <c r="C2646">
        <f>C2647*(1+G2646*3)</f>
        <v>2.1635318531651722</v>
      </c>
      <c r="D2646">
        <f t="shared" si="84"/>
        <v>2.3512691942988018</v>
      </c>
      <c r="F2646">
        <v>4484.27978515625</v>
      </c>
      <c r="G2646">
        <f t="shared" si="83"/>
        <v>-6.5861577649098946E-3</v>
      </c>
    </row>
    <row r="2647" spans="1:7" x14ac:dyDescent="0.25">
      <c r="A2647" s="1">
        <v>42180</v>
      </c>
      <c r="B2647">
        <v>2.4022920131683301</v>
      </c>
      <c r="C2647">
        <f>C2648*(1+G2647*3)</f>
        <v>2.2071416015572276</v>
      </c>
      <c r="D2647">
        <f t="shared" si="84"/>
        <v>2.3985084075778524</v>
      </c>
      <c r="F2647">
        <v>4514.009765625</v>
      </c>
      <c r="G2647">
        <f t="shared" si="83"/>
        <v>-2.3406117231743462E-3</v>
      </c>
    </row>
    <row r="2648" spans="1:7" x14ac:dyDescent="0.25">
      <c r="A2648" s="1">
        <v>42179</v>
      </c>
      <c r="B2648">
        <v>2.4181249141693102</v>
      </c>
      <c r="C2648">
        <f>C2649*(1+G2648*3)</f>
        <v>2.2227493813361292</v>
      </c>
      <c r="D2648">
        <f t="shared" si="84"/>
        <v>2.4153156421855249</v>
      </c>
      <c r="F2648">
        <v>4524.60009765625</v>
      </c>
      <c r="G2648">
        <f t="shared" si="83"/>
        <v>-5.3069939092854623E-3</v>
      </c>
    </row>
    <row r="2649" spans="1:7" x14ac:dyDescent="0.25">
      <c r="A2649" s="1">
        <v>42178</v>
      </c>
      <c r="B2649">
        <v>2.4558329582214302</v>
      </c>
      <c r="C2649">
        <f>C2650*(1+G2649*3)</f>
        <v>2.2587102662130283</v>
      </c>
      <c r="D2649">
        <f t="shared" si="84"/>
        <v>2.4542342869924352</v>
      </c>
      <c r="F2649">
        <v>4548.740234375</v>
      </c>
      <c r="G2649">
        <f t="shared" si="83"/>
        <v>1.0343648542034956E-3</v>
      </c>
    </row>
    <row r="2650" spans="1:7" x14ac:dyDescent="0.25">
      <c r="A2650" s="1">
        <v>42177</v>
      </c>
      <c r="B2650">
        <v>2.4497919082641602</v>
      </c>
      <c r="C2650">
        <f>C2651*(1+G2650*3)</f>
        <v>2.2517229569488153</v>
      </c>
      <c r="D2650">
        <f t="shared" si="84"/>
        <v>2.4464879189827533</v>
      </c>
      <c r="F2650">
        <v>4544.0400390625</v>
      </c>
      <c r="G2650">
        <f t="shared" si="83"/>
        <v>6.7842384970862035E-3</v>
      </c>
    </row>
    <row r="2651" spans="1:7" x14ac:dyDescent="0.25">
      <c r="A2651" s="1">
        <v>42174</v>
      </c>
      <c r="B2651">
        <v>2.3920829296111998</v>
      </c>
      <c r="C2651">
        <f>C2652*(1+G2651*3)</f>
        <v>2.2068084131718133</v>
      </c>
      <c r="D2651">
        <f t="shared" si="84"/>
        <v>2.3975398820817202</v>
      </c>
      <c r="F2651">
        <v>4513.419921875</v>
      </c>
      <c r="G2651">
        <f t="shared" si="83"/>
        <v>-4.0668105484736872E-3</v>
      </c>
    </row>
    <row r="2652" spans="1:7" x14ac:dyDescent="0.25">
      <c r="A2652" s="1">
        <v>42173</v>
      </c>
      <c r="B2652">
        <v>2.42916703224182</v>
      </c>
      <c r="C2652">
        <f>C2653*(1+G2652*3)</f>
        <v>2.2340649701313304</v>
      </c>
      <c r="D2652">
        <f t="shared" si="84"/>
        <v>2.4269968388337495</v>
      </c>
      <c r="F2652">
        <v>4531.85009765625</v>
      </c>
      <c r="G2652">
        <f t="shared" si="83"/>
        <v>1.4068113408936211E-2</v>
      </c>
    </row>
    <row r="2653" spans="1:7" x14ac:dyDescent="0.25">
      <c r="A2653" s="1">
        <v>42172</v>
      </c>
      <c r="B2653">
        <v>2.3306250572204501</v>
      </c>
      <c r="C2653">
        <f>C2654*(1+G2653*3)</f>
        <v>2.1435959186709437</v>
      </c>
      <c r="D2653">
        <f t="shared" si="84"/>
        <v>2.3285736931823928</v>
      </c>
      <c r="F2653">
        <v>4468.97998046875</v>
      </c>
      <c r="G2653">
        <f t="shared" si="83"/>
        <v>2.9354515163413364E-3</v>
      </c>
    </row>
    <row r="2654" spans="1:7" x14ac:dyDescent="0.25">
      <c r="A2654" s="1">
        <v>42171</v>
      </c>
      <c r="B2654">
        <v>2.3112499713897701</v>
      </c>
      <c r="C2654">
        <f>C2655*(1+G2654*3)</f>
        <v>2.1248834417079134</v>
      </c>
      <c r="D2654">
        <f t="shared" si="84"/>
        <v>2.3081017955557495</v>
      </c>
      <c r="F2654">
        <v>4455.89990234375</v>
      </c>
      <c r="G2654">
        <f t="shared" si="83"/>
        <v>5.1839376469111631E-3</v>
      </c>
    </row>
    <row r="2655" spans="1:7" x14ac:dyDescent="0.25">
      <c r="A2655" s="1">
        <v>42170</v>
      </c>
      <c r="B2655">
        <v>2.2764580249786301</v>
      </c>
      <c r="C2655">
        <f>C2656*(1+G2655*3)</f>
        <v>2.0923437038184081</v>
      </c>
      <c r="D2655">
        <f t="shared" si="84"/>
        <v>2.2726148237929178</v>
      </c>
      <c r="F2655">
        <v>4432.919921875</v>
      </c>
      <c r="G2655">
        <f t="shared" si="83"/>
        <v>-4.6859230014114628E-3</v>
      </c>
    </row>
    <row r="2656" spans="1:7" x14ac:dyDescent="0.25">
      <c r="A2656" s="1">
        <v>42167</v>
      </c>
      <c r="B2656">
        <v>2.3083329200744598</v>
      </c>
      <c r="C2656">
        <f>C2657*(1+G2656*3)</f>
        <v>2.1221767747033389</v>
      </c>
      <c r="D2656">
        <f t="shared" si="84"/>
        <v>2.3048704293033468</v>
      </c>
      <c r="F2656">
        <v>4453.7900390625</v>
      </c>
      <c r="G2656">
        <f t="shared" si="83"/>
        <v>-7.7265023763686269E-3</v>
      </c>
    </row>
    <row r="2657" spans="1:7" x14ac:dyDescent="0.25">
      <c r="A2657" s="1">
        <v>42166</v>
      </c>
      <c r="B2657">
        <v>2.3685419559478702</v>
      </c>
      <c r="C2657">
        <f>C2658*(1+G2657*3)</f>
        <v>2.1725350667718084</v>
      </c>
      <c r="D2657">
        <f t="shared" si="84"/>
        <v>2.3594112399259979</v>
      </c>
      <c r="F2657">
        <v>4488.47021484375</v>
      </c>
      <c r="G2657">
        <f t="shared" si="83"/>
        <v>6.7111376145700952E-4</v>
      </c>
    </row>
    <row r="2658" spans="1:7" x14ac:dyDescent="0.25">
      <c r="A2658" s="1">
        <v>42165</v>
      </c>
      <c r="B2658">
        <v>2.3556249141693102</v>
      </c>
      <c r="C2658">
        <f>C2659*(1+G2658*3)</f>
        <v>2.1681698009999288</v>
      </c>
      <c r="D2658">
        <f t="shared" si="84"/>
        <v>2.3545219138567042</v>
      </c>
      <c r="F2658">
        <v>4485.4599609375</v>
      </c>
      <c r="G2658">
        <f t="shared" si="83"/>
        <v>1.3065762215412891E-2</v>
      </c>
    </row>
    <row r="2659" spans="1:7" x14ac:dyDescent="0.25">
      <c r="A2659" s="1">
        <v>42164</v>
      </c>
      <c r="B2659">
        <v>2.2658329010009699</v>
      </c>
      <c r="C2659">
        <f>C2660*(1+G2659*3)</f>
        <v>2.0863890128092804</v>
      </c>
      <c r="D2659">
        <f t="shared" si="84"/>
        <v>2.2655743025183228</v>
      </c>
      <c r="F2659">
        <v>4427.60986328125</v>
      </c>
      <c r="G2659">
        <f t="shared" si="83"/>
        <v>-8.8003920785673095E-4</v>
      </c>
    </row>
    <row r="2660" spans="1:7" x14ac:dyDescent="0.25">
      <c r="A2660" s="1">
        <v>42163</v>
      </c>
      <c r="B2660">
        <v>2.2770829200744598</v>
      </c>
      <c r="C2660">
        <f>C2661*(1+G2660*3)</f>
        <v>2.0919119063000595</v>
      </c>
      <c r="D2660">
        <f t="shared" si="84"/>
        <v>2.2714275222834832</v>
      </c>
      <c r="F2660">
        <v>4431.509765625</v>
      </c>
      <c r="G2660">
        <f t="shared" si="83"/>
        <v>-1.0202867508208091E-2</v>
      </c>
    </row>
    <row r="2661" spans="1:7" x14ac:dyDescent="0.25">
      <c r="A2661" s="1">
        <v>42160</v>
      </c>
      <c r="B2661">
        <v>2.3489580154418901</v>
      </c>
      <c r="C2661">
        <f>C2662*(1+G2661*3)</f>
        <v>2.1579641739632809</v>
      </c>
      <c r="D2661">
        <f t="shared" si="84"/>
        <v>2.3429951896688177</v>
      </c>
      <c r="F2661">
        <v>4477.18994140625</v>
      </c>
      <c r="G2661">
        <f t="shared" si="83"/>
        <v>-2.192952625933442E-3</v>
      </c>
    </row>
    <row r="2662" spans="1:7" x14ac:dyDescent="0.25">
      <c r="A2662" s="1">
        <v>42159</v>
      </c>
      <c r="B2662">
        <v>2.3668749332427899</v>
      </c>
      <c r="C2662">
        <f>C2663*(1+G2662*3)</f>
        <v>2.1722551317493823</v>
      </c>
      <c r="D2662">
        <f t="shared" si="84"/>
        <v>2.3583614014984335</v>
      </c>
      <c r="F2662">
        <v>4487.02978515625</v>
      </c>
      <c r="G2662">
        <f t="shared" si="83"/>
        <v>-7.2635168164630892E-3</v>
      </c>
    </row>
    <row r="2663" spans="1:7" x14ac:dyDescent="0.25">
      <c r="A2663" s="1">
        <v>42158</v>
      </c>
      <c r="B2663">
        <v>2.41958308219909</v>
      </c>
      <c r="C2663">
        <f>C2664*(1+G2663*3)</f>
        <v>2.2206441910240349</v>
      </c>
      <c r="D2663">
        <f t="shared" si="84"/>
        <v>2.410740335979785</v>
      </c>
      <c r="F2663">
        <v>4519.85986328125</v>
      </c>
      <c r="G2663">
        <f t="shared" si="83"/>
        <v>2.4329105899401071E-3</v>
      </c>
    </row>
    <row r="2664" spans="1:7" x14ac:dyDescent="0.25">
      <c r="A2664" s="1">
        <v>42157</v>
      </c>
      <c r="B2664">
        <v>2.3985419273376398</v>
      </c>
      <c r="C2664">
        <f>C2665*(1+G2664*3)</f>
        <v>2.2045537445702634</v>
      </c>
      <c r="D2664">
        <f t="shared" si="84"/>
        <v>2.393122267964944</v>
      </c>
      <c r="F2664">
        <v>4508.89013671875</v>
      </c>
      <c r="G2664">
        <f t="shared" si="83"/>
        <v>-2.8660748714818274E-3</v>
      </c>
    </row>
    <row r="2665" spans="1:7" x14ac:dyDescent="0.25">
      <c r="A2665" s="1">
        <v>42156</v>
      </c>
      <c r="B2665">
        <v>2.4206249713897701</v>
      </c>
      <c r="C2665">
        <f>C2666*(1+G2665*3)</f>
        <v>2.2236733878279731</v>
      </c>
      <c r="D2665">
        <f t="shared" si="84"/>
        <v>2.4137233907956639</v>
      </c>
      <c r="F2665">
        <v>4521.85009765625</v>
      </c>
      <c r="G2665">
        <f t="shared" si="83"/>
        <v>3.0167132825931198E-3</v>
      </c>
    </row>
    <row r="2666" spans="1:7" x14ac:dyDescent="0.25">
      <c r="A2666" s="1">
        <v>42153</v>
      </c>
      <c r="B2666">
        <v>2.3995831012725799</v>
      </c>
      <c r="C2666">
        <f>C2667*(1+G2666*3)</f>
        <v>2.203729329211952</v>
      </c>
      <c r="D2666">
        <f t="shared" si="84"/>
        <v>2.3919249011524526</v>
      </c>
      <c r="F2666">
        <v>4508.25</v>
      </c>
      <c r="G2666">
        <f t="shared" si="83"/>
        <v>-6.043256175670364E-3</v>
      </c>
    </row>
    <row r="2667" spans="1:7" x14ac:dyDescent="0.25">
      <c r="A2667" s="1">
        <v>42152</v>
      </c>
      <c r="B2667">
        <v>2.4408330917358398</v>
      </c>
      <c r="C2667">
        <f>C2668*(1+G2667*3)</f>
        <v>2.2444201469535807</v>
      </c>
      <c r="D2667">
        <f t="shared" si="84"/>
        <v>2.4359337997458828</v>
      </c>
      <c r="F2667">
        <v>4535.66015625</v>
      </c>
      <c r="G2667">
        <f t="shared" si="83"/>
        <v>-2.2876737679895509E-3</v>
      </c>
    </row>
    <row r="2668" spans="1:7" x14ac:dyDescent="0.25">
      <c r="A2668" s="1">
        <v>42151</v>
      </c>
      <c r="B2668">
        <v>2.45895791053771</v>
      </c>
      <c r="C2668">
        <f>C2669*(1+G2668*3)</f>
        <v>2.2599300953434023</v>
      </c>
      <c r="D2668">
        <f t="shared" si="84"/>
        <v>2.4526110498318396</v>
      </c>
      <c r="F2668">
        <v>4546.06005859375</v>
      </c>
      <c r="G2668">
        <f t="shared" si="83"/>
        <v>1.6342667561220159E-2</v>
      </c>
    </row>
    <row r="2669" spans="1:7" x14ac:dyDescent="0.25">
      <c r="A2669" s="1">
        <v>42150</v>
      </c>
      <c r="B2669">
        <v>2.3460419178009002</v>
      </c>
      <c r="C2669">
        <f>C2670*(1+G2669*3)</f>
        <v>2.1543086453001914</v>
      </c>
      <c r="D2669">
        <f t="shared" si="84"/>
        <v>2.3378434400191122</v>
      </c>
      <c r="F2669">
        <v>4472.9599609375</v>
      </c>
      <c r="G2669">
        <f t="shared" si="83"/>
        <v>-1.1972228381996519E-2</v>
      </c>
    </row>
    <row r="2670" spans="1:7" x14ac:dyDescent="0.25">
      <c r="A2670" s="1">
        <v>42146</v>
      </c>
      <c r="B2670">
        <v>2.4302079677581698</v>
      </c>
      <c r="C2670">
        <f>C2671*(1+G2670*3)</f>
        <v>2.234566880380473</v>
      </c>
      <c r="D2670">
        <f t="shared" si="84"/>
        <v>2.4247801946884184</v>
      </c>
      <c r="F2670">
        <v>4527.16015625</v>
      </c>
      <c r="G2670">
        <f t="shared" si="83"/>
        <v>-5.1000635486675439E-4</v>
      </c>
    </row>
    <row r="2671" spans="1:7" x14ac:dyDescent="0.25">
      <c r="A2671" s="1">
        <v>42145</v>
      </c>
      <c r="B2671">
        <v>2.4368751049041699</v>
      </c>
      <c r="C2671">
        <f>C2672*(1+G2671*3)</f>
        <v>2.2379910493523871</v>
      </c>
      <c r="D2671">
        <f t="shared" si="84"/>
        <v>2.4283420670074465</v>
      </c>
      <c r="F2671">
        <v>4529.47021484375</v>
      </c>
      <c r="G2671">
        <f t="shared" si="83"/>
        <v>5.3648838488178363E-3</v>
      </c>
    </row>
    <row r="2672" spans="1:7" x14ac:dyDescent="0.25">
      <c r="A2672" s="1">
        <v>42144</v>
      </c>
      <c r="B2672">
        <v>2.3991670608520499</v>
      </c>
      <c r="C2672">
        <f>C2673*(1+G2672*3)</f>
        <v>2.2025419048769308</v>
      </c>
      <c r="D2672">
        <f t="shared" si="84"/>
        <v>2.3897291136834564</v>
      </c>
      <c r="F2672">
        <v>4505.2998046875</v>
      </c>
      <c r="G2672">
        <f t="shared" si="83"/>
        <v>3.5073001172314378E-4</v>
      </c>
    </row>
    <row r="2673" spans="1:7" x14ac:dyDescent="0.25">
      <c r="A2673" s="1">
        <v>42143</v>
      </c>
      <c r="B2673">
        <v>2.3952078819274898</v>
      </c>
      <c r="C2673">
        <f>C2674*(1+G2673*3)</f>
        <v>2.2002268481122349</v>
      </c>
      <c r="D2673">
        <f t="shared" si="84"/>
        <v>2.3870665384568186</v>
      </c>
      <c r="F2673">
        <v>4503.72021484375</v>
      </c>
      <c r="G2673">
        <f t="shared" si="83"/>
        <v>-2.0452209905478247E-3</v>
      </c>
    </row>
    <row r="2674" spans="1:7" x14ac:dyDescent="0.25">
      <c r="A2674" s="1">
        <v>42142</v>
      </c>
      <c r="B2674">
        <v>2.4020829200744598</v>
      </c>
      <c r="C2674">
        <f>C2675*(1+G2674*3)</f>
        <v>2.2138100404033905</v>
      </c>
      <c r="D2674">
        <f t="shared" si="84"/>
        <v>2.4016504062260045</v>
      </c>
      <c r="F2674">
        <v>4512.9501953125</v>
      </c>
      <c r="G2674">
        <f t="shared" si="83"/>
        <v>4.1519697411189771E-3</v>
      </c>
    </row>
    <row r="2675" spans="1:7" x14ac:dyDescent="0.25">
      <c r="A2675" s="1">
        <v>42139</v>
      </c>
      <c r="B2675">
        <v>2.3729169368743799</v>
      </c>
      <c r="C2675">
        <f>C2676*(1+G2675*3)</f>
        <v>2.1865742697887733</v>
      </c>
      <c r="D2675">
        <f t="shared" si="84"/>
        <v>2.3719555707775832</v>
      </c>
      <c r="F2675">
        <v>4494.2900390625</v>
      </c>
      <c r="G2675">
        <f t="shared" si="83"/>
        <v>-1.6685057162613148E-4</v>
      </c>
    </row>
    <row r="2676" spans="1:7" x14ac:dyDescent="0.25">
      <c r="A2676" s="1">
        <v>42138</v>
      </c>
      <c r="B2676">
        <v>2.37312507629394</v>
      </c>
      <c r="C2676">
        <f>C2677*(1+G2676*3)</f>
        <v>2.1876693114141887</v>
      </c>
      <c r="D2676">
        <f t="shared" si="84"/>
        <v>2.3729933388705695</v>
      </c>
      <c r="F2676">
        <v>4495.0400390625</v>
      </c>
      <c r="G2676">
        <f t="shared" si="83"/>
        <v>1.5470247678172289E-2</v>
      </c>
    </row>
    <row r="2677" spans="1:7" x14ac:dyDescent="0.25">
      <c r="A2677" s="1">
        <v>42137</v>
      </c>
      <c r="B2677">
        <v>2.27250003814697</v>
      </c>
      <c r="C2677">
        <f>C2678*(1+G2677*3)</f>
        <v>2.0906411043431214</v>
      </c>
      <c r="D2677">
        <f t="shared" si="84"/>
        <v>2.2676085658146286</v>
      </c>
      <c r="F2677">
        <v>4426.56005859375</v>
      </c>
      <c r="G2677">
        <f t="shared" si="83"/>
        <v>1.3369428433738229E-3</v>
      </c>
    </row>
    <row r="2678" spans="1:7" x14ac:dyDescent="0.25">
      <c r="A2678" s="1">
        <v>42136</v>
      </c>
      <c r="B2678">
        <v>2.2608330249786301</v>
      </c>
      <c r="C2678">
        <f>C2679*(1+G2678*3)</f>
        <v>2.082289398615186</v>
      </c>
      <c r="D2678">
        <f t="shared" si="84"/>
        <v>2.2584076869720957</v>
      </c>
      <c r="F2678">
        <v>4420.64990234375</v>
      </c>
      <c r="G2678">
        <f t="shared" si="83"/>
        <v>-4.0530959530094002E-3</v>
      </c>
    </row>
    <row r="2679" spans="1:7" x14ac:dyDescent="0.25">
      <c r="A2679" s="1">
        <v>42135</v>
      </c>
      <c r="B2679">
        <v>2.2904169559478702</v>
      </c>
      <c r="C2679">
        <f>C2680*(1+G2679*3)</f>
        <v>2.1079202071983736</v>
      </c>
      <c r="D2679">
        <f t="shared" si="84"/>
        <v>2.2860600074268462</v>
      </c>
      <c r="F2679">
        <v>4438.64013671875</v>
      </c>
      <c r="G2679">
        <f t="shared" si="83"/>
        <v>-4.4878530638796654E-3</v>
      </c>
    </row>
    <row r="2680" spans="1:7" x14ac:dyDescent="0.25">
      <c r="A2680" s="1">
        <v>42132</v>
      </c>
      <c r="B2680">
        <v>2.3158330917358398</v>
      </c>
      <c r="C2680">
        <f>C2681*(1+G2680*3)</f>
        <v>2.1366876275458804</v>
      </c>
      <c r="D2680">
        <f t="shared" si="84"/>
        <v>2.3171100513094061</v>
      </c>
      <c r="F2680">
        <v>4458.64990234375</v>
      </c>
      <c r="G2680">
        <f t="shared" si="83"/>
        <v>1.2972725560310705E-2</v>
      </c>
    </row>
    <row r="2681" spans="1:7" x14ac:dyDescent="0.25">
      <c r="A2681" s="1">
        <v>42131</v>
      </c>
      <c r="B2681">
        <v>2.23395800590515</v>
      </c>
      <c r="C2681">
        <f>C2682*(1+G2681*3)</f>
        <v>2.0566466883581058</v>
      </c>
      <c r="D2681">
        <f t="shared" si="84"/>
        <v>2.2301747101445528</v>
      </c>
      <c r="F2681">
        <v>4401.5498046875</v>
      </c>
      <c r="G2681">
        <f t="shared" si="83"/>
        <v>4.977408456532828E-3</v>
      </c>
    </row>
    <row r="2682" spans="1:7" x14ac:dyDescent="0.25">
      <c r="A2682" s="1">
        <v>42130</v>
      </c>
      <c r="B2682">
        <v>2.1962499618530198</v>
      </c>
      <c r="C2682">
        <f>C2683*(1+G2682*3)</f>
        <v>2.0263882030242519</v>
      </c>
      <c r="D2682">
        <f t="shared" si="84"/>
        <v>2.1972263072074227</v>
      </c>
      <c r="F2682">
        <v>4379.75</v>
      </c>
      <c r="G2682">
        <f t="shared" si="83"/>
        <v>-6.7220490361976637E-3</v>
      </c>
    </row>
    <row r="2683" spans="1:7" x14ac:dyDescent="0.25">
      <c r="A2683" s="1">
        <v>42129</v>
      </c>
      <c r="B2683">
        <v>2.2441670894622798</v>
      </c>
      <c r="C2683">
        <f>C2684*(1+G2683*3)</f>
        <v>2.0680936845002358</v>
      </c>
      <c r="D2683">
        <f t="shared" si="84"/>
        <v>2.2423031477330726</v>
      </c>
      <c r="F2683">
        <v>4409.39013671875</v>
      </c>
      <c r="G2683">
        <f t="shared" si="83"/>
        <v>-1.6334173348939052E-2</v>
      </c>
    </row>
    <row r="2684" spans="1:7" x14ac:dyDescent="0.25">
      <c r="A2684" s="1">
        <v>42128</v>
      </c>
      <c r="B2684">
        <v>2.3558330535888601</v>
      </c>
      <c r="C2684">
        <f>C2685*(1+G2684*3)</f>
        <v>2.1746573761710146</v>
      </c>
      <c r="D2684">
        <f t="shared" si="84"/>
        <v>2.3576866658466709</v>
      </c>
      <c r="F2684">
        <v>4482.60986328125</v>
      </c>
      <c r="G2684">
        <f t="shared" si="83"/>
        <v>7.9253339786977683E-4</v>
      </c>
    </row>
    <row r="2685" spans="1:7" x14ac:dyDescent="0.25">
      <c r="A2685" s="1">
        <v>42125</v>
      </c>
      <c r="B2685">
        <v>2.34750008583068</v>
      </c>
      <c r="C2685">
        <f>C2686*(1+G2685*3)</f>
        <v>2.1694991745136556</v>
      </c>
      <c r="D2685">
        <f t="shared" si="84"/>
        <v>2.3519459716236986</v>
      </c>
      <c r="F2685">
        <v>4479.06005859375</v>
      </c>
      <c r="G2685">
        <f t="shared" si="83"/>
        <v>1.4682009082799929E-2</v>
      </c>
    </row>
    <row r="2686" spans="1:7" x14ac:dyDescent="0.25">
      <c r="A2686" s="1">
        <v>42124</v>
      </c>
      <c r="B2686">
        <v>2.2562499046325599</v>
      </c>
      <c r="C2686">
        <f>C2687*(1+G2686*3)</f>
        <v>2.077972730983332</v>
      </c>
      <c r="D2686">
        <f t="shared" si="84"/>
        <v>2.2525860790324264</v>
      </c>
      <c r="F2686">
        <v>4414.25</v>
      </c>
      <c r="G2686">
        <f t="shared" si="83"/>
        <v>-1.6465560186650352E-2</v>
      </c>
    </row>
    <row r="2687" spans="1:7" x14ac:dyDescent="0.25">
      <c r="A2687" s="1">
        <v>42123</v>
      </c>
      <c r="B2687">
        <v>2.3675000667571999</v>
      </c>
      <c r="C2687">
        <f>C2688*(1+G2687*3)</f>
        <v>2.185951477854462</v>
      </c>
      <c r="D2687">
        <f t="shared" si="84"/>
        <v>2.3694807468781991</v>
      </c>
      <c r="F2687">
        <v>4488.14990234375</v>
      </c>
      <c r="G2687">
        <f t="shared" si="83"/>
        <v>-6.0063112660349027E-3</v>
      </c>
    </row>
    <row r="2688" spans="1:7" x14ac:dyDescent="0.25">
      <c r="A2688" s="1">
        <v>42122</v>
      </c>
      <c r="B2688">
        <v>2.41354203224182</v>
      </c>
      <c r="C2688">
        <f>C2689*(1+G2688*3)</f>
        <v>2.226062755272137</v>
      </c>
      <c r="D2688">
        <f t="shared" si="84"/>
        <v>2.4128043538659645</v>
      </c>
      <c r="F2688">
        <v>4515.27001953125</v>
      </c>
      <c r="G2688">
        <f t="shared" si="83"/>
        <v>-2.1591012337813797E-3</v>
      </c>
    </row>
    <row r="2689" spans="1:7" x14ac:dyDescent="0.25">
      <c r="A2689" s="1">
        <v>42121</v>
      </c>
      <c r="B2689">
        <v>2.4293749332427899</v>
      </c>
      <c r="C2689">
        <f>C2690*(1+G2689*3)</f>
        <v>2.2405756441853604</v>
      </c>
      <c r="D2689">
        <f t="shared" si="84"/>
        <v>2.4283801699812448</v>
      </c>
      <c r="F2689">
        <v>4525.0400390625</v>
      </c>
      <c r="G2689">
        <f t="shared" si="83"/>
        <v>-2.5876825964004091E-3</v>
      </c>
    </row>
    <row r="2690" spans="1:7" x14ac:dyDescent="0.25">
      <c r="A2690" s="1">
        <v>42118</v>
      </c>
      <c r="B2690">
        <v>2.4449999332427899</v>
      </c>
      <c r="C2690">
        <f>C2691*(1+G2690*3)</f>
        <v>2.2581054245088774</v>
      </c>
      <c r="D2690">
        <f t="shared" si="84"/>
        <v>2.4472233506531134</v>
      </c>
      <c r="F2690">
        <v>4536.77978515625</v>
      </c>
      <c r="G2690">
        <f t="shared" ref="G2690:G2753" si="85">F2690/F2691-1</f>
        <v>1.3336839335071016E-2</v>
      </c>
    </row>
    <row r="2691" spans="1:7" x14ac:dyDescent="0.25">
      <c r="A2691" s="1">
        <v>42117</v>
      </c>
      <c r="B2691">
        <v>2.3529169559478702</v>
      </c>
      <c r="C2691">
        <f>C2692*(1+G2691*3)</f>
        <v>2.1712332571789998</v>
      </c>
      <c r="D2691">
        <f t="shared" si="84"/>
        <v>2.3529325318207013</v>
      </c>
      <c r="F2691">
        <v>4477.06982421875</v>
      </c>
      <c r="G2691">
        <f t="shared" si="85"/>
        <v>3.6450253230746466E-3</v>
      </c>
    </row>
    <row r="2692" spans="1:7" x14ac:dyDescent="0.25">
      <c r="A2692" s="1">
        <v>42116</v>
      </c>
      <c r="B2692">
        <v>2.32500004768371</v>
      </c>
      <c r="C2692">
        <f>C2693*(1+G2692*3)</f>
        <v>2.1477474753730861</v>
      </c>
      <c r="D2692">
        <f t="shared" si="84"/>
        <v>2.3273357871901581</v>
      </c>
      <c r="F2692">
        <v>4460.81005859375</v>
      </c>
      <c r="G2692">
        <f t="shared" si="85"/>
        <v>5.5974279041666186E-3</v>
      </c>
    </row>
    <row r="2693" spans="1:7" x14ac:dyDescent="0.25">
      <c r="A2693" s="1">
        <v>42115</v>
      </c>
      <c r="B2693">
        <v>2.2879168987274099</v>
      </c>
      <c r="C2693">
        <f>C2694*(1+G2693*3)</f>
        <v>2.1122775121101984</v>
      </c>
      <c r="D2693">
        <f t="shared" si="84"/>
        <v>2.2887576082823475</v>
      </c>
      <c r="F2693">
        <v>4435.97998046875</v>
      </c>
      <c r="G2693">
        <f t="shared" si="85"/>
        <v>4.2061118612199966E-3</v>
      </c>
    </row>
    <row r="2694" spans="1:7" x14ac:dyDescent="0.25">
      <c r="A2694" s="1">
        <v>42114</v>
      </c>
      <c r="B2694">
        <v>2.2589581012725799</v>
      </c>
      <c r="C2694">
        <f>C2695*(1+G2694*3)</f>
        <v>2.0859562165568621</v>
      </c>
      <c r="D2694">
        <f t="shared" si="84"/>
        <v>2.2600960581591774</v>
      </c>
      <c r="F2694">
        <v>4417.39990234375</v>
      </c>
      <c r="G2694">
        <f t="shared" si="85"/>
        <v>1.5074245277916898E-2</v>
      </c>
    </row>
    <row r="2695" spans="1:7" x14ac:dyDescent="0.25">
      <c r="A2695" s="1">
        <v>42111</v>
      </c>
      <c r="B2695">
        <v>2.16229200363159</v>
      </c>
      <c r="C2695">
        <f>C2696*(1+G2695*3)</f>
        <v>1.9957049775547999</v>
      </c>
      <c r="D2695">
        <f t="shared" si="84"/>
        <v>2.16217966951162</v>
      </c>
      <c r="F2695">
        <v>4351.7998046875</v>
      </c>
      <c r="G2695">
        <f t="shared" si="85"/>
        <v>-1.516923535243575E-2</v>
      </c>
    </row>
    <row r="2696" spans="1:7" x14ac:dyDescent="0.25">
      <c r="A2696" s="1">
        <v>42110</v>
      </c>
      <c r="B2696">
        <v>2.2683329582214302</v>
      </c>
      <c r="C2696">
        <f>C2697*(1+G2696*3)</f>
        <v>2.0908549919362902</v>
      </c>
      <c r="D2696">
        <f t="shared" si="84"/>
        <v>2.2651167182592191</v>
      </c>
      <c r="F2696">
        <v>4418.830078125</v>
      </c>
      <c r="G2696">
        <f t="shared" si="85"/>
        <v>-1.2882062745677159E-3</v>
      </c>
    </row>
    <row r="2697" spans="1:7" x14ac:dyDescent="0.25">
      <c r="A2697" s="1">
        <v>42109</v>
      </c>
      <c r="B2697">
        <v>2.2762498855590798</v>
      </c>
      <c r="C2697">
        <f>C2698*(1+G2697*3)</f>
        <v>2.09896669814828</v>
      </c>
      <c r="D2697">
        <f t="shared" si="84"/>
        <v>2.2737601710628952</v>
      </c>
      <c r="F2697">
        <v>4424.52978515625</v>
      </c>
      <c r="G2697">
        <f t="shared" si="85"/>
        <v>6.114563175140475E-3</v>
      </c>
    </row>
    <row r="2698" spans="1:7" x14ac:dyDescent="0.25">
      <c r="A2698" s="1">
        <v>42108</v>
      </c>
      <c r="B2698">
        <v>2.2366669178009002</v>
      </c>
      <c r="C2698">
        <f>C2699*(1+G2698*3)</f>
        <v>2.0611574655374563</v>
      </c>
      <c r="D2698">
        <f t="shared" si="84"/>
        <v>2.2326637159046299</v>
      </c>
      <c r="F2698">
        <v>4397.64013671875</v>
      </c>
      <c r="G2698">
        <f t="shared" si="85"/>
        <v>-2.624012991272906E-3</v>
      </c>
    </row>
    <row r="2699" spans="1:7" x14ac:dyDescent="0.25">
      <c r="A2699" s="1">
        <v>42107</v>
      </c>
      <c r="B2699">
        <v>2.25604200363159</v>
      </c>
      <c r="C2699">
        <f>C2700*(1+G2699*3)</f>
        <v>2.0775117187560692</v>
      </c>
      <c r="D2699">
        <f t="shared" si="84"/>
        <v>2.2502353803725055</v>
      </c>
      <c r="F2699">
        <v>4409.2099609375</v>
      </c>
      <c r="G2699">
        <f t="shared" si="85"/>
        <v>-2.8968793757536693E-3</v>
      </c>
    </row>
    <row r="2700" spans="1:7" x14ac:dyDescent="0.25">
      <c r="A2700" s="1">
        <v>42104</v>
      </c>
      <c r="B2700">
        <v>2.27291703224182</v>
      </c>
      <c r="C2700">
        <f>C2701*(1+G2700*3)</f>
        <v>2.095724905524269</v>
      </c>
      <c r="D2700">
        <f t="shared" si="84"/>
        <v>2.2698180332103188</v>
      </c>
      <c r="F2700">
        <v>4422.02001953125</v>
      </c>
      <c r="G2700">
        <f t="shared" si="85"/>
        <v>4.1030945894853232E-3</v>
      </c>
    </row>
    <row r="2701" spans="1:7" x14ac:dyDescent="0.25">
      <c r="A2701" s="1">
        <v>42103</v>
      </c>
      <c r="B2701">
        <v>2.2460420131683301</v>
      </c>
      <c r="C2701">
        <f>C2702*(1+G2701*3)</f>
        <v>2.0702417128119723</v>
      </c>
      <c r="D2701">
        <f t="shared" si="84"/>
        <v>2.2420778997396495</v>
      </c>
      <c r="F2701">
        <v>4403.9501953125</v>
      </c>
      <c r="G2701">
        <f t="shared" si="85"/>
        <v>6.3963643691573591E-3</v>
      </c>
    </row>
    <row r="2702" spans="1:7" x14ac:dyDescent="0.25">
      <c r="A2702" s="1">
        <v>42102</v>
      </c>
      <c r="B2702">
        <v>2.2049999237060498</v>
      </c>
      <c r="C2702">
        <f>C2703*(1+G2702*3)</f>
        <v>2.0312636063440173</v>
      </c>
      <c r="D2702">
        <f t="shared" si="84"/>
        <v>2.1997280310340583</v>
      </c>
      <c r="F2702">
        <v>4375.9599609375</v>
      </c>
      <c r="G2702">
        <f t="shared" si="85"/>
        <v>7.3386959354257986E-3</v>
      </c>
    </row>
    <row r="2703" spans="1:7" x14ac:dyDescent="0.25">
      <c r="A2703" s="1">
        <v>42101</v>
      </c>
      <c r="B2703">
        <v>2.1537499427795401</v>
      </c>
      <c r="C2703">
        <f>C2704*(1+G2703*3)</f>
        <v>1.9875064889673655</v>
      </c>
      <c r="D2703">
        <f t="shared" si="84"/>
        <v>2.1522087363240554</v>
      </c>
      <c r="F2703">
        <v>4344.080078125</v>
      </c>
      <c r="G2703">
        <f t="shared" si="85"/>
        <v>-1.5858271871447283E-3</v>
      </c>
    </row>
    <row r="2704" spans="1:7" x14ac:dyDescent="0.25">
      <c r="A2704" s="1">
        <v>42100</v>
      </c>
      <c r="B2704">
        <v>2.1637499332427899</v>
      </c>
      <c r="C2704">
        <f>C2705*(1+G2704*3)</f>
        <v>1.997007213965859</v>
      </c>
      <c r="D2704">
        <f t="shared" si="84"/>
        <v>2.162359401312925</v>
      </c>
      <c r="F2704">
        <v>4350.97998046875</v>
      </c>
      <c r="G2704">
        <f t="shared" si="85"/>
        <v>8.1024410839547478E-3</v>
      </c>
    </row>
    <row r="2705" spans="1:7" x14ac:dyDescent="0.25">
      <c r="A2705" s="1">
        <v>42096</v>
      </c>
      <c r="B2705">
        <v>2.1129169464111301</v>
      </c>
      <c r="C2705">
        <f>C2706*(1+G2705*3)</f>
        <v>1.9496172375551981</v>
      </c>
      <c r="D2705">
        <f t="shared" si="84"/>
        <v>2.1109152350180458</v>
      </c>
      <c r="F2705">
        <v>4316.009765625</v>
      </c>
      <c r="G2705">
        <f t="shared" si="85"/>
        <v>1.101766132923121E-3</v>
      </c>
    </row>
    <row r="2706" spans="1:7" x14ac:dyDescent="0.25">
      <c r="A2706" s="1">
        <v>42095</v>
      </c>
      <c r="B2706">
        <v>2.109375</v>
      </c>
      <c r="C2706">
        <f>C2707*(1+G2706*3)</f>
        <v>1.9431944002156676</v>
      </c>
      <c r="D2706">
        <f t="shared" si="84"/>
        <v>2.1038284350192038</v>
      </c>
      <c r="F2706">
        <v>4311.259765625</v>
      </c>
      <c r="G2706">
        <f t="shared" si="85"/>
        <v>-5.1757684754833999E-3</v>
      </c>
    </row>
    <row r="2707" spans="1:7" x14ac:dyDescent="0.25">
      <c r="A2707" s="1">
        <v>42094</v>
      </c>
      <c r="B2707">
        <v>2.14562511444091</v>
      </c>
      <c r="C2707">
        <f>C2708*(1+G2707*3)</f>
        <v>1.9738428611851071</v>
      </c>
      <c r="D2707">
        <f t="shared" si="84"/>
        <v>2.1368732094288125</v>
      </c>
      <c r="F2707">
        <v>4333.68994140625</v>
      </c>
      <c r="G2707">
        <f t="shared" si="85"/>
        <v>-1.1209651499022644E-2</v>
      </c>
    </row>
    <row r="2708" spans="1:7" x14ac:dyDescent="0.25">
      <c r="A2708" s="1">
        <v>42093</v>
      </c>
      <c r="B2708">
        <v>2.2141671180725</v>
      </c>
      <c r="C2708">
        <f>C2709*(1+G2708*3)</f>
        <v>2.0425310447477787</v>
      </c>
      <c r="D2708">
        <f t="shared" ref="D2708:D2765" si="86">D2709*(1+3*G2708--0.0000632272285483554)</f>
        <v>2.2110900551873676</v>
      </c>
      <c r="F2708">
        <v>4382.81982421875</v>
      </c>
      <c r="G2708">
        <f t="shared" si="85"/>
        <v>1.1530481601975007E-2</v>
      </c>
    </row>
    <row r="2709" spans="1:7" x14ac:dyDescent="0.25">
      <c r="A2709" s="1">
        <v>42090</v>
      </c>
      <c r="B2709">
        <v>2.1372919082641602</v>
      </c>
      <c r="C2709">
        <f>C2710*(1+G2709*3)</f>
        <v>1.9742392564737756</v>
      </c>
      <c r="D2709">
        <f t="shared" si="86"/>
        <v>2.1370319150443047</v>
      </c>
      <c r="F2709">
        <v>4332.85986328125</v>
      </c>
      <c r="G2709">
        <f t="shared" si="85"/>
        <v>4.0785720007983084E-3</v>
      </c>
    </row>
    <row r="2710" spans="1:7" x14ac:dyDescent="0.25">
      <c r="A2710" s="1">
        <v>42089</v>
      </c>
      <c r="B2710">
        <v>2.1168749332427899</v>
      </c>
      <c r="C2710">
        <f>C2711*(1+G2710*3)</f>
        <v>1.9503750216111764</v>
      </c>
      <c r="D2710">
        <f t="shared" si="86"/>
        <v>2.1110680094395473</v>
      </c>
      <c r="F2710">
        <v>4315.259765625</v>
      </c>
      <c r="G2710">
        <f t="shared" si="85"/>
        <v>-3.2407792757951359E-3</v>
      </c>
    </row>
    <row r="2711" spans="1:7" x14ac:dyDescent="0.25">
      <c r="A2711" s="1">
        <v>42088</v>
      </c>
      <c r="B2711">
        <v>2.1343750953674299</v>
      </c>
      <c r="C2711">
        <f>C2712*(1+G2711*3)</f>
        <v>1.969523393400757</v>
      </c>
      <c r="D2711">
        <f t="shared" si="86"/>
        <v>2.1316579291359594</v>
      </c>
      <c r="F2711">
        <v>4329.2900390625</v>
      </c>
      <c r="G2711">
        <f t="shared" si="85"/>
        <v>-2.2952024250363801E-2</v>
      </c>
    </row>
    <row r="2712" spans="1:7" x14ac:dyDescent="0.25">
      <c r="A2712" s="1">
        <v>42087</v>
      </c>
      <c r="B2712">
        <v>2.29458308219909</v>
      </c>
      <c r="C2712">
        <f>C2713*(1+G2712*3)</f>
        <v>2.1151653742937144</v>
      </c>
      <c r="D2712">
        <f t="shared" si="86"/>
        <v>2.2891339686196144</v>
      </c>
      <c r="F2712">
        <v>4430.990234375</v>
      </c>
      <c r="G2712">
        <f t="shared" si="85"/>
        <v>-3.2728992562550685E-3</v>
      </c>
    </row>
    <row r="2713" spans="1:7" x14ac:dyDescent="0.25">
      <c r="A2713" s="1">
        <v>42086</v>
      </c>
      <c r="B2713">
        <v>2.3181250095367401</v>
      </c>
      <c r="C2713">
        <f>C2714*(1+G2713*3)</f>
        <v>2.1361394822619713</v>
      </c>
      <c r="D2713">
        <f t="shared" si="86"/>
        <v>2.3116855488900563</v>
      </c>
      <c r="F2713">
        <v>4445.5400390625</v>
      </c>
      <c r="G2713">
        <f t="shared" si="85"/>
        <v>-2.9157526647968224E-3</v>
      </c>
    </row>
    <row r="2714" spans="1:7" x14ac:dyDescent="0.25">
      <c r="A2714" s="1">
        <v>42083</v>
      </c>
      <c r="B2714">
        <v>2.3377079963684002</v>
      </c>
      <c r="C2714">
        <f>C2715*(1+G2714*3)</f>
        <v>2.154989733435595</v>
      </c>
      <c r="D2714">
        <f t="shared" si="86"/>
        <v>2.3319361541970833</v>
      </c>
      <c r="F2714">
        <v>4458.5400390625</v>
      </c>
      <c r="G2714">
        <f t="shared" si="85"/>
        <v>7.1654632678319619E-3</v>
      </c>
    </row>
    <row r="2715" spans="1:7" x14ac:dyDescent="0.25">
      <c r="A2715" s="1">
        <v>42082</v>
      </c>
      <c r="B2715">
        <v>2.2902081012725799</v>
      </c>
      <c r="C2715">
        <f>C2716*(1+G2715*3)</f>
        <v>2.1096400877639399</v>
      </c>
      <c r="D2715">
        <f t="shared" si="86"/>
        <v>2.2827215517505479</v>
      </c>
      <c r="F2715">
        <v>4426.81982421875</v>
      </c>
      <c r="G2715">
        <f t="shared" si="85"/>
        <v>9.7678331684569741E-4</v>
      </c>
    </row>
    <row r="2716" spans="1:7" x14ac:dyDescent="0.25">
      <c r="A2716" s="1">
        <v>42081</v>
      </c>
      <c r="B2716">
        <v>2.2791669368743799</v>
      </c>
      <c r="C2716">
        <f>C2717*(1+G2716*3)</f>
        <v>2.1034761664835289</v>
      </c>
      <c r="D2716">
        <f t="shared" si="86"/>
        <v>2.2759084441703914</v>
      </c>
      <c r="F2716">
        <v>4422.5</v>
      </c>
      <c r="G2716">
        <f t="shared" si="85"/>
        <v>1.0711627455422201E-2</v>
      </c>
    </row>
    <row r="2717" spans="1:7" x14ac:dyDescent="0.25">
      <c r="A2717" s="1">
        <v>42080</v>
      </c>
      <c r="B2717">
        <v>2.2154169082641602</v>
      </c>
      <c r="C2717">
        <f>C2718*(1+G2717*3)</f>
        <v>2.0379857346368446</v>
      </c>
      <c r="D2717">
        <f t="shared" si="86"/>
        <v>2.2049143696492428</v>
      </c>
      <c r="F2717">
        <v>4375.6298828125</v>
      </c>
      <c r="G2717">
        <f t="shared" si="85"/>
        <v>1.1805750217048772E-3</v>
      </c>
    </row>
    <row r="2718" spans="1:7" x14ac:dyDescent="0.25">
      <c r="A2718" s="1">
        <v>42079</v>
      </c>
      <c r="B2718">
        <v>2.203125</v>
      </c>
      <c r="C2718">
        <f>C2719*(1+G2718*3)</f>
        <v>2.0307932233755506</v>
      </c>
      <c r="D2718">
        <f t="shared" si="86"/>
        <v>2.1969943099723435</v>
      </c>
      <c r="F2718">
        <v>4370.47021484375</v>
      </c>
      <c r="G2718">
        <f t="shared" si="85"/>
        <v>1.2878702578897672E-2</v>
      </c>
    </row>
    <row r="2719" spans="1:7" x14ac:dyDescent="0.25">
      <c r="A2719" s="1">
        <v>42076</v>
      </c>
      <c r="B2719">
        <v>2.12187504768371</v>
      </c>
      <c r="C2719">
        <f>C2720*(1+G2719*3)</f>
        <v>1.9552499747008425</v>
      </c>
      <c r="D2719">
        <f t="shared" si="86"/>
        <v>2.1151398061171021</v>
      </c>
      <c r="F2719">
        <v>4314.89990234375</v>
      </c>
      <c r="G2719">
        <f t="shared" si="85"/>
        <v>-4.9190375559126087E-3</v>
      </c>
    </row>
    <row r="2720" spans="1:7" x14ac:dyDescent="0.25">
      <c r="A2720" s="1">
        <v>42075</v>
      </c>
      <c r="B2720">
        <v>2.1495831012725799</v>
      </c>
      <c r="C2720">
        <f>C2721*(1+G2720*3)</f>
        <v>1.984535995986801</v>
      </c>
      <c r="D2720">
        <f t="shared" si="86"/>
        <v>2.1466829190032</v>
      </c>
      <c r="F2720">
        <v>4336.22998046875</v>
      </c>
      <c r="G2720">
        <f t="shared" si="85"/>
        <v>7.1654763333210969E-3</v>
      </c>
    </row>
    <row r="2721" spans="1:7" x14ac:dyDescent="0.25">
      <c r="A2721" s="1">
        <v>42074</v>
      </c>
      <c r="B2721">
        <v>2.1091670989990199</v>
      </c>
      <c r="C2721">
        <f>C2722*(1+G2721*3)</f>
        <v>1.9427733075187013</v>
      </c>
      <c r="D2721">
        <f t="shared" si="86"/>
        <v>2.1013779331581302</v>
      </c>
      <c r="F2721">
        <v>4305.3798828125</v>
      </c>
      <c r="G2721">
        <f t="shared" si="85"/>
        <v>-5.4746493215170888E-3</v>
      </c>
    </row>
    <row r="2722" spans="1:7" x14ac:dyDescent="0.25">
      <c r="A2722" s="1">
        <v>42073</v>
      </c>
      <c r="B2722">
        <v>2.1468749046325599</v>
      </c>
      <c r="C2722">
        <f>C2723*(1+G2722*3)</f>
        <v>1.9752141214685475</v>
      </c>
      <c r="D2722">
        <f t="shared" si="86"/>
        <v>2.1363298288885688</v>
      </c>
      <c r="F2722">
        <v>4329.080078125</v>
      </c>
      <c r="G2722">
        <f t="shared" si="85"/>
        <v>-1.9014353486754065E-2</v>
      </c>
    </row>
    <row r="2723" spans="1:7" x14ac:dyDescent="0.25">
      <c r="A2723" s="1">
        <v>42072</v>
      </c>
      <c r="B2723">
        <v>2.2727079391479399</v>
      </c>
      <c r="C2723">
        <f>C2724*(1+G2723*3)</f>
        <v>2.0947023545239083</v>
      </c>
      <c r="D2723">
        <f t="shared" si="86"/>
        <v>2.2654126647256487</v>
      </c>
      <c r="F2723">
        <v>4412.990234375</v>
      </c>
      <c r="G2723">
        <f t="shared" si="85"/>
        <v>3.1278778257426421E-3</v>
      </c>
    </row>
    <row r="2724" spans="1:7" x14ac:dyDescent="0.25">
      <c r="A2724" s="1">
        <v>42069</v>
      </c>
      <c r="B2724">
        <v>2.2510418891906698</v>
      </c>
      <c r="C2724">
        <f>C2725*(1+G2724*3)</f>
        <v>2.0752291646614713</v>
      </c>
      <c r="D2724">
        <f t="shared" si="86"/>
        <v>2.2442119074418017</v>
      </c>
      <c r="F2724">
        <v>4399.22998046875</v>
      </c>
      <c r="G2724">
        <f t="shared" si="85"/>
        <v>-1.1866434286532779E-2</v>
      </c>
    </row>
    <row r="2725" spans="1:7" x14ac:dyDescent="0.25">
      <c r="A2725" s="1">
        <v>42068</v>
      </c>
      <c r="B2725">
        <v>2.3312499523162802</v>
      </c>
      <c r="C2725">
        <f>C2726*(1+G2725*3)</f>
        <v>2.1518329163540106</v>
      </c>
      <c r="D2725">
        <f t="shared" si="86"/>
        <v>2.3269008313713675</v>
      </c>
      <c r="F2725">
        <v>4452.06005859375</v>
      </c>
      <c r="G2725">
        <f t="shared" si="85"/>
        <v>1.5072335015762217E-3</v>
      </c>
    </row>
    <row r="2726" spans="1:7" x14ac:dyDescent="0.25">
      <c r="A2726" s="1">
        <v>42067</v>
      </c>
      <c r="B2726">
        <v>2.3210420608520499</v>
      </c>
      <c r="C2726">
        <f>C2727*(1+G2726*3)</f>
        <v>2.1421467702218955</v>
      </c>
      <c r="D2726">
        <f t="shared" si="86"/>
        <v>2.3162808510592874</v>
      </c>
      <c r="F2726">
        <v>4445.35986328125</v>
      </c>
      <c r="G2726">
        <f t="shared" si="85"/>
        <v>-3.0097745395896158E-3</v>
      </c>
    </row>
    <row r="2727" spans="1:7" x14ac:dyDescent="0.25">
      <c r="A2727" s="1">
        <v>42066</v>
      </c>
      <c r="B2727">
        <v>2.3470830917358398</v>
      </c>
      <c r="C2727">
        <f>C2728*(1+G2727*3)</f>
        <v>2.1616651443657871</v>
      </c>
      <c r="D2727">
        <f t="shared" si="86"/>
        <v>2.3372367409655492</v>
      </c>
      <c r="F2727">
        <v>4458.77978515625</v>
      </c>
      <c r="G2727">
        <f t="shared" si="85"/>
        <v>-5.4137296234971766E-3</v>
      </c>
    </row>
    <row r="2728" spans="1:7" x14ac:dyDescent="0.25">
      <c r="A2728" s="1">
        <v>42065</v>
      </c>
      <c r="B2728">
        <v>2.3812499046325599</v>
      </c>
      <c r="C2728">
        <f>C2729*(1+G2728*3)</f>
        <v>2.1973527656477696</v>
      </c>
      <c r="D2728">
        <f t="shared" si="86"/>
        <v>2.3756702430312142</v>
      </c>
      <c r="F2728">
        <v>4483.0498046875</v>
      </c>
      <c r="G2728">
        <f t="shared" si="85"/>
        <v>9.5435786847688497E-3</v>
      </c>
    </row>
    <row r="2729" spans="1:7" x14ac:dyDescent="0.25">
      <c r="A2729" s="1">
        <v>42062</v>
      </c>
      <c r="B2729">
        <v>2.3187499046325599</v>
      </c>
      <c r="C2729">
        <f>C2730*(1+G2729*3)</f>
        <v>2.1361920158797982</v>
      </c>
      <c r="D2729">
        <f t="shared" si="86"/>
        <v>2.3094042813761395</v>
      </c>
      <c r="F2729">
        <v>4440.669921875</v>
      </c>
      <c r="G2729">
        <f t="shared" si="85"/>
        <v>-4.8406074849138836E-3</v>
      </c>
    </row>
    <row r="2730" spans="1:7" x14ac:dyDescent="0.25">
      <c r="A2730" s="1">
        <v>42061</v>
      </c>
      <c r="B2730">
        <v>2.34979200363159</v>
      </c>
      <c r="C2730">
        <f>C2731*(1+G2730*3)</f>
        <v>2.1676705426403955</v>
      </c>
      <c r="D2730">
        <f t="shared" si="86"/>
        <v>2.3432848890871054</v>
      </c>
      <c r="F2730">
        <v>4462.27001953125</v>
      </c>
      <c r="G2730">
        <f t="shared" si="85"/>
        <v>4.8822738744414007E-3</v>
      </c>
    </row>
    <row r="2731" spans="1:7" x14ac:dyDescent="0.25">
      <c r="A2731" s="1">
        <v>42060</v>
      </c>
      <c r="B2731">
        <v>2.3145830631256099</v>
      </c>
      <c r="C2731">
        <f>C2732*(1+G2731*3)</f>
        <v>2.1363793750148048</v>
      </c>
      <c r="D2731">
        <f t="shared" si="86"/>
        <v>2.3093147562089222</v>
      </c>
      <c r="F2731">
        <v>4440.58984375</v>
      </c>
      <c r="G2731">
        <f t="shared" si="85"/>
        <v>-2.3455114681699696E-3</v>
      </c>
    </row>
    <row r="2732" spans="1:7" x14ac:dyDescent="0.25">
      <c r="A2732" s="1">
        <v>42059</v>
      </c>
      <c r="B2732">
        <v>2.3333330154418901</v>
      </c>
      <c r="C2732">
        <f>C2733*(1+G2732*3)</f>
        <v>2.1515186097341426</v>
      </c>
      <c r="D2732">
        <f t="shared" si="86"/>
        <v>2.3255314010155481</v>
      </c>
      <c r="F2732">
        <v>4451.02978515625</v>
      </c>
      <c r="G2732">
        <f t="shared" si="85"/>
        <v>3.4600610410517874E-4</v>
      </c>
    </row>
    <row r="2733" spans="1:7" x14ac:dyDescent="0.25">
      <c r="A2733" s="1">
        <v>42058</v>
      </c>
      <c r="B2733">
        <v>2.3285419940948402</v>
      </c>
      <c r="C2733">
        <f>C2734*(1+G2733*3)</f>
        <v>2.1492876098366991</v>
      </c>
      <c r="D2733">
        <f t="shared" si="86"/>
        <v>2.3229732370966492</v>
      </c>
      <c r="F2733">
        <v>4449.490234375</v>
      </c>
      <c r="G2733">
        <f t="shared" si="85"/>
        <v>1.4495515401842241E-3</v>
      </c>
    </row>
    <row r="2734" spans="1:7" x14ac:dyDescent="0.25">
      <c r="A2734" s="1">
        <v>42055</v>
      </c>
      <c r="B2734">
        <v>2.31937503814697</v>
      </c>
      <c r="C2734">
        <f>C2735*(1+G2734*3)</f>
        <v>2.1399815690983419</v>
      </c>
      <c r="D2734">
        <f t="shared" si="86"/>
        <v>2.3127695710051781</v>
      </c>
      <c r="F2734">
        <v>4443.0498046875</v>
      </c>
      <c r="G2734">
        <f t="shared" si="85"/>
        <v>7.0695675685068515E-3</v>
      </c>
    </row>
    <row r="2735" spans="1:7" x14ac:dyDescent="0.25">
      <c r="A2735" s="1">
        <v>42054</v>
      </c>
      <c r="B2735">
        <v>2.2756249904632502</v>
      </c>
      <c r="C2735">
        <f>C2736*(1+G2735*3)</f>
        <v>2.0955379281716078</v>
      </c>
      <c r="D2735">
        <f t="shared" si="86"/>
        <v>2.2645972176621809</v>
      </c>
      <c r="F2735">
        <v>4411.85986328125</v>
      </c>
      <c r="G2735">
        <f t="shared" si="85"/>
        <v>4.7711536528320941E-3</v>
      </c>
    </row>
    <row r="2736" spans="1:7" x14ac:dyDescent="0.25">
      <c r="A2736" s="1">
        <v>42053</v>
      </c>
      <c r="B2736">
        <v>2.2418749332427899</v>
      </c>
      <c r="C2736">
        <f>C2737*(1+G2736*3)</f>
        <v>2.0659667931364987</v>
      </c>
      <c r="D2736">
        <f t="shared" si="86"/>
        <v>2.2325012434085072</v>
      </c>
      <c r="F2736">
        <v>4390.91015625</v>
      </c>
      <c r="G2736">
        <f t="shared" si="85"/>
        <v>1.2702122750962719E-3</v>
      </c>
    </row>
    <row r="2737" spans="1:7" x14ac:dyDescent="0.25">
      <c r="A2737" s="1">
        <v>42052</v>
      </c>
      <c r="B2737">
        <v>2.2322919368743799</v>
      </c>
      <c r="C2737">
        <f>C2738*(1+G2737*3)</f>
        <v>2.0581240299170847</v>
      </c>
      <c r="D2737">
        <f t="shared" si="86"/>
        <v>2.223886210557604</v>
      </c>
      <c r="F2737">
        <v>4385.33984375</v>
      </c>
      <c r="G2737">
        <f t="shared" si="85"/>
        <v>2.9882520373969435E-4</v>
      </c>
    </row>
    <row r="2738" spans="1:7" x14ac:dyDescent="0.25">
      <c r="A2738" s="1">
        <v>42048</v>
      </c>
      <c r="B2738">
        <v>2.2262499332427899</v>
      </c>
      <c r="C2738">
        <f>C2739*(1+G2738*3)</f>
        <v>2.0562806244874094</v>
      </c>
      <c r="D2738">
        <f t="shared" si="86"/>
        <v>2.2217539869470664</v>
      </c>
      <c r="F2738">
        <v>4384.02978515625</v>
      </c>
      <c r="G2738">
        <f t="shared" si="85"/>
        <v>8.2934262496543454E-3</v>
      </c>
    </row>
    <row r="2739" spans="1:7" x14ac:dyDescent="0.25">
      <c r="A2739" s="1">
        <v>42047</v>
      </c>
      <c r="B2739">
        <v>2.17145800590515</v>
      </c>
      <c r="C2739">
        <f>C2740*(1+G2739*3)</f>
        <v>2.0063617840294889</v>
      </c>
      <c r="D2739">
        <f t="shared" si="86"/>
        <v>2.1676843396633165</v>
      </c>
      <c r="F2739">
        <v>4347.97021484375</v>
      </c>
      <c r="G2739">
        <f t="shared" si="85"/>
        <v>1.1795934223923776E-2</v>
      </c>
    </row>
    <row r="2740" spans="1:7" x14ac:dyDescent="0.25">
      <c r="A2740" s="1">
        <v>42046</v>
      </c>
      <c r="B2740">
        <v>2.0981249809265101</v>
      </c>
      <c r="C2740">
        <f>C2741*(1+G2740*3)</f>
        <v>1.9377877340762206</v>
      </c>
      <c r="D2740">
        <f t="shared" si="86"/>
        <v>2.0934687175616546</v>
      </c>
      <c r="F2740">
        <v>4297.27978515625</v>
      </c>
      <c r="G2740">
        <f t="shared" si="85"/>
        <v>3.7652478108574083E-3</v>
      </c>
    </row>
    <row r="2741" spans="1:7" x14ac:dyDescent="0.25">
      <c r="A2741" s="1">
        <v>42045</v>
      </c>
      <c r="B2741">
        <v>2.0747919082641602</v>
      </c>
      <c r="C2741">
        <f>C2742*(1+G2741*3)</f>
        <v>1.9161434690696113</v>
      </c>
      <c r="D2741">
        <f t="shared" si="86"/>
        <v>2.0699561464246115</v>
      </c>
      <c r="F2741">
        <v>4281.16015625</v>
      </c>
      <c r="G2741">
        <f t="shared" si="85"/>
        <v>1.5433805946156731E-2</v>
      </c>
    </row>
    <row r="2742" spans="1:7" x14ac:dyDescent="0.25">
      <c r="A2742" s="1">
        <v>42044</v>
      </c>
      <c r="B2742">
        <v>1.9800000190734801</v>
      </c>
      <c r="C2742">
        <f>C2743*(1+G2742*3)</f>
        <v>1.8313493955003211</v>
      </c>
      <c r="D2742">
        <f t="shared" si="86"/>
        <v>1.9782359392427991</v>
      </c>
      <c r="F2742">
        <v>4216.08984375</v>
      </c>
      <c r="G2742">
        <f t="shared" si="85"/>
        <v>-2.9773668160950617E-3</v>
      </c>
    </row>
    <row r="2743" spans="1:7" x14ac:dyDescent="0.25">
      <c r="A2743" s="1">
        <v>42041</v>
      </c>
      <c r="B2743">
        <v>2.0020830631256099</v>
      </c>
      <c r="C2743">
        <f>C2744*(1+G2743*3)</f>
        <v>1.8478546185671909</v>
      </c>
      <c r="D2743">
        <f t="shared" si="86"/>
        <v>1.9959376572797114</v>
      </c>
      <c r="F2743">
        <v>4228.68017578125</v>
      </c>
      <c r="G2743">
        <f t="shared" si="85"/>
        <v>-6.461192633827384E-3</v>
      </c>
    </row>
    <row r="2744" spans="1:7" x14ac:dyDescent="0.25">
      <c r="A2744" s="1">
        <v>42040</v>
      </c>
      <c r="B2744">
        <v>2.0391669273376398</v>
      </c>
      <c r="C2744">
        <f>C2745*(1+G2744*3)</f>
        <v>1.8843806578445672</v>
      </c>
      <c r="D2744">
        <f t="shared" si="86"/>
        <v>2.0352595861954579</v>
      </c>
      <c r="F2744">
        <v>4256.18017578125</v>
      </c>
      <c r="G2744">
        <f t="shared" si="85"/>
        <v>8.2867380958604464E-3</v>
      </c>
    </row>
    <row r="2745" spans="1:7" x14ac:dyDescent="0.25">
      <c r="A2745" s="1">
        <v>42039</v>
      </c>
      <c r="B2745">
        <v>1.9864579439163199</v>
      </c>
      <c r="C2745">
        <f>C2746*(1+G2745*3)</f>
        <v>1.8386709051384833</v>
      </c>
      <c r="D2745">
        <f t="shared" si="86"/>
        <v>1.985767427842978</v>
      </c>
      <c r="F2745">
        <v>4221.2001953125</v>
      </c>
      <c r="G2745">
        <f t="shared" si="85"/>
        <v>-1.8797411335181868E-3</v>
      </c>
    </row>
    <row r="2746" spans="1:7" x14ac:dyDescent="0.25">
      <c r="A2746" s="1">
        <v>42038</v>
      </c>
      <c r="B2746">
        <v>1.99166703224182</v>
      </c>
      <c r="C2746">
        <f>C2747*(1+G2746*3)</f>
        <v>1.8490983840155515</v>
      </c>
      <c r="D2746">
        <f t="shared" si="86"/>
        <v>1.9969021465681127</v>
      </c>
      <c r="F2746">
        <v>4229.14990234375</v>
      </c>
      <c r="G2746">
        <f t="shared" si="85"/>
        <v>9.6834639119109944E-3</v>
      </c>
    </row>
    <row r="2747" spans="1:7" x14ac:dyDescent="0.25">
      <c r="A2747" s="1">
        <v>42037</v>
      </c>
      <c r="B2747">
        <v>1.9387500286102199</v>
      </c>
      <c r="C2747">
        <f>C2748*(1+G2747*3)</f>
        <v>1.7968977990442399</v>
      </c>
      <c r="D2747">
        <f t="shared" si="86"/>
        <v>1.9404097951573427</v>
      </c>
      <c r="F2747">
        <v>4188.58984375</v>
      </c>
      <c r="G2747">
        <f t="shared" si="85"/>
        <v>9.6806903496180485E-3</v>
      </c>
    </row>
    <row r="2748" spans="1:7" x14ac:dyDescent="0.25">
      <c r="A2748" s="1">
        <v>42034</v>
      </c>
      <c r="B2748">
        <v>1.8891669511795</v>
      </c>
      <c r="C2748">
        <f>C2749*(1+G2748*3)</f>
        <v>1.7461849710505486</v>
      </c>
      <c r="D2748">
        <f t="shared" si="86"/>
        <v>1.885530857148781</v>
      </c>
      <c r="F2748">
        <v>4148.43017578125</v>
      </c>
      <c r="G2748">
        <f t="shared" si="85"/>
        <v>-7.8730364849028955E-3</v>
      </c>
    </row>
    <row r="2749" spans="1:7" x14ac:dyDescent="0.25">
      <c r="A2749" s="1">
        <v>42033</v>
      </c>
      <c r="B2749">
        <v>1.9335420131683301</v>
      </c>
      <c r="C2749">
        <f>C2750*(1+G2749*3)</f>
        <v>1.7884260005081987</v>
      </c>
      <c r="D2749">
        <f t="shared" si="86"/>
        <v>1.9310176822484588</v>
      </c>
      <c r="F2749">
        <v>4181.35009765625</v>
      </c>
      <c r="G2749">
        <f t="shared" si="85"/>
        <v>9.895279178083527E-3</v>
      </c>
    </row>
    <row r="2750" spans="1:7" x14ac:dyDescent="0.25">
      <c r="A2750" s="1">
        <v>42032</v>
      </c>
      <c r="B2750">
        <v>1.87916696071624</v>
      </c>
      <c r="C2750">
        <f>C2751*(1+G2750*3)</f>
        <v>1.7368656878790081</v>
      </c>
      <c r="D2750">
        <f t="shared" si="86"/>
        <v>1.8752313047191411</v>
      </c>
      <c r="F2750">
        <v>4140.3798828125</v>
      </c>
      <c r="G2750">
        <f t="shared" si="85"/>
        <v>-6.0305166696674739E-3</v>
      </c>
    </row>
    <row r="2751" spans="1:7" x14ac:dyDescent="0.25">
      <c r="A2751" s="1">
        <v>42031</v>
      </c>
      <c r="B2751">
        <v>1.912083029747</v>
      </c>
      <c r="C2751">
        <f>C2752*(1+G2751*3)</f>
        <v>1.7688672379741026</v>
      </c>
      <c r="D2751">
        <f t="shared" si="86"/>
        <v>1.9096592582271426</v>
      </c>
      <c r="F2751">
        <v>4165.5</v>
      </c>
      <c r="G2751">
        <f t="shared" si="85"/>
        <v>-2.5778163515261188E-2</v>
      </c>
    </row>
    <row r="2752" spans="1:7" x14ac:dyDescent="0.25">
      <c r="A2752" s="1">
        <v>42030</v>
      </c>
      <c r="B2752">
        <v>2.0724999904632502</v>
      </c>
      <c r="C2752">
        <f>C2753*(1+G2752*3)</f>
        <v>1.9171273011174323</v>
      </c>
      <c r="D2752">
        <f t="shared" si="86"/>
        <v>2.0695781786231349</v>
      </c>
      <c r="F2752">
        <v>4275.72021484375</v>
      </c>
      <c r="G2752">
        <f t="shared" si="85"/>
        <v>-5.6564810821180256E-4</v>
      </c>
    </row>
    <row r="2753" spans="1:7" x14ac:dyDescent="0.25">
      <c r="A2753" s="1">
        <v>42027</v>
      </c>
      <c r="B2753">
        <v>2.07708311080932</v>
      </c>
      <c r="C2753">
        <f>C2754*(1+G2753*3)</f>
        <v>1.9203860893929365</v>
      </c>
      <c r="D2753">
        <f t="shared" si="86"/>
        <v>2.0729648166837382</v>
      </c>
      <c r="F2753">
        <v>4278.14013671875</v>
      </c>
      <c r="G2753">
        <f t="shared" si="85"/>
        <v>1.8219245418633623E-3</v>
      </c>
    </row>
    <row r="2754" spans="1:7" x14ac:dyDescent="0.25">
      <c r="A2754" s="1">
        <v>42026</v>
      </c>
      <c r="B2754">
        <v>2.06333303451538</v>
      </c>
      <c r="C2754">
        <f>C2755*(1+G2754*3)</f>
        <v>1.9099467528051726</v>
      </c>
      <c r="D2754">
        <f t="shared" si="86"/>
        <v>2.0615664142186603</v>
      </c>
      <c r="F2754">
        <v>4270.35986328125</v>
      </c>
      <c r="G2754">
        <f t="shared" ref="G2754:G2817" si="87">F2754/F2755-1</f>
        <v>1.8670883127169358E-2</v>
      </c>
    </row>
    <row r="2755" spans="1:7" x14ac:dyDescent="0.25">
      <c r="A2755" s="1">
        <v>42025</v>
      </c>
      <c r="B2755">
        <v>1.9545830488204901</v>
      </c>
      <c r="C2755">
        <f>C2756*(1+G2755*3)</f>
        <v>1.8086400327910861</v>
      </c>
      <c r="D2755">
        <f t="shared" si="86"/>
        <v>1.9521006585589016</v>
      </c>
      <c r="F2755">
        <v>4192.08984375</v>
      </c>
      <c r="G2755">
        <f t="shared" si="87"/>
        <v>5.0057136917192047E-3</v>
      </c>
    </row>
    <row r="2756" spans="1:7" x14ac:dyDescent="0.25">
      <c r="A2756" s="1">
        <v>42024</v>
      </c>
      <c r="B2756">
        <v>1.92499995231628</v>
      </c>
      <c r="C2756">
        <f>C2757*(1+G2756*3)</f>
        <v>1.7818812703746882</v>
      </c>
      <c r="D2756">
        <f t="shared" si="86"/>
        <v>1.9230996081827925</v>
      </c>
      <c r="F2756">
        <v>4171.2099609375</v>
      </c>
      <c r="G2756">
        <f t="shared" si="87"/>
        <v>7.0180687420628995E-3</v>
      </c>
    </row>
    <row r="2757" spans="1:7" x14ac:dyDescent="0.25">
      <c r="A2757" s="1">
        <v>42020</v>
      </c>
      <c r="B2757">
        <v>1.8833329677581701</v>
      </c>
      <c r="C2757">
        <f>C2758*(1+G2757*3)</f>
        <v>1.7451387590483689</v>
      </c>
      <c r="D2757">
        <f t="shared" si="86"/>
        <v>1.8833285430025297</v>
      </c>
      <c r="F2757">
        <v>4142.14013671875</v>
      </c>
      <c r="G2757">
        <f t="shared" si="87"/>
        <v>1.2834896782953908E-2</v>
      </c>
    </row>
    <row r="2758" spans="1:7" x14ac:dyDescent="0.25">
      <c r="A2758" s="1">
        <v>42019</v>
      </c>
      <c r="B2758">
        <v>1.81854200363159</v>
      </c>
      <c r="C2758">
        <f>C2759*(1+G2758*3)</f>
        <v>1.6804341619893211</v>
      </c>
      <c r="D2758">
        <f t="shared" si="86"/>
        <v>1.8133898718878489</v>
      </c>
      <c r="F2758">
        <v>4089.64990234375</v>
      </c>
      <c r="G2758">
        <f t="shared" si="87"/>
        <v>-1.3553331417507142E-2</v>
      </c>
    </row>
    <row r="2759" spans="1:7" x14ac:dyDescent="0.25">
      <c r="A2759" s="1">
        <v>42018</v>
      </c>
      <c r="B2759">
        <v>1.89374995231628</v>
      </c>
      <c r="C2759">
        <f>C2760*(1+G2759*3)</f>
        <v>1.7516565054326025</v>
      </c>
      <c r="D2759">
        <f t="shared" si="86"/>
        <v>1.8901227445969644</v>
      </c>
      <c r="F2759">
        <v>4145.83984375</v>
      </c>
      <c r="G2759">
        <f t="shared" si="87"/>
        <v>-4.8870314934477133E-3</v>
      </c>
    </row>
    <row r="2760" spans="1:7" x14ac:dyDescent="0.25">
      <c r="A2760" s="1">
        <v>42017</v>
      </c>
      <c r="B2760">
        <v>1.9233330488204901</v>
      </c>
      <c r="C2760">
        <f>C2761*(1+G2760*3)</f>
        <v>1.7777198237278555</v>
      </c>
      <c r="D2760">
        <f t="shared" si="86"/>
        <v>1.9181232532200514</v>
      </c>
      <c r="F2760">
        <v>4166.2001953125</v>
      </c>
      <c r="G2760">
        <f t="shared" si="87"/>
        <v>-9.0408788001172802E-4</v>
      </c>
    </row>
    <row r="2761" spans="1:7" x14ac:dyDescent="0.25">
      <c r="A2761" s="1">
        <v>42016</v>
      </c>
      <c r="B2761">
        <v>1.92499995231628</v>
      </c>
      <c r="C2761">
        <f>C2762*(1+G2761*3)</f>
        <v>1.7825545817061954</v>
      </c>
      <c r="D2761">
        <f t="shared" si="86"/>
        <v>1.923217927537322</v>
      </c>
      <c r="F2761">
        <v>4169.97021484375</v>
      </c>
      <c r="G2761">
        <f t="shared" si="87"/>
        <v>-1.0279300810993708E-2</v>
      </c>
    </row>
    <row r="2762" spans="1:7" x14ac:dyDescent="0.25">
      <c r="A2762" s="1">
        <v>42013</v>
      </c>
      <c r="B2762">
        <v>1.9860420227050699</v>
      </c>
      <c r="C2762">
        <f>C2763*(1+G2762*3)</f>
        <v>1.8392739317613784</v>
      </c>
      <c r="D2762">
        <f t="shared" si="86"/>
        <v>1.9842836111850199</v>
      </c>
      <c r="F2762">
        <v>4213.27978515625</v>
      </c>
      <c r="G2762">
        <f t="shared" si="87"/>
        <v>-6.4307744955868218E-3</v>
      </c>
    </row>
    <row r="2763" spans="1:7" x14ac:dyDescent="0.25">
      <c r="A2763" s="1">
        <v>42012</v>
      </c>
      <c r="B2763">
        <v>2.0270829200744598</v>
      </c>
      <c r="C2763">
        <f>C2764*(1+G2763*3)</f>
        <v>1.8754558323644857</v>
      </c>
      <c r="D2763">
        <f t="shared" si="86"/>
        <v>2.0231876818680905</v>
      </c>
      <c r="F2763">
        <v>4240.5498046875</v>
      </c>
      <c r="G2763">
        <f t="shared" si="87"/>
        <v>1.9362933819110584E-2</v>
      </c>
    </row>
    <row r="2764" spans="1:7" x14ac:dyDescent="0.25">
      <c r="A2764" s="1">
        <v>42011</v>
      </c>
      <c r="B2764">
        <v>1.91770803928375</v>
      </c>
      <c r="C2764">
        <f>C2765*(1+G2764*3)</f>
        <v>1.7724937923748689</v>
      </c>
      <c r="D2764">
        <f t="shared" si="86"/>
        <v>1.912000947898469</v>
      </c>
      <c r="F2764">
        <v>4160</v>
      </c>
      <c r="G2764">
        <f t="shared" si="87"/>
        <v>1.196106891808757E-2</v>
      </c>
    </row>
    <row r="2765" spans="1:7" x14ac:dyDescent="0.25">
      <c r="A2765" s="1">
        <v>42010</v>
      </c>
      <c r="B2765">
        <v>1.8466670513153001</v>
      </c>
      <c r="C2765">
        <f>C2766*(1+G2765*3)</f>
        <v>1.7110942438468824</v>
      </c>
      <c r="D2765">
        <f t="shared" si="86"/>
        <v>1.8456561895266814</v>
      </c>
      <c r="F2765">
        <v>4110.830078125</v>
      </c>
      <c r="G2765">
        <f t="shared" si="87"/>
        <v>-1.2047672480175797E-2</v>
      </c>
    </row>
    <row r="2766" spans="1:7" x14ac:dyDescent="0.25">
      <c r="A2766" s="1">
        <v>42009</v>
      </c>
      <c r="B2766">
        <v>1.92291700839996</v>
      </c>
      <c r="C2766">
        <f>C2767*(1+G2766*3)</f>
        <v>1.7752574031296215</v>
      </c>
      <c r="D2766">
        <f>D2767*(1+3*G2766--0.0000632272285483554)</f>
        <v>1.9147395923284627</v>
      </c>
      <c r="F2766">
        <v>4160.9599609375</v>
      </c>
      <c r="G2766">
        <f t="shared" si="87"/>
        <v>-1.6377385112676945E-2</v>
      </c>
    </row>
    <row r="2767" spans="1:7" x14ac:dyDescent="0.25">
      <c r="A2767" s="1">
        <v>42006</v>
      </c>
      <c r="B2767">
        <v>2.0135419368743799</v>
      </c>
      <c r="C2767">
        <f>C2768*(1+G2767*3)</f>
        <v>1.8669864725110361</v>
      </c>
      <c r="D2767">
        <v>2.0135419368743799</v>
      </c>
      <c r="E2767" s="2">
        <v>-6.3227228548355395E-5</v>
      </c>
      <c r="F2767">
        <v>4230.240234375</v>
      </c>
      <c r="G2767">
        <f t="shared" si="87"/>
        <v>-1.4256732528413751E-3</v>
      </c>
    </row>
    <row r="2768" spans="1:7" x14ac:dyDescent="0.25">
      <c r="A2768" s="1">
        <v>42004</v>
      </c>
      <c r="B2768">
        <v>2.03020811080932</v>
      </c>
      <c r="C2768">
        <f>C2769*(1+G2768*3)</f>
        <v>1.8750059098347489</v>
      </c>
      <c r="D2768">
        <f t="shared" ref="D2768:D2831" si="88">D2769*(1+3*G2768--0.0000630653728590433)</f>
        <v>2.0302081108112411</v>
      </c>
      <c r="F2768">
        <v>4236.27978515625</v>
      </c>
      <c r="G2768">
        <f t="shared" si="87"/>
        <v>-1.0758184513035118E-2</v>
      </c>
    </row>
    <row r="2769" spans="1:7" x14ac:dyDescent="0.25">
      <c r="A2769" s="1">
        <v>42003</v>
      </c>
      <c r="B2769">
        <v>2.0958330631256099</v>
      </c>
      <c r="C2769">
        <f>C2770*(1+G2769*3)</f>
        <v>1.9375391198938747</v>
      </c>
      <c r="D2769">
        <f t="shared" si="88"/>
        <v>2.0977807506357231</v>
      </c>
      <c r="F2769">
        <v>4282.35009765625</v>
      </c>
      <c r="G2769">
        <f t="shared" si="87"/>
        <v>-7.0235489403820406E-3</v>
      </c>
    </row>
    <row r="2770" spans="1:7" x14ac:dyDescent="0.25">
      <c r="A2770" s="1">
        <v>42002</v>
      </c>
      <c r="B2770">
        <v>2.1400001049041699</v>
      </c>
      <c r="C2770">
        <f>C2771*(1+G2770*3)</f>
        <v>1.9792430511988943</v>
      </c>
      <c r="D2770">
        <f t="shared" si="88"/>
        <v>2.1427957059556255</v>
      </c>
      <c r="F2770">
        <v>4312.64013671875</v>
      </c>
      <c r="G2770">
        <f t="shared" si="87"/>
        <v>-3.360400649398132E-4</v>
      </c>
    </row>
    <row r="2771" spans="1:7" x14ac:dyDescent="0.25">
      <c r="A2771" s="1">
        <v>41999</v>
      </c>
      <c r="B2771">
        <v>2.13958311080932</v>
      </c>
      <c r="C2771">
        <f>C2772*(1+G2771*3)</f>
        <v>1.9812403796363975</v>
      </c>
      <c r="D2771">
        <f t="shared" si="88"/>
        <v>2.1448226809725286</v>
      </c>
      <c r="F2771">
        <v>4314.08984375</v>
      </c>
      <c r="G2771">
        <f t="shared" si="87"/>
        <v>7.2353541563756618E-3</v>
      </c>
    </row>
    <row r="2772" spans="1:7" x14ac:dyDescent="0.25">
      <c r="A2772" s="1">
        <v>41997</v>
      </c>
      <c r="B2772">
        <v>2.0970830917358398</v>
      </c>
      <c r="C2772">
        <f>C2773*(1+G2772*3)</f>
        <v>1.9391490883869205</v>
      </c>
      <c r="D2772">
        <f t="shared" si="88"/>
        <v>2.0991265272444402</v>
      </c>
      <c r="F2772">
        <v>4283.10009765625</v>
      </c>
      <c r="G2772">
        <f t="shared" si="87"/>
        <v>8.8806420260323371E-4</v>
      </c>
    </row>
    <row r="2773" spans="1:7" x14ac:dyDescent="0.25">
      <c r="A2773" s="1">
        <v>41996</v>
      </c>
      <c r="B2773">
        <v>2.09270811080932</v>
      </c>
      <c r="C2773">
        <f>C2774*(1+G2773*3)</f>
        <v>1.9339965490773392</v>
      </c>
      <c r="D2773">
        <f t="shared" si="88"/>
        <v>2.0934172383742147</v>
      </c>
      <c r="F2773">
        <v>4279.2998046875</v>
      </c>
      <c r="G2773">
        <f t="shared" si="87"/>
        <v>-3.346814601254855E-3</v>
      </c>
    </row>
    <row r="2774" spans="1:7" x14ac:dyDescent="0.25">
      <c r="A2774" s="1">
        <v>41995</v>
      </c>
      <c r="B2774">
        <v>2.1129169464111301</v>
      </c>
      <c r="C2774">
        <f>C2775*(1+G2774*3)</f>
        <v>1.9536116773380299</v>
      </c>
      <c r="D2774">
        <f t="shared" si="88"/>
        <v>2.1145145502396114</v>
      </c>
      <c r="F2774">
        <v>4293.669921875</v>
      </c>
      <c r="G2774">
        <f t="shared" si="87"/>
        <v>2.7769145811677998E-3</v>
      </c>
    </row>
    <row r="2775" spans="1:7" x14ac:dyDescent="0.25">
      <c r="A2775" s="1">
        <v>41992</v>
      </c>
      <c r="B2775">
        <v>2.0939579010009699</v>
      </c>
      <c r="C2775">
        <f>C2776*(1+G2775*3)</f>
        <v>1.9374711020761901</v>
      </c>
      <c r="D2775">
        <f t="shared" si="88"/>
        <v>2.0969134589318066</v>
      </c>
      <c r="F2775">
        <v>4281.77978515625</v>
      </c>
      <c r="G2775">
        <f t="shared" si="87"/>
        <v>3.2826899202358373E-3</v>
      </c>
    </row>
    <row r="2776" spans="1:7" x14ac:dyDescent="0.25">
      <c r="A2776" s="1">
        <v>41991</v>
      </c>
      <c r="B2776">
        <v>2.0708329677581698</v>
      </c>
      <c r="C2776">
        <f>C2777*(1+G2776*3)</f>
        <v>1.9185768236753586</v>
      </c>
      <c r="D2776">
        <f t="shared" si="88"/>
        <v>2.076334625872283</v>
      </c>
      <c r="F2776">
        <v>4267.77001953125</v>
      </c>
      <c r="G2776">
        <f t="shared" si="87"/>
        <v>2.4650049090722659E-2</v>
      </c>
    </row>
    <row r="2777" spans="1:7" x14ac:dyDescent="0.25">
      <c r="A2777" s="1">
        <v>41990</v>
      </c>
      <c r="B2777">
        <v>1.9293750524520801</v>
      </c>
      <c r="C2777">
        <f>C2778*(1+G2777*3)</f>
        <v>1.7864673034856797</v>
      </c>
      <c r="D2777">
        <f t="shared" si="88"/>
        <v>1.9332486802083078</v>
      </c>
      <c r="F2777">
        <v>4165.10009765625</v>
      </c>
      <c r="G2777">
        <f t="shared" si="87"/>
        <v>1.8461462782942695E-2</v>
      </c>
    </row>
    <row r="2778" spans="1:7" x14ac:dyDescent="0.25">
      <c r="A2778" s="1">
        <v>41989</v>
      </c>
      <c r="B2778">
        <v>1.8310420513153001</v>
      </c>
      <c r="C2778">
        <f>C2779*(1+G2778*3)</f>
        <v>1.6927171968884691</v>
      </c>
      <c r="D2778">
        <f t="shared" si="88"/>
        <v>1.8316863368151055</v>
      </c>
      <c r="F2778">
        <v>4089.60009765625</v>
      </c>
      <c r="G2778">
        <f t="shared" si="87"/>
        <v>-1.6310649189089088E-2</v>
      </c>
    </row>
    <row r="2779" spans="1:7" x14ac:dyDescent="0.25">
      <c r="A2779" s="1">
        <v>41988</v>
      </c>
      <c r="B2779">
        <v>1.9266669750213601</v>
      </c>
      <c r="C2779">
        <f>C2780*(1+G2779*3)</f>
        <v>1.7798066001256958</v>
      </c>
      <c r="D2779">
        <f t="shared" si="88"/>
        <v>1.9257979289344378</v>
      </c>
      <c r="F2779">
        <v>4157.41015625</v>
      </c>
      <c r="G2779">
        <f t="shared" si="87"/>
        <v>-9.9706690309734336E-3</v>
      </c>
    </row>
    <row r="2780" spans="1:7" x14ac:dyDescent="0.25">
      <c r="A2780" s="1">
        <v>41985</v>
      </c>
      <c r="B2780">
        <v>1.98625004291534</v>
      </c>
      <c r="C2780">
        <f>C2781*(1+G2780*3)</f>
        <v>1.8346857327778259</v>
      </c>
      <c r="D2780">
        <f t="shared" si="88"/>
        <v>1.9850495574873099</v>
      </c>
      <c r="F2780">
        <v>4199.27978515625</v>
      </c>
      <c r="G2780">
        <f t="shared" si="87"/>
        <v>-1.1115134306435515E-2</v>
      </c>
    </row>
    <row r="2781" spans="1:7" x14ac:dyDescent="0.25">
      <c r="A2781" s="1">
        <v>41984</v>
      </c>
      <c r="B2781">
        <v>2.05416703224182</v>
      </c>
      <c r="C2781">
        <f>C2782*(1+G2781*3)</f>
        <v>1.8979744557348561</v>
      </c>
      <c r="D2781">
        <f t="shared" si="88"/>
        <v>2.0533912170893895</v>
      </c>
      <c r="F2781">
        <v>4246.47998046875</v>
      </c>
      <c r="G2781">
        <f t="shared" si="87"/>
        <v>5.1149177801554924E-3</v>
      </c>
    </row>
    <row r="2782" spans="1:7" x14ac:dyDescent="0.25">
      <c r="A2782" s="1">
        <v>41983</v>
      </c>
      <c r="B2782">
        <v>2.02250003814697</v>
      </c>
      <c r="C2782">
        <f>C2783*(1+G2782*3)</f>
        <v>1.8692906517619294</v>
      </c>
      <c r="D2782">
        <f t="shared" si="88"/>
        <v>2.0222330173617782</v>
      </c>
      <c r="F2782">
        <v>4224.8701171875</v>
      </c>
      <c r="G2782">
        <f t="shared" si="87"/>
        <v>-1.6252658750786186E-2</v>
      </c>
    </row>
    <row r="2783" spans="1:7" x14ac:dyDescent="0.25">
      <c r="A2783" s="1">
        <v>41982</v>
      </c>
      <c r="B2783">
        <v>2.1254169940948402</v>
      </c>
      <c r="C2783">
        <f>C2784*(1+G2783*3)</f>
        <v>1.9651052046643396</v>
      </c>
      <c r="D2783">
        <f t="shared" si="88"/>
        <v>2.1257460308883354</v>
      </c>
      <c r="F2783">
        <v>4294.669921875</v>
      </c>
      <c r="G2783">
        <f t="shared" si="87"/>
        <v>3.8169193475492413E-3</v>
      </c>
    </row>
    <row r="2784" spans="1:7" x14ac:dyDescent="0.25">
      <c r="A2784" s="1">
        <v>41981</v>
      </c>
      <c r="B2784">
        <v>2.1050000190734801</v>
      </c>
      <c r="C2784">
        <f>C2785*(1+G2784*3)</f>
        <v>1.9428580077068676</v>
      </c>
      <c r="D2784">
        <f t="shared" si="88"/>
        <v>2.1015491649046179</v>
      </c>
      <c r="F2784">
        <v>4278.33984375</v>
      </c>
      <c r="G2784">
        <f t="shared" si="87"/>
        <v>-7.7071650984502638E-3</v>
      </c>
    </row>
    <row r="2785" spans="1:7" x14ac:dyDescent="0.25">
      <c r="A2785" s="1">
        <v>41978</v>
      </c>
      <c r="B2785">
        <v>2.1514580249786301</v>
      </c>
      <c r="C2785">
        <f>C2786*(1+G2785*3)</f>
        <v>1.9888430325266231</v>
      </c>
      <c r="D2785">
        <f t="shared" si="88"/>
        <v>2.1511513372676792</v>
      </c>
      <c r="F2785">
        <v>4311.56982421875</v>
      </c>
      <c r="G2785">
        <f t="shared" si="87"/>
        <v>-8.3570825085255152E-5</v>
      </c>
    </row>
    <row r="2786" spans="1:7" x14ac:dyDescent="0.25">
      <c r="A2786" s="1">
        <v>41977</v>
      </c>
      <c r="B2786">
        <v>2.1500000953674299</v>
      </c>
      <c r="C2786">
        <f>C2787*(1+G2786*3)</f>
        <v>1.9893417853297528</v>
      </c>
      <c r="D2786">
        <f t="shared" si="88"/>
        <v>2.1515550703422757</v>
      </c>
      <c r="F2786">
        <v>4311.93017578125</v>
      </c>
      <c r="G2786">
        <f t="shared" si="87"/>
        <v>-2.318609296332319E-4</v>
      </c>
    </row>
    <row r="2787" spans="1:7" x14ac:dyDescent="0.25">
      <c r="A2787" s="1">
        <v>41976</v>
      </c>
      <c r="B2787">
        <v>2.1564579010009699</v>
      </c>
      <c r="C2787">
        <f>C2788*(1+G2787*3)</f>
        <v>1.9907265004208521</v>
      </c>
      <c r="D2787">
        <f t="shared" si="88"/>
        <v>2.1529168277311026</v>
      </c>
      <c r="F2787">
        <v>4312.93017578125</v>
      </c>
      <c r="G2787">
        <f t="shared" si="87"/>
        <v>1.6187365667543752E-3</v>
      </c>
    </row>
    <row r="2788" spans="1:7" x14ac:dyDescent="0.25">
      <c r="A2788" s="1">
        <v>41975</v>
      </c>
      <c r="B2788">
        <v>2.1370830535888601</v>
      </c>
      <c r="C2788">
        <f>C2789*(1+G2788*3)</f>
        <v>1.9811058350474469</v>
      </c>
      <c r="D2788">
        <f t="shared" si="88"/>
        <v>2.142377881620837</v>
      </c>
      <c r="F2788">
        <v>4305.9599609375</v>
      </c>
      <c r="G2788">
        <f t="shared" si="87"/>
        <v>4.2329072640177046E-3</v>
      </c>
    </row>
    <row r="2789" spans="1:7" x14ac:dyDescent="0.25">
      <c r="A2789" s="1">
        <v>41974</v>
      </c>
      <c r="B2789">
        <v>2.11437511444091</v>
      </c>
      <c r="C2789">
        <f>C2790*(1+G2789*3)</f>
        <v>1.9562637854837204</v>
      </c>
      <c r="D2789">
        <f t="shared" si="88"/>
        <v>2.1153818289472892</v>
      </c>
      <c r="F2789">
        <v>4287.81005859375</v>
      </c>
      <c r="G2789">
        <f t="shared" si="87"/>
        <v>-1.1521991617545413E-2</v>
      </c>
    </row>
    <row r="2790" spans="1:7" x14ac:dyDescent="0.25">
      <c r="A2790" s="1">
        <v>41971</v>
      </c>
      <c r="B2790">
        <v>2.1954169273376398</v>
      </c>
      <c r="C2790">
        <f>C2791*(1+G2790*3)</f>
        <v>2.0263049929125052</v>
      </c>
      <c r="D2790">
        <f t="shared" si="88"/>
        <v>2.1909769068361387</v>
      </c>
      <c r="F2790">
        <v>4337.7900390625</v>
      </c>
      <c r="G2790">
        <f t="shared" si="87"/>
        <v>4.5854213679956679E-3</v>
      </c>
    </row>
    <row r="2791" spans="1:7" x14ac:dyDescent="0.25">
      <c r="A2791" s="1">
        <v>41969</v>
      </c>
      <c r="B2791">
        <v>2.16312503814697</v>
      </c>
      <c r="C2791">
        <f>C2792*(1+G2791*3)</f>
        <v>1.9988088504720252</v>
      </c>
      <c r="D2791">
        <f t="shared" si="88"/>
        <v>2.1611117909605579</v>
      </c>
      <c r="F2791">
        <v>4317.990234375</v>
      </c>
      <c r="G2791">
        <f t="shared" si="87"/>
        <v>6.9399855049279147E-3</v>
      </c>
    </row>
    <row r="2792" spans="1:7" x14ac:dyDescent="0.25">
      <c r="A2792" s="1">
        <v>41968</v>
      </c>
      <c r="B2792">
        <v>2.1197919845581001</v>
      </c>
      <c r="C2792">
        <f>C2793*(1+G2792*3)</f>
        <v>1.958042490956218</v>
      </c>
      <c r="D2792">
        <f t="shared" si="88"/>
        <v>2.1169044294267905</v>
      </c>
      <c r="F2792">
        <v>4288.22998046875</v>
      </c>
      <c r="G2792">
        <f t="shared" si="87"/>
        <v>9.1266675001633324E-4</v>
      </c>
    </row>
    <row r="2793" spans="1:7" x14ac:dyDescent="0.25">
      <c r="A2793" s="1">
        <v>41967</v>
      </c>
      <c r="B2793">
        <v>2.1129169464111301</v>
      </c>
      <c r="C2793">
        <f>C2794*(1+G2793*3)</f>
        <v>1.9526960087958651</v>
      </c>
      <c r="D2793">
        <f t="shared" si="88"/>
        <v>2.1109914039748623</v>
      </c>
      <c r="F2793">
        <v>4284.31982421875</v>
      </c>
      <c r="G2793">
        <f t="shared" si="87"/>
        <v>7.7622953257967531E-3</v>
      </c>
    </row>
    <row r="2794" spans="1:7" x14ac:dyDescent="0.25">
      <c r="A2794" s="1">
        <v>41964</v>
      </c>
      <c r="B2794">
        <v>2.06625008583068</v>
      </c>
      <c r="C2794">
        <f>C2795*(1+G2794*3)</f>
        <v>1.9082586081719906</v>
      </c>
      <c r="D2794">
        <f t="shared" si="88"/>
        <v>2.0628245510634313</v>
      </c>
      <c r="F2794">
        <v>4251.31982421875</v>
      </c>
      <c r="G2794">
        <f t="shared" si="87"/>
        <v>2.175809756209901E-3</v>
      </c>
    </row>
    <row r="2795" spans="1:7" x14ac:dyDescent="0.25">
      <c r="A2795" s="1">
        <v>41963</v>
      </c>
      <c r="B2795">
        <v>2.0514578819274898</v>
      </c>
      <c r="C2795">
        <f>C2796*(1+G2795*3)</f>
        <v>1.8958833636144257</v>
      </c>
      <c r="D2795">
        <f t="shared" si="88"/>
        <v>2.0493185282840716</v>
      </c>
      <c r="F2795">
        <v>4242.08984375</v>
      </c>
      <c r="G2795">
        <f t="shared" si="87"/>
        <v>4.601290840618999E-3</v>
      </c>
    </row>
    <row r="2796" spans="1:7" x14ac:dyDescent="0.25">
      <c r="A2796" s="1">
        <v>41962</v>
      </c>
      <c r="B2796">
        <v>2.0245831012725799</v>
      </c>
      <c r="C2796">
        <f>C2797*(1+G2796*3)</f>
        <v>1.8700691672230239</v>
      </c>
      <c r="D2796">
        <f t="shared" si="88"/>
        <v>2.0212894332460034</v>
      </c>
      <c r="F2796">
        <v>4222.66015625</v>
      </c>
      <c r="G2796">
        <f t="shared" si="87"/>
        <v>-4.6037036120489816E-3</v>
      </c>
    </row>
    <row r="2797" spans="1:7" x14ac:dyDescent="0.25">
      <c r="A2797" s="1">
        <v>41961</v>
      </c>
      <c r="B2797">
        <v>2.05062508583068</v>
      </c>
      <c r="C2797">
        <f>C2798*(1+G2797*3)</f>
        <v>1.8962586049905457</v>
      </c>
      <c r="D2797">
        <f t="shared" si="88"/>
        <v>2.0494655792043486</v>
      </c>
      <c r="F2797">
        <v>4242.18994140625</v>
      </c>
      <c r="G2797">
        <f t="shared" si="87"/>
        <v>6.7397525933847735E-3</v>
      </c>
    </row>
    <row r="2798" spans="1:7" x14ac:dyDescent="0.25">
      <c r="A2798" s="1">
        <v>41960</v>
      </c>
      <c r="B2798">
        <v>2.0056250095367401</v>
      </c>
      <c r="C2798">
        <f>C2799*(1+G2798*3)</f>
        <v>1.8586775249827403</v>
      </c>
      <c r="D2798">
        <f t="shared" si="88"/>
        <v>2.0087239901116929</v>
      </c>
      <c r="F2798">
        <v>4213.7900390625</v>
      </c>
      <c r="G2798">
        <f t="shared" si="87"/>
        <v>-2.6509399291325675E-3</v>
      </c>
    </row>
    <row r="2799" spans="1:7" x14ac:dyDescent="0.25">
      <c r="A2799" s="1">
        <v>41957</v>
      </c>
      <c r="B2799">
        <v>2.0245831012725799</v>
      </c>
      <c r="C2799">
        <f>C2800*(1+G2799*3)</f>
        <v>1.8735777511956773</v>
      </c>
      <c r="D2799">
        <f t="shared" si="88"/>
        <v>2.0246983629589574</v>
      </c>
      <c r="F2799">
        <v>4224.990234375</v>
      </c>
      <c r="G2799">
        <f t="shared" si="87"/>
        <v>2.7317689794670308E-3</v>
      </c>
    </row>
    <row r="2800" spans="1:7" x14ac:dyDescent="0.25">
      <c r="A2800" s="1">
        <v>41956</v>
      </c>
      <c r="B2800">
        <v>2.00604200363159</v>
      </c>
      <c r="C2800">
        <f>C2801*(1+G2800*3)</f>
        <v>1.8583480187833779</v>
      </c>
      <c r="D2800">
        <f t="shared" si="88"/>
        <v>2.0081146049079486</v>
      </c>
      <c r="F2800">
        <v>4213.47998046875</v>
      </c>
      <c r="G2800">
        <f t="shared" si="87"/>
        <v>4.3095005353124272E-3</v>
      </c>
    </row>
    <row r="2801" spans="1:7" x14ac:dyDescent="0.25">
      <c r="A2801" s="1">
        <v>41955</v>
      </c>
      <c r="B2801">
        <v>1.9806250333786</v>
      </c>
      <c r="C2801">
        <f>C2802*(1+G2801*3)</f>
        <v>1.834629014621544</v>
      </c>
      <c r="D2801">
        <f t="shared" si="88"/>
        <v>1.9823606339557827</v>
      </c>
      <c r="F2801">
        <v>4195.39990234375</v>
      </c>
      <c r="G2801">
        <f t="shared" si="87"/>
        <v>1.96786026477902E-3</v>
      </c>
    </row>
    <row r="2802" spans="1:7" x14ac:dyDescent="0.25">
      <c r="A2802" s="1">
        <v>41954</v>
      </c>
      <c r="B2802">
        <v>1.96979200839996</v>
      </c>
      <c r="C2802">
        <f>C2803*(1+G2802*3)</f>
        <v>1.8238616997195527</v>
      </c>
      <c r="D2802">
        <f t="shared" si="88"/>
        <v>1.9706027446423959</v>
      </c>
      <c r="F2802">
        <v>4187.16015625</v>
      </c>
      <c r="G2802">
        <f t="shared" si="87"/>
        <v>2.6844096345026713E-3</v>
      </c>
    </row>
    <row r="2803" spans="1:7" x14ac:dyDescent="0.25">
      <c r="A2803" s="1">
        <v>41953</v>
      </c>
      <c r="B2803">
        <v>1.95124995708465</v>
      </c>
      <c r="C2803">
        <f>C2804*(1+G2803*3)</f>
        <v>1.8092910646230713</v>
      </c>
      <c r="D2803">
        <f t="shared" si="88"/>
        <v>1.9547375196994592</v>
      </c>
      <c r="F2803">
        <v>4175.9501953125</v>
      </c>
      <c r="G2803">
        <f t="shared" si="87"/>
        <v>3.7135429185193303E-3</v>
      </c>
    </row>
    <row r="2804" spans="1:7" x14ac:dyDescent="0.25">
      <c r="A2804" s="1">
        <v>41950</v>
      </c>
      <c r="B2804">
        <v>1.9314579963684</v>
      </c>
      <c r="C2804">
        <f>C2805*(1+G2804*3)</f>
        <v>1.7893565080554836</v>
      </c>
      <c r="D2804">
        <f t="shared" si="88"/>
        <v>1.9330798839538443</v>
      </c>
      <c r="F2804">
        <v>4160.5</v>
      </c>
      <c r="G2804">
        <f t="shared" si="87"/>
        <v>-8.597524682119051E-4</v>
      </c>
    </row>
    <row r="2805" spans="1:7" x14ac:dyDescent="0.25">
      <c r="A2805" s="1">
        <v>41949</v>
      </c>
      <c r="B2805">
        <v>1.9362499713897701</v>
      </c>
      <c r="C2805">
        <f>C2806*(1+G2805*3)</f>
        <v>1.793983653678028</v>
      </c>
      <c r="D2805">
        <f t="shared" si="88"/>
        <v>1.9379561537859331</v>
      </c>
      <c r="F2805">
        <v>4164.080078125</v>
      </c>
      <c r="G2805">
        <f t="shared" si="87"/>
        <v>2.6027825166470286E-3</v>
      </c>
    </row>
    <row r="2806" spans="1:7" x14ac:dyDescent="0.25">
      <c r="A2806" s="1">
        <v>41948</v>
      </c>
      <c r="B2806">
        <v>1.9197920560836701</v>
      </c>
      <c r="C2806">
        <f>C2807*(1+G2806*3)</f>
        <v>1.7800841380599188</v>
      </c>
      <c r="D2806">
        <f t="shared" si="88"/>
        <v>1.9228208370013316</v>
      </c>
      <c r="F2806">
        <v>4153.27001953125</v>
      </c>
      <c r="G2806">
        <f t="shared" si="87"/>
        <v>-7.1217448298332986E-4</v>
      </c>
    </row>
    <row r="2807" spans="1:7" x14ac:dyDescent="0.25">
      <c r="A2807" s="1">
        <v>41947</v>
      </c>
      <c r="B2807">
        <v>1.91999995708465</v>
      </c>
      <c r="C2807">
        <f>C2808*(1+G2807*3)</f>
        <v>1.7838954725675351</v>
      </c>
      <c r="D2807">
        <f t="shared" si="88"/>
        <v>1.9268160092167834</v>
      </c>
      <c r="F2807">
        <v>4156.22998046875</v>
      </c>
      <c r="G2807">
        <f t="shared" si="87"/>
        <v>-3.1299901565638999E-3</v>
      </c>
    </row>
    <row r="2808" spans="1:7" x14ac:dyDescent="0.25">
      <c r="A2808" s="1">
        <v>41946</v>
      </c>
      <c r="B2808">
        <v>1.94062495231628</v>
      </c>
      <c r="C2808">
        <f>C2809*(1+G2808*3)</f>
        <v>1.8008049781338862</v>
      </c>
      <c r="D2808">
        <f t="shared" si="88"/>
        <v>1.9449564332875304</v>
      </c>
      <c r="F2808">
        <v>4169.27978515625</v>
      </c>
      <c r="G2808">
        <f t="shared" si="87"/>
        <v>2.662160959340909E-3</v>
      </c>
    </row>
    <row r="2809" spans="1:7" x14ac:dyDescent="0.25">
      <c r="A2809" s="1">
        <v>41943</v>
      </c>
      <c r="B2809">
        <v>1.92083299160003</v>
      </c>
      <c r="C2809">
        <f>C2810*(1+G2809*3)</f>
        <v>1.7865368323116722</v>
      </c>
      <c r="D2809">
        <f t="shared" si="88"/>
        <v>1.9294254301907319</v>
      </c>
      <c r="F2809">
        <v>4158.2099609375</v>
      </c>
      <c r="G2809">
        <f t="shared" si="87"/>
        <v>1.4039228583665908E-2</v>
      </c>
    </row>
    <row r="2810" spans="1:7" x14ac:dyDescent="0.25">
      <c r="A2810" s="1">
        <v>41942</v>
      </c>
      <c r="B2810">
        <v>1.84479200839996</v>
      </c>
      <c r="C2810">
        <f>C2811*(1+G2810*3)</f>
        <v>1.7143330899563536</v>
      </c>
      <c r="D2810">
        <f t="shared" si="88"/>
        <v>1.8513347402646776</v>
      </c>
      <c r="F2810">
        <v>4100.64013671875</v>
      </c>
      <c r="G2810">
        <f t="shared" si="87"/>
        <v>2.466682419280275E-3</v>
      </c>
    </row>
    <row r="2811" spans="1:7" x14ac:dyDescent="0.25">
      <c r="A2811" s="1">
        <v>41941</v>
      </c>
      <c r="B2811">
        <v>1.8333330154418901</v>
      </c>
      <c r="C2811">
        <f>C2812*(1+G2811*3)</f>
        <v>1.7017401325548831</v>
      </c>
      <c r="D2811">
        <f t="shared" si="88"/>
        <v>1.8376203724525952</v>
      </c>
      <c r="F2811">
        <v>4090.55004882812</v>
      </c>
      <c r="G2811">
        <f t="shared" si="87"/>
        <v>-3.9155790619649355E-3</v>
      </c>
    </row>
    <row r="2812" spans="1:7" x14ac:dyDescent="0.25">
      <c r="A2812" s="1">
        <v>41940</v>
      </c>
      <c r="B2812">
        <v>1.8556250333786</v>
      </c>
      <c r="C2812">
        <f>C2813*(1+G2812*3)</f>
        <v>1.7219676337916507</v>
      </c>
      <c r="D2812">
        <f t="shared" si="88"/>
        <v>1.859344341526415</v>
      </c>
      <c r="F2812">
        <v>4106.6298828125</v>
      </c>
      <c r="G2812">
        <f t="shared" si="87"/>
        <v>1.4980119472634668E-2</v>
      </c>
    </row>
    <row r="2813" spans="1:7" x14ac:dyDescent="0.25">
      <c r="A2813" s="1">
        <v>41939</v>
      </c>
      <c r="B2813">
        <v>1.77625000476837</v>
      </c>
      <c r="C2813">
        <f>C2814*(1+G2813*3)</f>
        <v>1.6479099691381454</v>
      </c>
      <c r="D2813">
        <f t="shared" si="88"/>
        <v>1.7792710523202115</v>
      </c>
      <c r="F2813">
        <v>4046.02001953125</v>
      </c>
      <c r="G2813">
        <f t="shared" si="87"/>
        <v>9.8960420301530405E-4</v>
      </c>
    </row>
    <row r="2814" spans="1:7" x14ac:dyDescent="0.25">
      <c r="A2814" s="1">
        <v>41936</v>
      </c>
      <c r="B2814">
        <v>1.7695829868316599</v>
      </c>
      <c r="C2814">
        <f>C2815*(1+G2814*3)</f>
        <v>1.643032114679019</v>
      </c>
      <c r="D2814">
        <f t="shared" si="88"/>
        <v>1.7738928257196529</v>
      </c>
      <c r="F2814">
        <v>4042.02001953125</v>
      </c>
      <c r="G2814">
        <f t="shared" si="87"/>
        <v>7.4147552022123531E-3</v>
      </c>
    </row>
    <row r="2815" spans="1:7" x14ac:dyDescent="0.25">
      <c r="A2815" s="1">
        <v>41935</v>
      </c>
      <c r="B2815">
        <v>1.72979199886322</v>
      </c>
      <c r="C2815">
        <f>C2816*(1+G2815*3)</f>
        <v>1.6072793655672735</v>
      </c>
      <c r="D2815">
        <f t="shared" si="88"/>
        <v>1.735185469148544</v>
      </c>
      <c r="F2815">
        <v>4012.27001953125</v>
      </c>
      <c r="G2815">
        <f t="shared" si="87"/>
        <v>1.5869984035256079E-2</v>
      </c>
    </row>
    <row r="2816" spans="1:7" x14ac:dyDescent="0.25">
      <c r="A2816" s="1">
        <v>41934</v>
      </c>
      <c r="B2816">
        <v>1.6541670560836701</v>
      </c>
      <c r="C2816">
        <f>C2817*(1+G2816*3)</f>
        <v>1.5342345329352123</v>
      </c>
      <c r="D2816">
        <f t="shared" si="88"/>
        <v>1.6562280789902486</v>
      </c>
      <c r="F2816">
        <v>3949.59008789062</v>
      </c>
      <c r="G2816">
        <f t="shared" si="87"/>
        <v>-5.4892129146625335E-3</v>
      </c>
    </row>
    <row r="2817" spans="1:7" x14ac:dyDescent="0.25">
      <c r="A2817" s="1">
        <v>41933</v>
      </c>
      <c r="B2817">
        <v>1.6802079677581701</v>
      </c>
      <c r="C2817">
        <f>C2818*(1+G2817*3)</f>
        <v>1.559922777707009</v>
      </c>
      <c r="D2817">
        <f t="shared" si="88"/>
        <v>1.6838509352028268</v>
      </c>
      <c r="F2817">
        <v>3971.38989257812</v>
      </c>
      <c r="G2817">
        <f t="shared" si="87"/>
        <v>2.6177704959067238E-2</v>
      </c>
    </row>
    <row r="2818" spans="1:7" x14ac:dyDescent="0.25">
      <c r="A2818" s="1">
        <v>41932</v>
      </c>
      <c r="B2818">
        <v>1.55833303928375</v>
      </c>
      <c r="C2818">
        <f>C2819*(1+G2818*3)</f>
        <v>1.4463373967748934</v>
      </c>
      <c r="D2818">
        <f t="shared" si="88"/>
        <v>1.5611504713584692</v>
      </c>
      <c r="F2818">
        <v>3870.080078125</v>
      </c>
      <c r="G2818">
        <f t="shared" ref="G2818:G2881" si="89">F2818/F2819-1</f>
        <v>1.4312812796641206E-2</v>
      </c>
    </row>
    <row r="2819" spans="1:7" x14ac:dyDescent="0.25">
      <c r="A2819" s="1">
        <v>41929</v>
      </c>
      <c r="B2819">
        <v>1.4939579963684</v>
      </c>
      <c r="C2819">
        <f>C2820*(1+G2819*3)</f>
        <v>1.3867907668718515</v>
      </c>
      <c r="D2819">
        <f t="shared" si="88"/>
        <v>1.4967864051263466</v>
      </c>
      <c r="F2819">
        <v>3815.46997070312</v>
      </c>
      <c r="G2819">
        <f t="shared" si="89"/>
        <v>1.3329670307582031E-2</v>
      </c>
    </row>
    <row r="2820" spans="1:7" x14ac:dyDescent="0.25">
      <c r="A2820" s="1">
        <v>41928</v>
      </c>
      <c r="B2820">
        <v>1.4377080202102599</v>
      </c>
      <c r="C2820">
        <f>C2821*(1+G2820*3)</f>
        <v>1.3334667504240265</v>
      </c>
      <c r="D2820">
        <f t="shared" si="88"/>
        <v>1.4391456343777616</v>
      </c>
      <c r="F2820">
        <v>3765.28002929687</v>
      </c>
      <c r="G2820">
        <f t="shared" si="89"/>
        <v>-5.4648984451420857E-3</v>
      </c>
    </row>
    <row r="2821" spans="1:7" x14ac:dyDescent="0.25">
      <c r="A2821" s="1">
        <v>41927</v>
      </c>
      <c r="B2821">
        <v>1.46041703224182</v>
      </c>
      <c r="C2821">
        <f>C2822*(1+G2821*3)</f>
        <v>1.355692922862755</v>
      </c>
      <c r="D2821">
        <f t="shared" si="88"/>
        <v>1.4630394533505189</v>
      </c>
      <c r="F2821">
        <v>3785.96997070312</v>
      </c>
      <c r="G2821">
        <f t="shared" si="89"/>
        <v>-6.4244330151145279E-3</v>
      </c>
    </row>
    <row r="2822" spans="1:7" x14ac:dyDescent="0.25">
      <c r="A2822" s="1">
        <v>41926</v>
      </c>
      <c r="B2822">
        <v>1.49229204654693</v>
      </c>
      <c r="C2822">
        <f>C2823*(1+G2822*3)</f>
        <v>1.3823350802451895</v>
      </c>
      <c r="D2822">
        <f t="shared" si="88"/>
        <v>1.4916952680172701</v>
      </c>
      <c r="F2822">
        <v>3810.44995117187</v>
      </c>
      <c r="G2822">
        <f t="shared" si="89"/>
        <v>6.4336953042798406E-4</v>
      </c>
    </row>
    <row r="2823" spans="1:7" x14ac:dyDescent="0.25">
      <c r="A2823" s="1">
        <v>41925</v>
      </c>
      <c r="B2823">
        <v>1.4895830154418901</v>
      </c>
      <c r="C2823">
        <f>C2824*(1+G2823*3)</f>
        <v>1.3796721631499385</v>
      </c>
      <c r="D2823">
        <f t="shared" si="88"/>
        <v>1.4887279741794444</v>
      </c>
      <c r="F2823">
        <v>3808</v>
      </c>
      <c r="G2823">
        <f t="shared" si="89"/>
        <v>-1.6239312627533087E-2</v>
      </c>
    </row>
    <row r="2824" spans="1:7" x14ac:dyDescent="0.25">
      <c r="A2824" s="1">
        <v>41922</v>
      </c>
      <c r="B2824">
        <v>1.5627080202102599</v>
      </c>
      <c r="C2824">
        <f>C2825*(1+G2824*3)</f>
        <v>1.4503292115894735</v>
      </c>
      <c r="D2824">
        <f t="shared" si="88"/>
        <v>1.5648663467766448</v>
      </c>
      <c r="F2824">
        <v>3870.86010742187</v>
      </c>
      <c r="G2824">
        <f t="shared" si="89"/>
        <v>-2.4805246047642671E-2</v>
      </c>
    </row>
    <row r="2825" spans="1:7" x14ac:dyDescent="0.25">
      <c r="A2825" s="1">
        <v>41921</v>
      </c>
      <c r="B2825">
        <v>1.6891670227050699</v>
      </c>
      <c r="C2825">
        <f>C2826*(1+G2825*3)</f>
        <v>1.5669337426714287</v>
      </c>
      <c r="D2825">
        <f t="shared" si="88"/>
        <v>1.6905643226558269</v>
      </c>
      <c r="F2825">
        <v>3969.32006835937</v>
      </c>
      <c r="G2825">
        <f t="shared" si="89"/>
        <v>-1.7767363192881414E-2</v>
      </c>
    </row>
    <row r="2826" spans="1:7" x14ac:dyDescent="0.25">
      <c r="A2826" s="1">
        <v>41920</v>
      </c>
      <c r="B2826">
        <v>1.7777080535888601</v>
      </c>
      <c r="C2826">
        <f>C2827*(1+G2826*3)</f>
        <v>1.6551570732568943</v>
      </c>
      <c r="D2826">
        <f t="shared" si="88"/>
        <v>1.785629494538105</v>
      </c>
      <c r="F2826">
        <v>4041.1201171875</v>
      </c>
      <c r="G2826">
        <f t="shared" si="89"/>
        <v>2.0848339298716656E-2</v>
      </c>
    </row>
    <row r="2827" spans="1:7" x14ac:dyDescent="0.25">
      <c r="A2827" s="1">
        <v>41919</v>
      </c>
      <c r="B2827">
        <v>1.68062496185302</v>
      </c>
      <c r="C2827">
        <f>C2828*(1+G2827*3)</f>
        <v>1.5577288918394463</v>
      </c>
      <c r="D2827">
        <f t="shared" si="88"/>
        <v>1.6804215238461127</v>
      </c>
      <c r="F2827">
        <v>3958.59008789062</v>
      </c>
      <c r="G2827">
        <f t="shared" si="89"/>
        <v>-1.4361567165586675E-2</v>
      </c>
    </row>
    <row r="2828" spans="1:7" x14ac:dyDescent="0.25">
      <c r="A2828" s="1">
        <v>41918</v>
      </c>
      <c r="B2828">
        <v>1.7547919750213601</v>
      </c>
      <c r="C2828">
        <f>C2829*(1+G2828*3)</f>
        <v>1.6278649680655848</v>
      </c>
      <c r="D2828">
        <f t="shared" si="88"/>
        <v>1.7559660565781388</v>
      </c>
      <c r="F2828">
        <v>4016.27001953125</v>
      </c>
      <c r="G2828">
        <f t="shared" si="89"/>
        <v>-2.7412935437990393E-3</v>
      </c>
    </row>
    <row r="2829" spans="1:7" x14ac:dyDescent="0.25">
      <c r="A2829" s="1">
        <v>41915</v>
      </c>
      <c r="B2829">
        <v>1.7668750286102199</v>
      </c>
      <c r="C2829">
        <f>C2830*(1+G2829*3)</f>
        <v>1.6413633442817084</v>
      </c>
      <c r="D2829">
        <f t="shared" si="88"/>
        <v>1.7704140788063927</v>
      </c>
      <c r="F2829">
        <v>4027.31005859375</v>
      </c>
      <c r="G2829">
        <f t="shared" si="89"/>
        <v>1.0396711430098238E-2</v>
      </c>
    </row>
    <row r="2830" spans="1:7" x14ac:dyDescent="0.25">
      <c r="A2830" s="1">
        <v>41914</v>
      </c>
      <c r="B2830">
        <v>1.7152080535888601</v>
      </c>
      <c r="C2830">
        <f>C2831*(1+G2830*3)</f>
        <v>1.5917174628628101</v>
      </c>
      <c r="D2830">
        <f t="shared" si="88"/>
        <v>1.7167598407303626</v>
      </c>
      <c r="F2830">
        <v>3985.8701171875</v>
      </c>
      <c r="G2830">
        <f t="shared" si="89"/>
        <v>2.8361372533702855E-4</v>
      </c>
    </row>
    <row r="2831" spans="1:7" x14ac:dyDescent="0.25">
      <c r="A2831" s="1">
        <v>41913</v>
      </c>
      <c r="B2831">
        <v>1.71604204177856</v>
      </c>
      <c r="C2831">
        <f>C2832*(1+G2831*3)</f>
        <v>1.5903643154183935</v>
      </c>
      <c r="D2831">
        <f t="shared" si="88"/>
        <v>1.7151923152408921</v>
      </c>
      <c r="F2831">
        <v>3984.73999023437</v>
      </c>
      <c r="G2831">
        <f t="shared" si="89"/>
        <v>-1.5979938440472297E-2</v>
      </c>
    </row>
    <row r="2832" spans="1:7" x14ac:dyDescent="0.25">
      <c r="A2832" s="1">
        <v>41912</v>
      </c>
      <c r="B2832">
        <v>1.8022919893264699</v>
      </c>
      <c r="C2832">
        <f>C2833*(1+G2832*3)</f>
        <v>1.6704451472837327</v>
      </c>
      <c r="D2832">
        <f t="shared" ref="D2832:D2895" si="90">D2833*(1+3*G2832--0.0000630653728590433)</f>
        <v>1.8014393778832962</v>
      </c>
      <c r="F2832">
        <v>4049.44995117187</v>
      </c>
      <c r="G2832">
        <f t="shared" si="89"/>
        <v>5.6088920423413846E-4</v>
      </c>
    </row>
    <row r="2833" spans="1:7" x14ac:dyDescent="0.25">
      <c r="A2833" s="1">
        <v>41911</v>
      </c>
      <c r="B2833">
        <v>1.7956249713897701</v>
      </c>
      <c r="C2833">
        <f>C2834*(1+G2833*3)</f>
        <v>1.6676390650393138</v>
      </c>
      <c r="D2833">
        <f t="shared" si="90"/>
        <v>1.7983000262096061</v>
      </c>
      <c r="F2833">
        <v>4047.17993164062</v>
      </c>
      <c r="G2833">
        <f t="shared" si="89"/>
        <v>-1.6133425865046958E-3</v>
      </c>
    </row>
    <row r="2834" spans="1:7" x14ac:dyDescent="0.25">
      <c r="A2834" s="1">
        <v>41908</v>
      </c>
      <c r="B2834">
        <v>1.8016669750213601</v>
      </c>
      <c r="C2834">
        <f>C2835*(1+G2834*3)</f>
        <v>1.6757497403003661</v>
      </c>
      <c r="D2834">
        <f t="shared" si="90"/>
        <v>1.8069316708364476</v>
      </c>
      <c r="F2834">
        <v>4053.71997070312</v>
      </c>
      <c r="G2834">
        <f t="shared" si="89"/>
        <v>1.1452585585395081E-2</v>
      </c>
    </row>
    <row r="2835" spans="1:7" x14ac:dyDescent="0.25">
      <c r="A2835" s="1">
        <v>41907</v>
      </c>
      <c r="B2835">
        <v>1.74583303928375</v>
      </c>
      <c r="C2835">
        <f>C2836*(1+G2835*3)</f>
        <v>1.6200871790777969</v>
      </c>
      <c r="D2835">
        <f t="shared" si="90"/>
        <v>1.7468051997613716</v>
      </c>
      <c r="F2835">
        <v>4007.82006835937</v>
      </c>
      <c r="G2835">
        <f t="shared" si="89"/>
        <v>-2.1124435862604485E-2</v>
      </c>
    </row>
    <row r="2836" spans="1:7" x14ac:dyDescent="0.25">
      <c r="A2836" s="1">
        <v>41906</v>
      </c>
      <c r="B2836">
        <v>1.8641669750213601</v>
      </c>
      <c r="C2836">
        <f>C2837*(1+G2836*3)</f>
        <v>1.7297042591274305</v>
      </c>
      <c r="D2836">
        <f t="shared" si="90"/>
        <v>1.8648706097651531</v>
      </c>
      <c r="F2836">
        <v>4094.31005859375</v>
      </c>
      <c r="G2836">
        <f t="shared" si="89"/>
        <v>1.0548994467146633E-2</v>
      </c>
    </row>
    <row r="2837" spans="1:7" x14ac:dyDescent="0.25">
      <c r="A2837" s="1">
        <v>41905</v>
      </c>
      <c r="B2837">
        <v>1.80562496185302</v>
      </c>
      <c r="C2837">
        <f>C2838*(1+G2837*3)</f>
        <v>1.6766435485755296</v>
      </c>
      <c r="D2837">
        <f t="shared" si="90"/>
        <v>1.8075530154820849</v>
      </c>
      <c r="F2837">
        <v>4051.57006835937</v>
      </c>
      <c r="G2837">
        <f t="shared" si="89"/>
        <v>-2.3785681076512466E-3</v>
      </c>
    </row>
    <row r="2838" spans="1:7" x14ac:dyDescent="0.25">
      <c r="A2838" s="1">
        <v>41904</v>
      </c>
      <c r="B2838">
        <v>1.8214579820632899</v>
      </c>
      <c r="C2838">
        <f>C2839*(1+G2838*3)</f>
        <v>1.6886935665585656</v>
      </c>
      <c r="D2838">
        <f t="shared" si="90"/>
        <v>1.8204282472091489</v>
      </c>
      <c r="F2838">
        <v>4061.22998046875</v>
      </c>
      <c r="G2838">
        <f t="shared" si="89"/>
        <v>-9.4778077462098764E-3</v>
      </c>
    </row>
    <row r="2839" spans="1:7" x14ac:dyDescent="0.25">
      <c r="A2839" s="1">
        <v>41901</v>
      </c>
      <c r="B2839">
        <v>1.87229204177856</v>
      </c>
      <c r="C2839">
        <f>C2840*(1+G2839*3)</f>
        <v>1.7381141004126279</v>
      </c>
      <c r="D2839">
        <f t="shared" si="90"/>
        <v>1.8735824518594286</v>
      </c>
      <c r="F2839">
        <v>4100.08984375</v>
      </c>
      <c r="G2839">
        <f t="shared" si="89"/>
        <v>-7.2877797119830223E-4</v>
      </c>
    </row>
    <row r="2840" spans="1:7" x14ac:dyDescent="0.25">
      <c r="A2840" s="1">
        <v>41900</v>
      </c>
      <c r="B2840">
        <v>1.8764580488204901</v>
      </c>
      <c r="C2840">
        <f>C2841*(1+G2840*3)</f>
        <v>1.7419225247032415</v>
      </c>
      <c r="D2840">
        <f t="shared" si="90"/>
        <v>1.8775690351247689</v>
      </c>
      <c r="F2840">
        <v>4103.080078125</v>
      </c>
      <c r="G2840">
        <f t="shared" si="89"/>
        <v>7.2442622246375876E-3</v>
      </c>
    </row>
    <row r="2841" spans="1:7" x14ac:dyDescent="0.25">
      <c r="A2841" s="1">
        <v>41899</v>
      </c>
      <c r="B2841">
        <v>1.83687496185302</v>
      </c>
      <c r="C2841">
        <f>C2842*(1+G2841*3)</f>
        <v>1.7048709285074339</v>
      </c>
      <c r="D2841">
        <f t="shared" si="90"/>
        <v>1.8375187483525084</v>
      </c>
      <c r="F2841">
        <v>4073.57006835937</v>
      </c>
      <c r="G2841">
        <f t="shared" si="89"/>
        <v>1.5489625222488979E-3</v>
      </c>
    </row>
    <row r="2842" spans="1:7" x14ac:dyDescent="0.25">
      <c r="A2842" s="1">
        <v>41898</v>
      </c>
      <c r="B2842">
        <v>1.8279169797897299</v>
      </c>
      <c r="C2842">
        <f>C2843*(1+G2842*3)</f>
        <v>1.6969852289460916</v>
      </c>
      <c r="D2842">
        <f t="shared" si="90"/>
        <v>1.8289046933159661</v>
      </c>
      <c r="F2842">
        <v>4067.27001953125</v>
      </c>
      <c r="G2842">
        <f t="shared" si="89"/>
        <v>9.2757191758447988E-3</v>
      </c>
    </row>
    <row r="2843" spans="1:7" x14ac:dyDescent="0.25">
      <c r="A2843" s="1">
        <v>41897</v>
      </c>
      <c r="B2843">
        <v>1.7797919511795</v>
      </c>
      <c r="C2843">
        <f>C2844*(1+G2843*3)</f>
        <v>1.65104143874563</v>
      </c>
      <c r="D2843">
        <f t="shared" si="90"/>
        <v>1.779280172697191</v>
      </c>
      <c r="F2843">
        <v>4029.88989257812</v>
      </c>
      <c r="G2843">
        <f t="shared" si="89"/>
        <v>-9.6676983309993414E-3</v>
      </c>
    </row>
    <row r="2844" spans="1:7" x14ac:dyDescent="0.25">
      <c r="A2844" s="1">
        <v>41894</v>
      </c>
      <c r="B2844">
        <v>1.83500003814697</v>
      </c>
      <c r="C2844">
        <f>C2845*(1+G2844*3)</f>
        <v>1.7003570559617016</v>
      </c>
      <c r="D2844">
        <f t="shared" si="90"/>
        <v>1.8323071972590621</v>
      </c>
      <c r="F2844">
        <v>4069.22998046875</v>
      </c>
      <c r="G2844">
        <f t="shared" si="89"/>
        <v>-5.7224347143859378E-3</v>
      </c>
    </row>
    <row r="2845" spans="1:7" x14ac:dyDescent="0.25">
      <c r="A2845" s="1">
        <v>41893</v>
      </c>
      <c r="B2845">
        <v>1.86437499523162</v>
      </c>
      <c r="C2845">
        <f>C2846*(1+G2845*3)</f>
        <v>1.7300574788868979</v>
      </c>
      <c r="D2845">
        <f t="shared" si="90"/>
        <v>1.8641927959549462</v>
      </c>
      <c r="F2845">
        <v>4092.64990234375</v>
      </c>
      <c r="G2845">
        <f t="shared" si="89"/>
        <v>-5.665654146351784E-4</v>
      </c>
    </row>
    <row r="2846" spans="1:7" x14ac:dyDescent="0.25">
      <c r="A2846" s="1">
        <v>41892</v>
      </c>
      <c r="B2846">
        <v>1.86583304405212</v>
      </c>
      <c r="C2846">
        <f>C2847*(1+G2846*3)</f>
        <v>1.7330030576747044</v>
      </c>
      <c r="D2846">
        <f t="shared" si="90"/>
        <v>1.8672487929734509</v>
      </c>
      <c r="F2846">
        <v>4094.96997070312</v>
      </c>
      <c r="G2846">
        <f t="shared" si="89"/>
        <v>8.146495919447938E-3</v>
      </c>
    </row>
    <row r="2847" spans="1:7" x14ac:dyDescent="0.25">
      <c r="A2847" s="1">
        <v>41891</v>
      </c>
      <c r="B2847">
        <v>1.82354199886322</v>
      </c>
      <c r="C2847">
        <f>C2848*(1+G2847*3)</f>
        <v>1.6916597596865619</v>
      </c>
      <c r="D2847">
        <f t="shared" si="90"/>
        <v>1.8225906682873068</v>
      </c>
      <c r="F2847">
        <v>4061.8798828125</v>
      </c>
      <c r="G2847">
        <f t="shared" si="89"/>
        <v>-8.2017663737998792E-3</v>
      </c>
    </row>
    <row r="2848" spans="1:7" x14ac:dyDescent="0.25">
      <c r="A2848" s="1">
        <v>41890</v>
      </c>
      <c r="B2848">
        <v>1.8689579963684</v>
      </c>
      <c r="C2848">
        <f>C2849*(1+G2848*3)</f>
        <v>1.7343335555983397</v>
      </c>
      <c r="D2848">
        <f t="shared" si="90"/>
        <v>1.8684465195159135</v>
      </c>
      <c r="F2848">
        <v>4095.46997070312</v>
      </c>
      <c r="G2848">
        <f t="shared" si="89"/>
        <v>1.3570067224142335E-3</v>
      </c>
    </row>
    <row r="2849" spans="1:7" x14ac:dyDescent="0.25">
      <c r="A2849" s="1">
        <v>41887</v>
      </c>
      <c r="B2849">
        <v>1.8595830202102599</v>
      </c>
      <c r="C2849">
        <f>C2850*(1+G2849*3)</f>
        <v>1.7273016756418895</v>
      </c>
      <c r="D2849">
        <f t="shared" si="90"/>
        <v>1.8607540032971961</v>
      </c>
      <c r="F2849">
        <v>4089.919921875</v>
      </c>
      <c r="G2849">
        <f t="shared" si="89"/>
        <v>5.8507818855124682E-3</v>
      </c>
    </row>
    <row r="2850" spans="1:7" x14ac:dyDescent="0.25">
      <c r="A2850" s="1">
        <v>41886</v>
      </c>
      <c r="B2850">
        <v>1.83124995231628</v>
      </c>
      <c r="C2850">
        <f>C2851*(1+G2850*3)</f>
        <v>1.6975064555793571</v>
      </c>
      <c r="D2850">
        <f t="shared" si="90"/>
        <v>1.8285434586873051</v>
      </c>
      <c r="F2850">
        <v>4066.1298828125</v>
      </c>
      <c r="G2850">
        <f t="shared" si="89"/>
        <v>-1.1864715377568613E-3</v>
      </c>
    </row>
    <row r="2851" spans="1:7" x14ac:dyDescent="0.25">
      <c r="A2851" s="1">
        <v>41885</v>
      </c>
      <c r="B2851">
        <v>1.8370829820632899</v>
      </c>
      <c r="C2851">
        <f>C2852*(1+G2851*3)</f>
        <v>1.7035701681305326</v>
      </c>
      <c r="D2851">
        <f t="shared" si="90"/>
        <v>1.8349591166008186</v>
      </c>
      <c r="F2851">
        <v>4070.9599609375</v>
      </c>
      <c r="G2851">
        <f t="shared" si="89"/>
        <v>-6.0671997238030961E-3</v>
      </c>
    </row>
    <row r="2852" spans="1:7" x14ac:dyDescent="0.25">
      <c r="A2852" s="1">
        <v>41884</v>
      </c>
      <c r="B2852">
        <v>1.8691669702529901</v>
      </c>
      <c r="C2852">
        <f>C2853*(1+G2852*3)</f>
        <v>1.7351527224864098</v>
      </c>
      <c r="D2852">
        <f t="shared" si="90"/>
        <v>1.8688574506338125</v>
      </c>
      <c r="F2852">
        <v>4095.81005859375</v>
      </c>
      <c r="G2852">
        <f t="shared" si="89"/>
        <v>3.2455125729524692E-3</v>
      </c>
    </row>
    <row r="2853" spans="1:7" x14ac:dyDescent="0.25">
      <c r="A2853" s="1">
        <v>41880</v>
      </c>
      <c r="B2853">
        <v>1.85374999046325</v>
      </c>
      <c r="C2853">
        <f>C2854*(1+G2853*3)</f>
        <v>1.7184212491769129</v>
      </c>
      <c r="D2853">
        <f t="shared" si="90"/>
        <v>1.8507211182415872</v>
      </c>
      <c r="F2853">
        <v>4082.56005859375</v>
      </c>
      <c r="G2853">
        <f t="shared" si="89"/>
        <v>4.0061380538565228E-3</v>
      </c>
    </row>
    <row r="2854" spans="1:7" x14ac:dyDescent="0.25">
      <c r="A2854" s="1">
        <v>41879</v>
      </c>
      <c r="B2854">
        <v>1.83229196071624</v>
      </c>
      <c r="C2854">
        <f>C2855*(1+G2854*3)</f>
        <v>1.6980138158855334</v>
      </c>
      <c r="D2854">
        <f t="shared" si="90"/>
        <v>1.8286285794824981</v>
      </c>
      <c r="F2854">
        <v>4066.27001953125</v>
      </c>
      <c r="G2854">
        <f t="shared" si="89"/>
        <v>-1.696441656233616E-3</v>
      </c>
    </row>
    <row r="2855" spans="1:7" x14ac:dyDescent="0.25">
      <c r="A2855" s="1">
        <v>41878</v>
      </c>
      <c r="B2855">
        <v>1.8397920131683301</v>
      </c>
      <c r="C2855">
        <f>C2856*(1+G2855*3)</f>
        <v>1.7066997656167626</v>
      </c>
      <c r="D2855">
        <f t="shared" si="90"/>
        <v>1.8378661719652114</v>
      </c>
      <c r="F2855">
        <v>4073.17993164062</v>
      </c>
      <c r="G2855">
        <f t="shared" si="89"/>
        <v>3.7085760746657925E-4</v>
      </c>
    </row>
    <row r="2856" spans="1:7" x14ac:dyDescent="0.25">
      <c r="A2856" s="1">
        <v>41877</v>
      </c>
      <c r="B2856">
        <v>1.83958303928375</v>
      </c>
      <c r="C2856">
        <f>C2857*(1+G2856*3)</f>
        <v>1.7048030480779268</v>
      </c>
      <c r="D2856">
        <f t="shared" si="90"/>
        <v>1.8357080434739597</v>
      </c>
      <c r="F2856">
        <v>4071.669921875</v>
      </c>
      <c r="G2856">
        <f t="shared" si="89"/>
        <v>1.0301074440117741E-3</v>
      </c>
    </row>
    <row r="2857" spans="1:7" x14ac:dyDescent="0.25">
      <c r="A2857" s="1">
        <v>41876</v>
      </c>
      <c r="B2857">
        <v>1.8333330154418901</v>
      </c>
      <c r="C2857">
        <f>C2858*(1+G2857*3)</f>
        <v>1.6995508880142658</v>
      </c>
      <c r="D2857">
        <f t="shared" si="90"/>
        <v>1.8299375409316612</v>
      </c>
      <c r="F2857">
        <v>4067.47998046875</v>
      </c>
      <c r="G2857">
        <f t="shared" si="89"/>
        <v>3.6345643004749295E-3</v>
      </c>
    </row>
    <row r="2858" spans="1:7" x14ac:dyDescent="0.25">
      <c r="A2858" s="1">
        <v>41873</v>
      </c>
      <c r="B2858">
        <v>1.8131250143051101</v>
      </c>
      <c r="C2858">
        <f>C2859*(1+G2858*3)</f>
        <v>1.6812193881064319</v>
      </c>
      <c r="D2858">
        <f t="shared" si="90"/>
        <v>1.8100867570120278</v>
      </c>
      <c r="F2858">
        <v>4052.75</v>
      </c>
      <c r="G2858">
        <f t="shared" si="89"/>
        <v>1.4133749099272119E-3</v>
      </c>
    </row>
    <row r="2859" spans="1:7" x14ac:dyDescent="0.25">
      <c r="A2859" s="1">
        <v>41872</v>
      </c>
      <c r="B2859">
        <v>1.80604195594787</v>
      </c>
      <c r="C2859">
        <f>C2860*(1+G2859*3)</f>
        <v>1.6741209066495029</v>
      </c>
      <c r="D2859">
        <f t="shared" si="90"/>
        <v>1.8023309841593109</v>
      </c>
      <c r="F2859">
        <v>4047.03002929687</v>
      </c>
      <c r="G2859">
        <f t="shared" si="89"/>
        <v>1.5640984927074442E-3</v>
      </c>
    </row>
    <row r="2860" spans="1:7" x14ac:dyDescent="0.25">
      <c r="A2860" s="1">
        <v>41871</v>
      </c>
      <c r="B2860">
        <v>1.79583299160003</v>
      </c>
      <c r="C2860">
        <f>C2861*(1+G2860*3)</f>
        <v>1.6663021247244725</v>
      </c>
      <c r="D2860">
        <f t="shared" si="90"/>
        <v>1.7938008139939854</v>
      </c>
      <c r="F2860">
        <v>4040.7099609375</v>
      </c>
      <c r="G2860">
        <f t="shared" si="89"/>
        <v>1.4357907835282901E-4</v>
      </c>
    </row>
    <row r="2861" spans="1:7" x14ac:dyDescent="0.25">
      <c r="A2861" s="1">
        <v>41870</v>
      </c>
      <c r="B2861">
        <v>1.79583299160003</v>
      </c>
      <c r="C2861">
        <f>C2862*(1+G2861*3)</f>
        <v>1.6655846953780296</v>
      </c>
      <c r="D2861">
        <f t="shared" si="90"/>
        <v>1.792915467660279</v>
      </c>
      <c r="F2861">
        <v>4040.1298828125</v>
      </c>
      <c r="G2861">
        <f t="shared" si="89"/>
        <v>4.882448156323882E-3</v>
      </c>
    </row>
    <row r="2862" spans="1:7" x14ac:dyDescent="0.25">
      <c r="A2862" s="1">
        <v>41869</v>
      </c>
      <c r="B2862">
        <v>1.7654169797897299</v>
      </c>
      <c r="C2862">
        <f>C2863*(1+G2862*3)</f>
        <v>1.6415404864137639</v>
      </c>
      <c r="D2862">
        <f t="shared" si="90"/>
        <v>1.7669233017327102</v>
      </c>
      <c r="F2862">
        <v>4020.5</v>
      </c>
      <c r="G2862">
        <f t="shared" si="89"/>
        <v>8.273331014489127E-3</v>
      </c>
    </row>
    <row r="2863" spans="1:7" x14ac:dyDescent="0.25">
      <c r="A2863" s="1">
        <v>41866</v>
      </c>
      <c r="B2863">
        <v>1.72374999523162</v>
      </c>
      <c r="C2863">
        <f>C2864*(1+G2863*3)</f>
        <v>1.6017842133805236</v>
      </c>
      <c r="D2863">
        <f t="shared" si="90"/>
        <v>1.7240243042586749</v>
      </c>
      <c r="F2863">
        <v>3987.51000976562</v>
      </c>
      <c r="G2863">
        <f t="shared" si="89"/>
        <v>4.6357752356993576E-3</v>
      </c>
    </row>
    <row r="2864" spans="1:7" x14ac:dyDescent="0.25">
      <c r="A2864" s="1">
        <v>41865</v>
      </c>
      <c r="B2864">
        <v>1.7006249427795399</v>
      </c>
      <c r="C2864">
        <f>C2865*(1+G2864*3)</f>
        <v>1.5798132361490145</v>
      </c>
      <c r="D2864">
        <f t="shared" si="90"/>
        <v>1.7002708554659622</v>
      </c>
      <c r="F2864">
        <v>3969.11010742187</v>
      </c>
      <c r="G2864">
        <f t="shared" si="89"/>
        <v>5.0415670252634825E-3</v>
      </c>
    </row>
    <row r="2865" spans="1:7" x14ac:dyDescent="0.25">
      <c r="A2865" s="1">
        <v>41864</v>
      </c>
      <c r="B2865">
        <v>1.6747920513153001</v>
      </c>
      <c r="C2865">
        <f>C2866*(1+G2865*3)</f>
        <v>1.5562750413567799</v>
      </c>
      <c r="D2865">
        <f t="shared" si="90"/>
        <v>1.6748338698109853</v>
      </c>
      <c r="F2865">
        <v>3949.19995117187</v>
      </c>
      <c r="G2865">
        <f t="shared" si="89"/>
        <v>1.1259252572326739E-2</v>
      </c>
    </row>
    <row r="2866" spans="1:7" x14ac:dyDescent="0.25">
      <c r="A2866" s="1">
        <v>41863</v>
      </c>
      <c r="B2866">
        <v>1.6220829486846899</v>
      </c>
      <c r="C2866">
        <f>C2867*(1+G2866*3)</f>
        <v>1.5054251552032762</v>
      </c>
      <c r="D2866">
        <f t="shared" si="90"/>
        <v>1.6200113522364212</v>
      </c>
      <c r="F2866">
        <v>3905.22998046875</v>
      </c>
      <c r="G2866">
        <f t="shared" si="89"/>
        <v>-1.3374335809581694E-3</v>
      </c>
    </row>
    <row r="2867" spans="1:7" x14ac:dyDescent="0.25">
      <c r="A2867" s="1">
        <v>41862</v>
      </c>
      <c r="B2867">
        <v>1.62583303451538</v>
      </c>
      <c r="C2867">
        <f>C2868*(1+G2867*3)</f>
        <v>1.5114897064754147</v>
      </c>
      <c r="D2867">
        <f t="shared" si="90"/>
        <v>1.6264345249895242</v>
      </c>
      <c r="F2867">
        <v>3910.4599609375</v>
      </c>
      <c r="G2867">
        <f t="shared" si="89"/>
        <v>5.7534348590715378E-3</v>
      </c>
    </row>
    <row r="2868" spans="1:7" x14ac:dyDescent="0.25">
      <c r="A2868" s="1">
        <v>41859</v>
      </c>
      <c r="B2868">
        <v>1.59687495231628</v>
      </c>
      <c r="C2868">
        <f>C2869*(1+G2868*3)</f>
        <v>1.485843593497544</v>
      </c>
      <c r="D2868">
        <f t="shared" si="90"/>
        <v>1.5987389782162809</v>
      </c>
      <c r="F2868">
        <v>3888.09008789062</v>
      </c>
      <c r="G2868">
        <f t="shared" si="89"/>
        <v>7.8150896442883422E-3</v>
      </c>
    </row>
    <row r="2869" spans="1:7" x14ac:dyDescent="0.25">
      <c r="A2869" s="1">
        <v>41858</v>
      </c>
      <c r="B2869">
        <v>1.56354200839996</v>
      </c>
      <c r="C2869">
        <f>C2870*(1+G2869*3)</f>
        <v>1.4518056202915635</v>
      </c>
      <c r="D2869">
        <f t="shared" si="90"/>
        <v>1.5620185245494387</v>
      </c>
      <c r="F2869">
        <v>3857.93994140625</v>
      </c>
      <c r="G2869">
        <f t="shared" si="89"/>
        <v>-4.2150077415037401E-3</v>
      </c>
    </row>
    <row r="2870" spans="1:7" x14ac:dyDescent="0.25">
      <c r="A2870" s="1">
        <v>41857</v>
      </c>
      <c r="B2870">
        <v>1.5787500143051101</v>
      </c>
      <c r="C2870">
        <f>C2871*(1+G2870*3)</f>
        <v>1.4703988478722021</v>
      </c>
      <c r="D2870">
        <f t="shared" si="90"/>
        <v>1.5819222030325875</v>
      </c>
      <c r="F2870">
        <v>3874.27001953125</v>
      </c>
      <c r="G2870">
        <f t="shared" si="89"/>
        <v>-1.7288574407092749E-4</v>
      </c>
    </row>
    <row r="2871" spans="1:7" x14ac:dyDescent="0.25">
      <c r="A2871" s="1">
        <v>41856</v>
      </c>
      <c r="B2871">
        <v>1.5814579725265501</v>
      </c>
      <c r="C2871">
        <f>C2872*(1+G2871*3)</f>
        <v>1.4711618766192665</v>
      </c>
      <c r="D2871">
        <f t="shared" si="90"/>
        <v>1.5826432424100907</v>
      </c>
      <c r="F2871">
        <v>3874.93994140625</v>
      </c>
      <c r="G2871">
        <f t="shared" si="89"/>
        <v>-8.6549164969949022E-3</v>
      </c>
    </row>
    <row r="2872" spans="1:7" x14ac:dyDescent="0.25">
      <c r="A2872" s="1">
        <v>41855</v>
      </c>
      <c r="B2872">
        <v>1.61937499046325</v>
      </c>
      <c r="C2872">
        <f>C2873*(1+G2872*3)</f>
        <v>1.5103784753687926</v>
      </c>
      <c r="D2872">
        <f t="shared" si="90"/>
        <v>1.6247263921992168</v>
      </c>
      <c r="F2872">
        <v>3908.77001953125</v>
      </c>
      <c r="G2872">
        <f t="shared" si="89"/>
        <v>7.5006632631742232E-3</v>
      </c>
    </row>
    <row r="2873" spans="1:7" x14ac:dyDescent="0.25">
      <c r="A2873" s="1">
        <v>41852</v>
      </c>
      <c r="B2873">
        <v>1.58687496185302</v>
      </c>
      <c r="C2873">
        <f>C2874*(1+G2873*3)</f>
        <v>1.4771398886761062</v>
      </c>
      <c r="D2873">
        <f t="shared" si="90"/>
        <v>1.5888733768055596</v>
      </c>
      <c r="F2873">
        <v>3879.669921875</v>
      </c>
      <c r="G2873">
        <f t="shared" si="89"/>
        <v>-3.2961022800256368E-3</v>
      </c>
    </row>
    <row r="2874" spans="1:7" x14ac:dyDescent="0.25">
      <c r="A2874" s="1">
        <v>41851</v>
      </c>
      <c r="B2874">
        <v>1.6054170131683301</v>
      </c>
      <c r="C2874">
        <f>C2875*(1+G2874*3)</f>
        <v>1.4918921762875477</v>
      </c>
      <c r="D2874">
        <f t="shared" si="90"/>
        <v>1.604639345846298</v>
      </c>
      <c r="F2874">
        <v>3892.5</v>
      </c>
      <c r="G2874">
        <f t="shared" si="89"/>
        <v>-2.1018258461892092E-2</v>
      </c>
    </row>
    <row r="2875" spans="1:7" x14ac:dyDescent="0.25">
      <c r="A2875" s="1">
        <v>41850</v>
      </c>
      <c r="B2875">
        <v>1.70958304405212</v>
      </c>
      <c r="C2875">
        <f>C2876*(1+G2875*3)</f>
        <v>1.5922939112066639</v>
      </c>
      <c r="D2875">
        <f t="shared" si="90"/>
        <v>1.7125134996065485</v>
      </c>
      <c r="F2875">
        <v>3976.07006835937</v>
      </c>
      <c r="G2875">
        <f t="shared" si="89"/>
        <v>4.3040944212100474E-3</v>
      </c>
    </row>
    <row r="2876" spans="1:7" x14ac:dyDescent="0.25">
      <c r="A2876" s="1">
        <v>41849</v>
      </c>
      <c r="B2876">
        <v>1.68937504291534</v>
      </c>
      <c r="C2876">
        <f>C2877*(1+G2876*3)</f>
        <v>1.5719958554320723</v>
      </c>
      <c r="D2876">
        <f t="shared" si="90"/>
        <v>1.6905776650060333</v>
      </c>
      <c r="F2876">
        <v>3959.03002929687</v>
      </c>
      <c r="G2876">
        <f t="shared" si="89"/>
        <v>-2.0694389443818295E-3</v>
      </c>
    </row>
    <row r="2877" spans="1:7" x14ac:dyDescent="0.25">
      <c r="A2877" s="1">
        <v>41848</v>
      </c>
      <c r="B2877">
        <v>1.6979169845580999</v>
      </c>
      <c r="C2877">
        <f>C2878*(1+G2877*3)</f>
        <v>1.5818162720206013</v>
      </c>
      <c r="D2877">
        <f t="shared" si="90"/>
        <v>1.7010309277990832</v>
      </c>
      <c r="F2877">
        <v>3967.23999023437</v>
      </c>
      <c r="G2877">
        <f t="shared" si="89"/>
        <v>5.22062963291825E-4</v>
      </c>
    </row>
    <row r="2878" spans="1:7" x14ac:dyDescent="0.25">
      <c r="A2878" s="1">
        <v>41845</v>
      </c>
      <c r="B2878">
        <v>1.6958329677581701</v>
      </c>
      <c r="C2878">
        <f>C2879*(1+G2878*3)</f>
        <v>1.5793427229945416</v>
      </c>
      <c r="D2878">
        <f t="shared" si="90"/>
        <v>1.6982640238988973</v>
      </c>
      <c r="F2878">
        <v>3965.169921875</v>
      </c>
      <c r="G2878">
        <f t="shared" si="89"/>
        <v>-4.5240171310756416E-3</v>
      </c>
    </row>
    <row r="2879" spans="1:7" x14ac:dyDescent="0.25">
      <c r="A2879" s="1">
        <v>41844</v>
      </c>
      <c r="B2879">
        <v>1.71687495708465</v>
      </c>
      <c r="C2879">
        <f>C2880*(1+G2879*3)</f>
        <v>1.6010725620915334</v>
      </c>
      <c r="D2879">
        <f t="shared" si="90"/>
        <v>1.7215200136977233</v>
      </c>
      <c r="F2879">
        <v>3983.18994140625</v>
      </c>
      <c r="G2879">
        <f t="shared" si="89"/>
        <v>-7.5259835685137499E-4</v>
      </c>
    </row>
    <row r="2880" spans="1:7" x14ac:dyDescent="0.25">
      <c r="A2880" s="1">
        <v>41843</v>
      </c>
      <c r="B2880">
        <v>1.72291696071624</v>
      </c>
      <c r="C2880">
        <f>C2881*(1+G2880*3)</f>
        <v>1.6046956359882072</v>
      </c>
      <c r="D2880">
        <f t="shared" si="90"/>
        <v>1.7253065953201014</v>
      </c>
      <c r="F2880">
        <v>3986.18994140625</v>
      </c>
      <c r="G2880">
        <f t="shared" si="89"/>
        <v>6.2019637148331697E-3</v>
      </c>
    </row>
    <row r="2881" spans="1:7" x14ac:dyDescent="0.25">
      <c r="A2881" s="1">
        <v>41842</v>
      </c>
      <c r="B2881">
        <v>1.69124996662139</v>
      </c>
      <c r="C2881">
        <f>C2882*(1+G2881*3)</f>
        <v>1.5753842088868941</v>
      </c>
      <c r="D2881">
        <f t="shared" si="90"/>
        <v>1.6936872222145718</v>
      </c>
      <c r="F2881">
        <v>3961.6201171875</v>
      </c>
      <c r="G2881">
        <f t="shared" si="89"/>
        <v>6.985065442441929E-3</v>
      </c>
    </row>
    <row r="2882" spans="1:7" x14ac:dyDescent="0.25">
      <c r="A2882" s="1">
        <v>41841</v>
      </c>
      <c r="B2882">
        <v>1.6583329439163199</v>
      </c>
      <c r="C2882">
        <f>C2883*(1+G2882*3)</f>
        <v>1.5430493077012699</v>
      </c>
      <c r="D2882">
        <f t="shared" si="90"/>
        <v>1.6588216741532795</v>
      </c>
      <c r="F2882">
        <v>3934.13989257812</v>
      </c>
      <c r="G2882">
        <f t="shared" ref="G2882:G2945" si="91">F2882/F2883-1</f>
        <v>-1.4594316482883229E-3</v>
      </c>
    </row>
    <row r="2883" spans="1:7" x14ac:dyDescent="0.25">
      <c r="A2883" s="1">
        <v>41838</v>
      </c>
      <c r="B2883">
        <v>1.6643749475479099</v>
      </c>
      <c r="C2883">
        <f>C2884*(1+G2883*3)</f>
        <v>1.5498349421940532</v>
      </c>
      <c r="D2883">
        <f t="shared" si="90"/>
        <v>1.6660108936287503</v>
      </c>
      <c r="F2883">
        <v>3939.88989257812</v>
      </c>
      <c r="G2883">
        <f t="shared" si="91"/>
        <v>1.595660729515247E-2</v>
      </c>
    </row>
    <row r="2884" spans="1:7" x14ac:dyDescent="0.25">
      <c r="A2884" s="1">
        <v>41837</v>
      </c>
      <c r="B2884">
        <v>1.58916699886322</v>
      </c>
      <c r="C2884">
        <f>C2885*(1+G2884*3)</f>
        <v>1.4790338549929778</v>
      </c>
      <c r="D2884">
        <f t="shared" si="90"/>
        <v>1.5898068606163298</v>
      </c>
      <c r="F2884">
        <v>3878.01000976562</v>
      </c>
      <c r="G2884">
        <f t="shared" si="91"/>
        <v>-1.3813710263427481E-2</v>
      </c>
    </row>
    <row r="2885" spans="1:7" x14ac:dyDescent="0.25">
      <c r="A2885" s="1">
        <v>41836</v>
      </c>
      <c r="B2885">
        <v>1.65520799160003</v>
      </c>
      <c r="C2885">
        <f>C2886*(1+G2885*3)</f>
        <v>1.5429765479217412</v>
      </c>
      <c r="D2885">
        <f t="shared" si="90"/>
        <v>1.6584294634449368</v>
      </c>
      <c r="F2885">
        <v>3932.330078125</v>
      </c>
      <c r="G2885">
        <f t="shared" si="91"/>
        <v>4.5651551850898198E-3</v>
      </c>
    </row>
    <row r="2886" spans="1:7" x14ac:dyDescent="0.25">
      <c r="A2886" s="1">
        <v>41835</v>
      </c>
      <c r="B2886">
        <v>1.6366670131683301</v>
      </c>
      <c r="C2886">
        <f>C2887*(1+G2886*3)</f>
        <v>1.5221302653026556</v>
      </c>
      <c r="D2886">
        <f t="shared" si="90"/>
        <v>1.6359215857119263</v>
      </c>
      <c r="F2886">
        <v>3914.4599609375</v>
      </c>
      <c r="G2886">
        <f t="shared" si="91"/>
        <v>-3.8173184481109512E-3</v>
      </c>
    </row>
    <row r="2887" spans="1:7" x14ac:dyDescent="0.25">
      <c r="A2887" s="1">
        <v>41834</v>
      </c>
      <c r="B2887">
        <v>1.6539579629898</v>
      </c>
      <c r="C2887">
        <f>C2888*(1+G2887*3)</f>
        <v>1.5397635689349289</v>
      </c>
      <c r="D2887">
        <f t="shared" si="90"/>
        <v>1.6547675512818403</v>
      </c>
      <c r="F2887">
        <v>3929.4599609375</v>
      </c>
      <c r="G2887">
        <f t="shared" si="91"/>
        <v>6.3719740188930007E-3</v>
      </c>
    </row>
    <row r="2888" spans="1:7" x14ac:dyDescent="0.25">
      <c r="A2888" s="1">
        <v>41831</v>
      </c>
      <c r="B2888">
        <v>1.6229170560836701</v>
      </c>
      <c r="C2888">
        <f>C2889*(1+G2888*3)</f>
        <v>1.5108816726438052</v>
      </c>
      <c r="D2888">
        <f t="shared" si="90"/>
        <v>1.623628010086152</v>
      </c>
      <c r="F2888">
        <v>3904.580078125</v>
      </c>
      <c r="G2888">
        <f t="shared" si="91"/>
        <v>6.3246870690616408E-3</v>
      </c>
    </row>
    <row r="2889" spans="1:7" x14ac:dyDescent="0.25">
      <c r="A2889" s="1">
        <v>41830</v>
      </c>
      <c r="B2889">
        <v>1.5952080488204901</v>
      </c>
      <c r="C2889">
        <f>C2890*(1+G2889*3)</f>
        <v>1.4827479228017388</v>
      </c>
      <c r="D2889">
        <f t="shared" si="90"/>
        <v>1.5932962281120757</v>
      </c>
      <c r="F2889">
        <v>3880.0400390625</v>
      </c>
      <c r="G2889">
        <f t="shared" si="91"/>
        <v>-3.305977620195244E-3</v>
      </c>
    </row>
    <row r="2890" spans="1:7" x14ac:dyDescent="0.25">
      <c r="A2890" s="1">
        <v>41829</v>
      </c>
      <c r="B2890">
        <v>1.61041700839996</v>
      </c>
      <c r="C2890">
        <f>C2891*(1+G2890*3)</f>
        <v>1.4976010292619024</v>
      </c>
      <c r="D2890">
        <f t="shared" si="90"/>
        <v>1.6091542298142096</v>
      </c>
      <c r="F2890">
        <v>3892.90991210937</v>
      </c>
      <c r="G2890">
        <f t="shared" si="91"/>
        <v>7.4635923365242718E-3</v>
      </c>
    </row>
    <row r="2891" spans="1:7" x14ac:dyDescent="0.25">
      <c r="A2891" s="1">
        <v>41828</v>
      </c>
      <c r="B2891">
        <v>1.5747920274734399</v>
      </c>
      <c r="C2891">
        <f>C2892*(1+G2891*3)</f>
        <v>1.4648029529787905</v>
      </c>
      <c r="D2891">
        <f t="shared" si="90"/>
        <v>1.5738160131167391</v>
      </c>
      <c r="F2891">
        <v>3864.07006835937</v>
      </c>
      <c r="G2891">
        <f t="shared" si="91"/>
        <v>-1.1926195765985415E-2</v>
      </c>
    </row>
    <row r="2892" spans="1:7" x14ac:dyDescent="0.25">
      <c r="A2892" s="1">
        <v>41827</v>
      </c>
      <c r="B2892">
        <v>1.6316670179367001</v>
      </c>
      <c r="C2892">
        <f>C2893*(1+G2892*3)</f>
        <v>1.5191562162822789</v>
      </c>
      <c r="D2892">
        <f t="shared" si="90"/>
        <v>1.6321075874400726</v>
      </c>
      <c r="F2892">
        <v>3910.7099609375</v>
      </c>
      <c r="G2892">
        <f t="shared" si="91"/>
        <v>-3.1353600417795002E-3</v>
      </c>
    </row>
    <row r="2893" spans="1:7" x14ac:dyDescent="0.25">
      <c r="A2893" s="1">
        <v>41823</v>
      </c>
      <c r="B2893">
        <v>1.64750003814697</v>
      </c>
      <c r="C2893">
        <f>C2894*(1+G2893*3)</f>
        <v>1.5335812039654915</v>
      </c>
      <c r="D2893">
        <f t="shared" si="90"/>
        <v>1.6475002061710415</v>
      </c>
      <c r="F2893">
        <v>3923.01000976562</v>
      </c>
      <c r="G2893">
        <f t="shared" si="91"/>
        <v>6.0883165606531175E-3</v>
      </c>
    </row>
    <row r="2894" spans="1:7" x14ac:dyDescent="0.25">
      <c r="A2894" s="1">
        <v>41822</v>
      </c>
      <c r="B2894">
        <v>1.6164580583572301</v>
      </c>
      <c r="C2894">
        <f>C2895*(1+G2894*3)</f>
        <v>1.5060728589788777</v>
      </c>
      <c r="D2894">
        <f t="shared" si="90"/>
        <v>1.6178482589250514</v>
      </c>
      <c r="F2894">
        <v>3899.27001953125</v>
      </c>
      <c r="G2894">
        <f t="shared" si="91"/>
        <v>1.2684958149793424E-3</v>
      </c>
    </row>
    <row r="2895" spans="1:7" x14ac:dyDescent="0.25">
      <c r="A2895" s="1">
        <v>41821</v>
      </c>
      <c r="B2895">
        <v>1.61020803451538</v>
      </c>
      <c r="C2895">
        <f>C2896*(1+G2895*3)</f>
        <v>1.5003632454853368</v>
      </c>
      <c r="D2895">
        <f t="shared" si="90"/>
        <v>1.6116136464120239</v>
      </c>
      <c r="F2895">
        <v>3894.330078125</v>
      </c>
      <c r="G2895">
        <f t="shared" si="91"/>
        <v>1.1650949708482017E-2</v>
      </c>
    </row>
    <row r="2896" spans="1:7" x14ac:dyDescent="0.25">
      <c r="A2896" s="1">
        <v>41820</v>
      </c>
      <c r="B2896">
        <v>1.55791699886322</v>
      </c>
      <c r="C2896">
        <f>C2897*(1+G2896*3)</f>
        <v>1.4496923669065418</v>
      </c>
      <c r="D2896">
        <f t="shared" ref="D2896:D2959" si="92">D2897*(1+3*G2896--0.0000630653728590433)</f>
        <v>1.5570906918790792</v>
      </c>
      <c r="F2896">
        <v>3849.47998046875</v>
      </c>
      <c r="G2896">
        <f t="shared" si="91"/>
        <v>1.3109943553069048E-3</v>
      </c>
    </row>
    <row r="2897" spans="1:7" x14ac:dyDescent="0.25">
      <c r="A2897" s="1">
        <v>41817</v>
      </c>
      <c r="B2897">
        <v>1.54645800590515</v>
      </c>
      <c r="C2897">
        <f>C2898*(1+G2897*3)</f>
        <v>1.4440130878849224</v>
      </c>
      <c r="D2897">
        <f t="shared" si="92"/>
        <v>1.5508932473393349</v>
      </c>
      <c r="F2897">
        <v>3844.43994140625</v>
      </c>
      <c r="G2897">
        <f t="shared" si="91"/>
        <v>4.5807269309920962E-3</v>
      </c>
    </row>
    <row r="2898" spans="1:7" x14ac:dyDescent="0.25">
      <c r="A2898" s="1">
        <v>41816</v>
      </c>
      <c r="B2898">
        <v>1.53125</v>
      </c>
      <c r="C2898">
        <f>C2899*(1+G2898*3)</f>
        <v>1.4244382006038032</v>
      </c>
      <c r="D2898">
        <f t="shared" si="92"/>
        <v>1.5297743360519602</v>
      </c>
      <c r="F2898">
        <v>3826.90991210937</v>
      </c>
      <c r="G2898">
        <f t="shared" si="91"/>
        <v>-1.0978044930887165E-4</v>
      </c>
    </row>
    <row r="2899" spans="1:7" x14ac:dyDescent="0.25">
      <c r="A2899" s="1">
        <v>41815</v>
      </c>
      <c r="B2899">
        <v>1.52708303928375</v>
      </c>
      <c r="C2899">
        <f>C2900*(1+G2899*3)</f>
        <v>1.4249074815544491</v>
      </c>
      <c r="D2899">
        <f t="shared" si="92"/>
        <v>1.5301817866992442</v>
      </c>
      <c r="F2899">
        <v>3827.330078125</v>
      </c>
      <c r="G2899">
        <f t="shared" si="91"/>
        <v>7.316707227939645E-3</v>
      </c>
    </row>
    <row r="2900" spans="1:7" x14ac:dyDescent="0.25">
      <c r="A2900" s="1">
        <v>41814</v>
      </c>
      <c r="B2900">
        <v>1.4997919797897299</v>
      </c>
      <c r="C2900">
        <f>C2901*(1+G2900*3)</f>
        <v>1.3943023747643344</v>
      </c>
      <c r="D2900">
        <f t="shared" si="92"/>
        <v>1.4972231337895492</v>
      </c>
      <c r="F2900">
        <v>3799.53002929687</v>
      </c>
      <c r="G2900">
        <f t="shared" si="91"/>
        <v>-1.5189378021448485E-3</v>
      </c>
    </row>
    <row r="2901" spans="1:7" x14ac:dyDescent="0.25">
      <c r="A2901" s="1">
        <v>41813</v>
      </c>
      <c r="B2901">
        <v>1.5039579868316599</v>
      </c>
      <c r="C2901">
        <f>C2902*(1+G2901*3)</f>
        <v>1.4006850351105182</v>
      </c>
      <c r="D2901">
        <f t="shared" si="92"/>
        <v>1.5039816483644204</v>
      </c>
      <c r="F2901">
        <v>3805.31005859375</v>
      </c>
      <c r="G2901">
        <f t="shared" si="91"/>
        <v>7.0218745162842211E-4</v>
      </c>
    </row>
    <row r="2902" spans="1:7" x14ac:dyDescent="0.25">
      <c r="A2902" s="1">
        <v>41810</v>
      </c>
      <c r="B2902">
        <v>1.50229203701019</v>
      </c>
      <c r="C2902">
        <f>C2903*(1+G2902*3)</f>
        <v>1.3977406073651484</v>
      </c>
      <c r="D2902">
        <f t="shared" si="92"/>
        <v>1.500725632420584</v>
      </c>
      <c r="F2902">
        <v>3802.63989257812</v>
      </c>
      <c r="G2902">
        <f t="shared" si="91"/>
        <v>4.8406749272889016E-4</v>
      </c>
    </row>
    <row r="2903" spans="1:7" x14ac:dyDescent="0.25">
      <c r="A2903" s="1">
        <v>41809</v>
      </c>
      <c r="B2903">
        <v>1.49687504768371</v>
      </c>
      <c r="C2903">
        <f>C2904*(1+G2903*3)</f>
        <v>1.3957137484008815</v>
      </c>
      <c r="D2903">
        <f t="shared" si="92"/>
        <v>1.4984550716243152</v>
      </c>
      <c r="F2903">
        <v>3800.80004882812</v>
      </c>
      <c r="G2903">
        <f t="shared" si="91"/>
        <v>-1.001432074818287E-3</v>
      </c>
    </row>
    <row r="2904" spans="1:7" x14ac:dyDescent="0.25">
      <c r="A2904" s="1">
        <v>41808</v>
      </c>
      <c r="B2904">
        <v>1.50270795822143</v>
      </c>
      <c r="C2904">
        <f>C2905*(1+G2904*3)</f>
        <v>1.3999195213333639</v>
      </c>
      <c r="D2904">
        <f t="shared" si="92"/>
        <v>1.5028753750434969</v>
      </c>
      <c r="F2904">
        <v>3804.61010742187</v>
      </c>
      <c r="G2904">
        <f t="shared" si="91"/>
        <v>6.1592350400014872E-3</v>
      </c>
    </row>
    <row r="2905" spans="1:7" x14ac:dyDescent="0.25">
      <c r="A2905" s="1">
        <v>41807</v>
      </c>
      <c r="B2905">
        <v>1.4758330583572301</v>
      </c>
      <c r="C2905">
        <f>C2906*(1+G2905*3)</f>
        <v>1.374521518041885</v>
      </c>
      <c r="D2905">
        <f t="shared" si="92"/>
        <v>1.4755181320000257</v>
      </c>
      <c r="F2905">
        <v>3781.32006835937</v>
      </c>
      <c r="G2905">
        <f t="shared" si="91"/>
        <v>3.6776785387315769E-4</v>
      </c>
    </row>
    <row r="2906" spans="1:7" x14ac:dyDescent="0.25">
      <c r="A2906" s="1">
        <v>41806</v>
      </c>
      <c r="B2906">
        <v>1.47374999523162</v>
      </c>
      <c r="C2906">
        <f>C2907*(1+G2906*3)</f>
        <v>1.3730066748873546</v>
      </c>
      <c r="D2906">
        <f t="shared" si="92"/>
        <v>1.4737991384692539</v>
      </c>
      <c r="F2906">
        <v>3779.92993164062</v>
      </c>
      <c r="G2906">
        <f t="shared" si="91"/>
        <v>1.1574105507667909E-3</v>
      </c>
    </row>
    <row r="2907" spans="1:7" x14ac:dyDescent="0.25">
      <c r="A2907" s="1">
        <v>41803</v>
      </c>
      <c r="B2907">
        <v>1.46833300590515</v>
      </c>
      <c r="C2907">
        <f>C2908*(1+G2907*3)</f>
        <v>1.3682557738808427</v>
      </c>
      <c r="D2907">
        <f t="shared" si="92"/>
        <v>1.468607175889205</v>
      </c>
      <c r="F2907">
        <v>3775.56005859375</v>
      </c>
      <c r="G2907">
        <f t="shared" si="91"/>
        <v>3.1245043873389111E-3</v>
      </c>
    </row>
    <row r="2908" spans="1:7" x14ac:dyDescent="0.25">
      <c r="A2908" s="1">
        <v>41802</v>
      </c>
      <c r="B2908">
        <v>1.4583330154418901</v>
      </c>
      <c r="C2908">
        <f>C2909*(1+G2908*3)</f>
        <v>1.355549512681953</v>
      </c>
      <c r="D2908">
        <f t="shared" si="92"/>
        <v>1.4548781043983785</v>
      </c>
      <c r="F2908">
        <v>3763.80004882812</v>
      </c>
      <c r="G2908">
        <f t="shared" si="91"/>
        <v>-8.9656115835491379E-3</v>
      </c>
    </row>
    <row r="2909" spans="1:7" x14ac:dyDescent="0.25">
      <c r="A2909" s="1">
        <v>41801</v>
      </c>
      <c r="B2909">
        <v>1.4974999427795399</v>
      </c>
      <c r="C2909">
        <f>C2910*(1+G2909*3)</f>
        <v>1.3930172679426036</v>
      </c>
      <c r="D2909">
        <f t="shared" si="92"/>
        <v>1.4949944404340618</v>
      </c>
      <c r="F2909">
        <v>3797.85009765625</v>
      </c>
      <c r="G2909">
        <f t="shared" si="91"/>
        <v>-7.9192858472809657E-4</v>
      </c>
    </row>
    <row r="2910" spans="1:7" x14ac:dyDescent="0.25">
      <c r="A2910" s="1">
        <v>41800</v>
      </c>
      <c r="B2910">
        <v>1.4997919797897299</v>
      </c>
      <c r="C2910">
        <f>C2911*(1+G2910*3)</f>
        <v>1.3963346599357527</v>
      </c>
      <c r="D2910">
        <f t="shared" si="92"/>
        <v>1.4984599593225869</v>
      </c>
      <c r="F2910">
        <v>3800.86010742187</v>
      </c>
      <c r="G2910">
        <f t="shared" si="91"/>
        <v>1.3489114640816702E-3</v>
      </c>
    </row>
    <row r="2911" spans="1:7" x14ac:dyDescent="0.25">
      <c r="A2911" s="1">
        <v>41799</v>
      </c>
      <c r="B2911">
        <v>1.49125003814697</v>
      </c>
      <c r="C2911">
        <f>C2912*(1+G2911*3)</f>
        <v>1.3907068387418855</v>
      </c>
      <c r="D2911">
        <f t="shared" si="92"/>
        <v>1.4923267950109922</v>
      </c>
      <c r="F2911">
        <v>3795.73999023437</v>
      </c>
      <c r="G2911">
        <f t="shared" si="91"/>
        <v>3.0831473761816497E-4</v>
      </c>
    </row>
    <row r="2912" spans="1:7" x14ac:dyDescent="0.25">
      <c r="A2912" s="1">
        <v>41796</v>
      </c>
      <c r="B2912">
        <v>1.4939579963684</v>
      </c>
      <c r="C2912">
        <f>C2913*(1+G2912*3)</f>
        <v>1.3894217011801644</v>
      </c>
      <c r="D2912">
        <f t="shared" si="92"/>
        <v>1.4908538171487515</v>
      </c>
      <c r="F2912">
        <v>3794.57006835937</v>
      </c>
      <c r="G2912">
        <f t="shared" si="91"/>
        <v>4.6651709488585436E-3</v>
      </c>
    </row>
    <row r="2913" spans="1:7" x14ac:dyDescent="0.25">
      <c r="A2913" s="1">
        <v>41795</v>
      </c>
      <c r="B2913">
        <v>1.4702080488204901</v>
      </c>
      <c r="C2913">
        <f>C2914*(1+G2913*3)</f>
        <v>1.3702444276894874</v>
      </c>
      <c r="D2913">
        <f t="shared" si="92"/>
        <v>1.4701851048550985</v>
      </c>
      <c r="F2913">
        <v>3776.94995117187</v>
      </c>
      <c r="G2913">
        <f t="shared" si="91"/>
        <v>8.911195536380756E-3</v>
      </c>
    </row>
    <row r="2914" spans="1:7" x14ac:dyDescent="0.25">
      <c r="A2914" s="1">
        <v>41794</v>
      </c>
      <c r="B2914">
        <v>1.43291699886322</v>
      </c>
      <c r="C2914">
        <f>C2915*(1+G2914*3)</f>
        <v>1.334566673926401</v>
      </c>
      <c r="D2914">
        <f t="shared" si="92"/>
        <v>1.4318171977063179</v>
      </c>
      <c r="F2914">
        <v>3743.59008789062</v>
      </c>
      <c r="G2914">
        <f t="shared" si="91"/>
        <v>3.6246020271668566E-3</v>
      </c>
    </row>
    <row r="2915" spans="1:7" x14ac:dyDescent="0.25">
      <c r="A2915" s="1">
        <v>41793</v>
      </c>
      <c r="B2915">
        <v>1.4179170131683301</v>
      </c>
      <c r="C2915">
        <f>C2916*(1+G2915*3)</f>
        <v>1.3202109560041395</v>
      </c>
      <c r="D2915">
        <f t="shared" si="92"/>
        <v>1.4163270112469724</v>
      </c>
      <c r="F2915">
        <v>3730.07006835937</v>
      </c>
      <c r="G2915">
        <f t="shared" si="91"/>
        <v>-7.7415579282136271E-4</v>
      </c>
    </row>
    <row r="2916" spans="1:7" x14ac:dyDescent="0.25">
      <c r="A2916" s="1">
        <v>41792</v>
      </c>
      <c r="B2916">
        <v>1.41999995708465</v>
      </c>
      <c r="C2916">
        <f>C2917*(1+G2916*3)</f>
        <v>1.3232842404851017</v>
      </c>
      <c r="D2916">
        <f t="shared" si="92"/>
        <v>1.4195343099138169</v>
      </c>
      <c r="F2916">
        <v>3732.9599609375</v>
      </c>
      <c r="G2916">
        <f t="shared" si="91"/>
        <v>-1.0329925849399402E-3</v>
      </c>
    </row>
    <row r="2917" spans="1:7" x14ac:dyDescent="0.25">
      <c r="A2917" s="1">
        <v>41789</v>
      </c>
      <c r="B2917">
        <v>1.4235420227050699</v>
      </c>
      <c r="C2917">
        <f>C2918*(1+G2917*3)</f>
        <v>1.3273978167911338</v>
      </c>
      <c r="D2917">
        <f t="shared" si="92"/>
        <v>1.4238570150559671</v>
      </c>
      <c r="F2917">
        <v>3736.82006835937</v>
      </c>
      <c r="G2917">
        <f t="shared" si="91"/>
        <v>2.9448076003490975E-4</v>
      </c>
    </row>
    <row r="2918" spans="1:7" x14ac:dyDescent="0.25">
      <c r="A2918" s="1">
        <v>41788</v>
      </c>
      <c r="B2918">
        <v>1.4247920513153001</v>
      </c>
      <c r="C2918">
        <f>C2919*(1+G2918*3)</f>
        <v>1.3262261725173505</v>
      </c>
      <c r="D2918">
        <f t="shared" si="92"/>
        <v>1.4225105978886434</v>
      </c>
      <c r="F2918">
        <v>3735.71997070312</v>
      </c>
      <c r="G2918">
        <f t="shared" si="91"/>
        <v>6.3195899198291716E-3</v>
      </c>
    </row>
    <row r="2919" spans="1:7" x14ac:dyDescent="0.25">
      <c r="A2919" s="1">
        <v>41787</v>
      </c>
      <c r="B2919">
        <v>1.396458029747</v>
      </c>
      <c r="C2919">
        <f>C2920*(1+G2919*3)</f>
        <v>1.3015503785598603</v>
      </c>
      <c r="D2919">
        <f t="shared" si="92"/>
        <v>1.3959569352151255</v>
      </c>
      <c r="F2919">
        <v>3712.26000976562</v>
      </c>
      <c r="G2919">
        <f t="shared" si="91"/>
        <v>-2.903533480505649E-3</v>
      </c>
    </row>
    <row r="2920" spans="1:7" x14ac:dyDescent="0.25">
      <c r="A2920" s="1">
        <v>41786</v>
      </c>
      <c r="B2920">
        <v>1.4097919464111299</v>
      </c>
      <c r="C2920">
        <f>C2921*(1+G2920*3)</f>
        <v>1.3129872861946941</v>
      </c>
      <c r="D2920">
        <f t="shared" si="92"/>
        <v>1.4081338218206831</v>
      </c>
      <c r="F2920">
        <v>3723.07006835937</v>
      </c>
      <c r="G2920">
        <f t="shared" si="91"/>
        <v>1.2438369486182266E-2</v>
      </c>
    </row>
    <row r="2921" spans="1:7" x14ac:dyDescent="0.25">
      <c r="A2921" s="1">
        <v>41782</v>
      </c>
      <c r="B2921">
        <v>1.3587499856948799</v>
      </c>
      <c r="C2921">
        <f>C2922*(1+G2921*3)</f>
        <v>1.2657554830622268</v>
      </c>
      <c r="D2921">
        <f t="shared" si="92"/>
        <v>1.3573968079740342</v>
      </c>
      <c r="F2921">
        <v>3677.330078125</v>
      </c>
      <c r="G2921">
        <f t="shared" si="91"/>
        <v>7.2503382557220775E-3</v>
      </c>
    </row>
    <row r="2922" spans="1:7" x14ac:dyDescent="0.25">
      <c r="A2922" s="1">
        <v>41781</v>
      </c>
      <c r="B2922">
        <v>1.32895803451538</v>
      </c>
      <c r="C2922">
        <f>C2923*(1+G2922*3)</f>
        <v>1.238810106149651</v>
      </c>
      <c r="D2922">
        <f t="shared" si="92"/>
        <v>1.3284185786400811</v>
      </c>
      <c r="F2922">
        <v>3650.86010742187</v>
      </c>
      <c r="G2922">
        <f t="shared" si="91"/>
        <v>4.1946192109181268E-3</v>
      </c>
    </row>
    <row r="2923" spans="1:7" x14ac:dyDescent="0.25">
      <c r="A2923" s="1">
        <v>41780</v>
      </c>
      <c r="B2923">
        <v>1.3127080202102599</v>
      </c>
      <c r="C2923">
        <f>C2924*(1+G2923*3)</f>
        <v>1.2234148281267039</v>
      </c>
      <c r="D2923">
        <f t="shared" si="92"/>
        <v>1.3118279910407797</v>
      </c>
      <c r="F2923">
        <v>3635.61010742187</v>
      </c>
      <c r="G2923">
        <f t="shared" si="91"/>
        <v>9.8047246636052687E-3</v>
      </c>
    </row>
    <row r="2924" spans="1:7" x14ac:dyDescent="0.25">
      <c r="A2924" s="1">
        <v>41779</v>
      </c>
      <c r="B2924">
        <v>1.27666699886322</v>
      </c>
      <c r="C2924">
        <f>C2925*(1+G2924*3)</f>
        <v>1.1884573372287945</v>
      </c>
      <c r="D2924">
        <f t="shared" si="92"/>
        <v>1.2742661429325308</v>
      </c>
      <c r="F2924">
        <v>3600.31005859375</v>
      </c>
      <c r="G2924">
        <f t="shared" si="91"/>
        <v>-4.2344212327425357E-3</v>
      </c>
    </row>
    <row r="2925" spans="1:7" x14ac:dyDescent="0.25">
      <c r="A2925" s="1">
        <v>41778</v>
      </c>
      <c r="B2925">
        <v>1.2908329963684</v>
      </c>
      <c r="C2925">
        <f>C2926*(1+G2925*3)</f>
        <v>1.2037488766351359</v>
      </c>
      <c r="D2925">
        <f t="shared" si="92"/>
        <v>1.2905793215110501</v>
      </c>
      <c r="F2925">
        <v>3615.6201171875</v>
      </c>
      <c r="G2925">
        <f t="shared" si="91"/>
        <v>7.922660125579517E-3</v>
      </c>
    </row>
    <row r="2926" spans="1:7" x14ac:dyDescent="0.25">
      <c r="A2926" s="1">
        <v>41775</v>
      </c>
      <c r="B2926">
        <v>1.26374995708465</v>
      </c>
      <c r="C2926">
        <f>C2927*(1+G2926*3)</f>
        <v>1.1758024276088082</v>
      </c>
      <c r="D2926">
        <f t="shared" si="92"/>
        <v>1.2605393505782518</v>
      </c>
      <c r="F2926">
        <v>3587.19995117187</v>
      </c>
      <c r="G2926">
        <f t="shared" si="91"/>
        <v>6.1792368329203207E-3</v>
      </c>
    </row>
    <row r="2927" spans="1:7" x14ac:dyDescent="0.25">
      <c r="A2927" s="1">
        <v>41774</v>
      </c>
      <c r="B2927">
        <v>1.2406250238418499</v>
      </c>
      <c r="C2927">
        <f>C2928*(1+G2927*3)</f>
        <v>1.15440244920636</v>
      </c>
      <c r="D2927">
        <f t="shared" si="92"/>
        <v>1.2375205089546533</v>
      </c>
      <c r="F2927">
        <v>3565.169921875</v>
      </c>
      <c r="G2927">
        <f t="shared" si="91"/>
        <v>-7.8146742155430493E-3</v>
      </c>
    </row>
    <row r="2928" spans="1:7" x14ac:dyDescent="0.25">
      <c r="A2928" s="1">
        <v>41773</v>
      </c>
      <c r="B2928">
        <v>1.2699999809265099</v>
      </c>
      <c r="C2928">
        <f>C2929*(1+G2928*3)</f>
        <v>1.1821160035648777</v>
      </c>
      <c r="D2928">
        <f t="shared" si="92"/>
        <v>1.2671476336362615</v>
      </c>
      <c r="F2928">
        <v>3593.25</v>
      </c>
      <c r="G2928">
        <f t="shared" si="91"/>
        <v>-4.9513264248957078E-3</v>
      </c>
    </row>
    <row r="2929" spans="1:7" x14ac:dyDescent="0.25">
      <c r="A2929" s="1">
        <v>41772</v>
      </c>
      <c r="B2929">
        <v>1.28916704654693</v>
      </c>
      <c r="C2929">
        <f>C2930*(1+G2929*3)</f>
        <v>1.1999398857588095</v>
      </c>
      <c r="D2929">
        <f t="shared" si="92"/>
        <v>1.2861712823363016</v>
      </c>
      <c r="F2929">
        <v>3611.1298828125</v>
      </c>
      <c r="G2929">
        <f t="shared" si="91"/>
        <v>-4.4290541083902291E-4</v>
      </c>
    </row>
    <row r="2930" spans="1:7" x14ac:dyDescent="0.25">
      <c r="A2930" s="1">
        <v>41771</v>
      </c>
      <c r="B2930">
        <v>1.2864580154418901</v>
      </c>
      <c r="C2930">
        <f>C2931*(1+G2930*3)</f>
        <v>1.2015363866597242</v>
      </c>
      <c r="D2930">
        <f t="shared" si="92"/>
        <v>1.2878011890182512</v>
      </c>
      <c r="F2930">
        <v>3612.72998046875</v>
      </c>
      <c r="G2930">
        <f t="shared" si="91"/>
        <v>1.6039044373832523E-2</v>
      </c>
    </row>
    <row r="2931" spans="1:7" x14ac:dyDescent="0.25">
      <c r="A2931" s="1">
        <v>41768</v>
      </c>
      <c r="B2931">
        <v>1.22666704654693</v>
      </c>
      <c r="C2931">
        <f>C2932*(1+G2931*3)</f>
        <v>1.14637605730317</v>
      </c>
      <c r="D2931">
        <f t="shared" si="92"/>
        <v>1.2286066755201965</v>
      </c>
      <c r="F2931">
        <v>3555.69995117187</v>
      </c>
      <c r="G2931">
        <f t="shared" si="91"/>
        <v>4.3158804983725041E-3</v>
      </c>
    </row>
    <row r="2932" spans="1:7" x14ac:dyDescent="0.25">
      <c r="A2932" s="1">
        <v>41767</v>
      </c>
      <c r="B2932">
        <v>1.2124999761581401</v>
      </c>
      <c r="C2932">
        <f>C2933*(1+G2932*3)</f>
        <v>1.1317229147314183</v>
      </c>
      <c r="D2932">
        <f t="shared" si="92"/>
        <v>1.2128269397258387</v>
      </c>
      <c r="F2932">
        <v>3540.419921875</v>
      </c>
      <c r="G2932">
        <f t="shared" si="91"/>
        <v>-1.7059354451323117E-3</v>
      </c>
    </row>
    <row r="2933" spans="1:7" x14ac:dyDescent="0.25">
      <c r="A2933" s="1">
        <v>41766</v>
      </c>
      <c r="B2933">
        <v>1.2166670560836701</v>
      </c>
      <c r="C2933">
        <f>C2934*(1+G2933*3)</f>
        <v>1.1375446479374294</v>
      </c>
      <c r="D2933">
        <f t="shared" si="92"/>
        <v>1.2189886113927126</v>
      </c>
      <c r="F2933">
        <v>3546.46997070312</v>
      </c>
      <c r="G2933">
        <f t="shared" si="91"/>
        <v>-2.8230031786588006E-3</v>
      </c>
    </row>
    <row r="2934" spans="1:7" x14ac:dyDescent="0.25">
      <c r="A2934" s="1">
        <v>41765</v>
      </c>
      <c r="B2934">
        <v>1.2277079820632899</v>
      </c>
      <c r="C2934">
        <f>C2935*(1+G2934*3)</f>
        <v>1.1472608106833588</v>
      </c>
      <c r="D2934">
        <f t="shared" si="92"/>
        <v>1.229322225377717</v>
      </c>
      <c r="F2934">
        <v>3556.51000976562</v>
      </c>
      <c r="G2934">
        <f t="shared" si="91"/>
        <v>-1.3475413080016763E-2</v>
      </c>
    </row>
    <row r="2935" spans="1:7" x14ac:dyDescent="0.25">
      <c r="A2935" s="1">
        <v>41764</v>
      </c>
      <c r="B2935">
        <v>1.27708303928375</v>
      </c>
      <c r="C2935">
        <f>C2936*(1+G2935*3)</f>
        <v>1.1955941873345592</v>
      </c>
      <c r="D2935">
        <f t="shared" si="92"/>
        <v>1.2810286057192068</v>
      </c>
      <c r="F2935">
        <v>3605.09008789062</v>
      </c>
      <c r="G2935">
        <f t="shared" si="91"/>
        <v>4.8639762727022973E-3</v>
      </c>
    </row>
    <row r="2936" spans="1:7" x14ac:dyDescent="0.25">
      <c r="A2936" s="1">
        <v>41761</v>
      </c>
      <c r="B2936">
        <v>1.25916695594787</v>
      </c>
      <c r="C2936">
        <f>C2937*(1+G2936*3)</f>
        <v>1.1783990719572361</v>
      </c>
      <c r="D2936">
        <f t="shared" si="92"/>
        <v>1.2625262902693675</v>
      </c>
      <c r="F2936">
        <v>3587.63989257812</v>
      </c>
      <c r="G2936">
        <f t="shared" si="91"/>
        <v>-1.8696554165159585E-3</v>
      </c>
    </row>
    <row r="2937" spans="1:7" x14ac:dyDescent="0.25">
      <c r="A2937" s="1">
        <v>41760</v>
      </c>
      <c r="B2937">
        <v>1.2654169797897299</v>
      </c>
      <c r="C2937">
        <f>C2938*(1+G2937*3)</f>
        <v>1.1850459547214318</v>
      </c>
      <c r="D2937">
        <f t="shared" si="92"/>
        <v>1.2695671840282854</v>
      </c>
      <c r="F2937">
        <v>3594.36010742187</v>
      </c>
      <c r="G2937">
        <f t="shared" si="91"/>
        <v>3.4450080745878076E-3</v>
      </c>
    </row>
    <row r="2938" spans="1:7" x14ac:dyDescent="0.25">
      <c r="A2938" s="1">
        <v>41759</v>
      </c>
      <c r="B2938">
        <v>1.25416696071624</v>
      </c>
      <c r="C2938">
        <f>C2939*(1+G2938*3)</f>
        <v>1.1729237592568842</v>
      </c>
      <c r="D2938">
        <f t="shared" si="92"/>
        <v>1.2565019640279902</v>
      </c>
      <c r="F2938">
        <v>3582.02001953125</v>
      </c>
      <c r="G2938">
        <f t="shared" si="91"/>
        <v>2.2467968066002264E-3</v>
      </c>
    </row>
    <row r="2939" spans="1:7" x14ac:dyDescent="0.25">
      <c r="A2939" s="1">
        <v>41758</v>
      </c>
      <c r="B2939">
        <v>1.24312496185302</v>
      </c>
      <c r="C2939">
        <f>C2940*(1+G2939*3)</f>
        <v>1.165070727685602</v>
      </c>
      <c r="D2939">
        <f t="shared" si="92"/>
        <v>1.2480111751689826</v>
      </c>
      <c r="F2939">
        <v>3573.98999023437</v>
      </c>
      <c r="G2939">
        <f t="shared" si="91"/>
        <v>8.1691722490835339E-3</v>
      </c>
    </row>
    <row r="2940" spans="1:7" x14ac:dyDescent="0.25">
      <c r="A2940" s="1">
        <v>41757</v>
      </c>
      <c r="B2940">
        <v>1.2162499427795399</v>
      </c>
      <c r="C2940">
        <f>C2941*(1+G2940*3)</f>
        <v>1.1372007609906378</v>
      </c>
      <c r="D2940">
        <f t="shared" si="92"/>
        <v>1.2180821867699099</v>
      </c>
      <c r="F2940">
        <v>3545.03002929687</v>
      </c>
      <c r="G2940">
        <f t="shared" si="91"/>
        <v>3.3766186382699903E-3</v>
      </c>
    </row>
    <row r="2941" spans="1:7" x14ac:dyDescent="0.25">
      <c r="A2941" s="1">
        <v>41754</v>
      </c>
      <c r="B2941">
        <v>1.2033330202102599</v>
      </c>
      <c r="C2941">
        <f>C2942*(1+G2941*3)</f>
        <v>1.1257966036067193</v>
      </c>
      <c r="D2941">
        <f t="shared" si="92"/>
        <v>1.2057916474184449</v>
      </c>
      <c r="F2941">
        <v>3533.10009765625</v>
      </c>
      <c r="G2941">
        <f t="shared" si="91"/>
        <v>-1.6131842721449741E-2</v>
      </c>
    </row>
    <row r="2942" spans="1:7" x14ac:dyDescent="0.25">
      <c r="A2942" s="1">
        <v>41753</v>
      </c>
      <c r="B2942">
        <v>1.2643749713897701</v>
      </c>
      <c r="C2942">
        <f>C2943*(1+G2942*3)</f>
        <v>1.1830509806611678</v>
      </c>
      <c r="D2942">
        <f t="shared" si="92"/>
        <v>1.2670303443945852</v>
      </c>
      <c r="F2942">
        <v>3591.03002929687</v>
      </c>
      <c r="G2942">
        <f t="shared" si="91"/>
        <v>9.555695145711196E-3</v>
      </c>
    </row>
    <row r="2943" spans="1:7" x14ac:dyDescent="0.25">
      <c r="A2943" s="1">
        <v>41752</v>
      </c>
      <c r="B2943">
        <v>1.2281249761581401</v>
      </c>
      <c r="C2943">
        <f>C2944*(1+G2943*3)</f>
        <v>1.150081496151331</v>
      </c>
      <c r="D2943">
        <f t="shared" si="92"/>
        <v>1.2316449978616471</v>
      </c>
      <c r="F2943">
        <v>3557.0400390625</v>
      </c>
      <c r="G2943">
        <f t="shared" si="91"/>
        <v>-8.8525218700760133E-3</v>
      </c>
    </row>
    <row r="2944" spans="1:7" x14ac:dyDescent="0.25">
      <c r="A2944" s="1">
        <v>41751</v>
      </c>
      <c r="B2944">
        <v>1.26250004768371</v>
      </c>
      <c r="C2944">
        <f>C2945*(1+G2944*3)</f>
        <v>1.1814581484443811</v>
      </c>
      <c r="D2944">
        <f t="shared" si="92"/>
        <v>1.2651649098664137</v>
      </c>
      <c r="F2944">
        <v>3588.81005859375</v>
      </c>
      <c r="G2944">
        <f t="shared" si="91"/>
        <v>8.1068857196657795E-3</v>
      </c>
    </row>
    <row r="2945" spans="1:7" x14ac:dyDescent="0.25">
      <c r="A2945" s="1">
        <v>41750</v>
      </c>
      <c r="B2945">
        <v>1.2322920560836701</v>
      </c>
      <c r="C2945">
        <f>C2946*(1+G2945*3)</f>
        <v>1.1534065433388918</v>
      </c>
      <c r="D2945">
        <f t="shared" si="92"/>
        <v>1.2350497982723163</v>
      </c>
      <c r="F2945">
        <v>3559.94995117187</v>
      </c>
      <c r="G2945">
        <f t="shared" si="91"/>
        <v>7.1918817110903088E-3</v>
      </c>
    </row>
    <row r="2946" spans="1:7" x14ac:dyDescent="0.25">
      <c r="A2946" s="1">
        <v>41746</v>
      </c>
      <c r="B2946">
        <v>1.20500004291534</v>
      </c>
      <c r="C2946">
        <f>C2947*(1+G2946*3)</f>
        <v>1.1290466338284941</v>
      </c>
      <c r="D2946">
        <f t="shared" si="92"/>
        <v>1.2088909568241206</v>
      </c>
      <c r="F2946">
        <v>3534.53002929687</v>
      </c>
      <c r="G2946">
        <f t="shared" ref="G2946:G3009" si="93">F2946/F2947-1</f>
        <v>4.0755864425467969E-4</v>
      </c>
    </row>
    <row r="2947" spans="1:7" x14ac:dyDescent="0.25">
      <c r="A2947" s="1">
        <v>41745</v>
      </c>
      <c r="B2947">
        <v>1.2043750286102199</v>
      </c>
      <c r="C2947">
        <f>C2948*(1+G2947*3)</f>
        <v>1.1276678614741182</v>
      </c>
      <c r="D2947">
        <f t="shared" si="92"/>
        <v>1.207338631675501</v>
      </c>
      <c r="F2947">
        <v>3533.09008789062</v>
      </c>
      <c r="G2947">
        <f t="shared" si="93"/>
        <v>1.2970738124545633E-2</v>
      </c>
    </row>
    <row r="2948" spans="1:7" x14ac:dyDescent="0.25">
      <c r="A2948" s="1">
        <v>41744</v>
      </c>
      <c r="B2948">
        <v>1.15937495231628</v>
      </c>
      <c r="C2948">
        <f>C2949*(1+G2948*3)</f>
        <v>1.0854313250653158</v>
      </c>
      <c r="D2948">
        <f t="shared" si="92"/>
        <v>1.1620475050860544</v>
      </c>
      <c r="F2948">
        <v>3487.85009765625</v>
      </c>
      <c r="G2948">
        <f t="shared" si="93"/>
        <v>3.8047836142620639E-3</v>
      </c>
    </row>
    <row r="2949" spans="1:7" x14ac:dyDescent="0.25">
      <c r="A2949" s="1">
        <v>41743</v>
      </c>
      <c r="B2949">
        <v>1.14791703224182</v>
      </c>
      <c r="C2949">
        <f>C2950*(1+G2949*3)</f>
        <v>1.0731816531581277</v>
      </c>
      <c r="D2949">
        <f t="shared" si="92"/>
        <v>1.1488615429830891</v>
      </c>
      <c r="F2949">
        <v>3474.6298828125</v>
      </c>
      <c r="G2949">
        <f t="shared" si="93"/>
        <v>8.0594700579348366E-3</v>
      </c>
    </row>
    <row r="2950" spans="1:7" x14ac:dyDescent="0.25">
      <c r="A2950" s="1">
        <v>41740</v>
      </c>
      <c r="B2950">
        <v>1.1227079629898</v>
      </c>
      <c r="C2950">
        <f>C2951*(1+G2950*3)</f>
        <v>1.0478463932626809</v>
      </c>
      <c r="D2950">
        <f t="shared" si="92"/>
        <v>1.1216705927378234</v>
      </c>
      <c r="F2950">
        <v>3446.85009765625</v>
      </c>
      <c r="G2950">
        <f t="shared" si="93"/>
        <v>-1.1729566253074641E-2</v>
      </c>
    </row>
    <row r="2951" spans="1:7" x14ac:dyDescent="0.25">
      <c r="A2951" s="1">
        <v>41739</v>
      </c>
      <c r="B2951">
        <v>1.1633330583572301</v>
      </c>
      <c r="C2951">
        <f>C2952*(1+G2951*3)</f>
        <v>1.0860635565888577</v>
      </c>
      <c r="D2951">
        <f t="shared" si="92"/>
        <v>1.1625042923199287</v>
      </c>
      <c r="F2951">
        <v>3487.76000976562</v>
      </c>
      <c r="G2951">
        <f t="shared" si="93"/>
        <v>-3.1296156434877154E-2</v>
      </c>
    </row>
    <row r="2952" spans="1:7" x14ac:dyDescent="0.25">
      <c r="A2952" s="1">
        <v>41738</v>
      </c>
      <c r="B2952">
        <v>1.28166699409484</v>
      </c>
      <c r="C2952">
        <f>C2953*(1+G2952*3)</f>
        <v>1.1985980972512185</v>
      </c>
      <c r="D2952">
        <f t="shared" si="92"/>
        <v>1.2828700974005252</v>
      </c>
      <c r="F2952">
        <v>3600.43994140625</v>
      </c>
      <c r="G2952">
        <f t="shared" si="93"/>
        <v>1.7582226503337184E-2</v>
      </c>
    </row>
    <row r="2953" spans="1:7" x14ac:dyDescent="0.25">
      <c r="A2953" s="1">
        <v>41737</v>
      </c>
      <c r="B2953">
        <v>1.21916699409484</v>
      </c>
      <c r="C2953">
        <f>C2954*(1+G2953*3)</f>
        <v>1.1385436977194663</v>
      </c>
      <c r="D2953">
        <f t="shared" si="92"/>
        <v>1.218520348653545</v>
      </c>
      <c r="F2953">
        <v>3538.22998046875</v>
      </c>
      <c r="G2953">
        <f t="shared" si="93"/>
        <v>8.6893251995581178E-3</v>
      </c>
    </row>
    <row r="2954" spans="1:7" x14ac:dyDescent="0.25">
      <c r="A2954" s="1">
        <v>41736</v>
      </c>
      <c r="B2954">
        <v>1.1860419511795</v>
      </c>
      <c r="C2954">
        <f>C2955*(1+G2954*3)</f>
        <v>1.1096181976200614</v>
      </c>
      <c r="D2954">
        <f t="shared" si="92"/>
        <v>1.1874899988405563</v>
      </c>
      <c r="F2954">
        <v>3507.75</v>
      </c>
      <c r="G2954">
        <f t="shared" si="93"/>
        <v>-8.9365606009395027E-3</v>
      </c>
    </row>
    <row r="2955" spans="1:7" x14ac:dyDescent="0.25">
      <c r="A2955" s="1">
        <v>41733</v>
      </c>
      <c r="B2955">
        <v>1.2227079868316599</v>
      </c>
      <c r="C2955">
        <f>C2956*(1+G2955*3)</f>
        <v>1.1401862275773667</v>
      </c>
      <c r="D2955">
        <f t="shared" si="92"/>
        <v>1.220124192617408</v>
      </c>
      <c r="F2955">
        <v>3539.3798828125</v>
      </c>
      <c r="G2955">
        <f t="shared" si="93"/>
        <v>-2.6996022961264243E-2</v>
      </c>
    </row>
    <row r="2956" spans="1:7" x14ac:dyDescent="0.25">
      <c r="A2956" s="1">
        <v>41732</v>
      </c>
      <c r="B2956">
        <v>1.328125</v>
      </c>
      <c r="C2956">
        <f>C2957*(1+G2956*3)</f>
        <v>1.2406653156205785</v>
      </c>
      <c r="D2956">
        <f t="shared" si="92"/>
        <v>1.3275567252709208</v>
      </c>
      <c r="F2956">
        <v>3637.580078125</v>
      </c>
      <c r="G2956">
        <f t="shared" si="93"/>
        <v>-7.7495880198935607E-3</v>
      </c>
    </row>
    <row r="2957" spans="1:7" x14ac:dyDescent="0.25">
      <c r="A2957" s="1">
        <v>41731</v>
      </c>
      <c r="B2957">
        <v>1.36020803451538</v>
      </c>
      <c r="C2957">
        <f>C2958*(1+G2957*3)</f>
        <v>1.2701957980387799</v>
      </c>
      <c r="D2957">
        <f t="shared" si="92"/>
        <v>1.3590676584958088</v>
      </c>
      <c r="F2957">
        <v>3665.98999023437</v>
      </c>
      <c r="G2957">
        <f t="shared" si="93"/>
        <v>2.0747015343394182E-3</v>
      </c>
    </row>
    <row r="2958" spans="1:7" x14ac:dyDescent="0.25">
      <c r="A2958" s="1">
        <v>41730</v>
      </c>
      <c r="B2958">
        <v>1.349583029747</v>
      </c>
      <c r="C2958">
        <f>C2959*(1+G2958*3)</f>
        <v>1.2623388688744497</v>
      </c>
      <c r="D2958">
        <f t="shared" si="92"/>
        <v>1.3505763553841081</v>
      </c>
      <c r="F2958">
        <v>3658.39990234375</v>
      </c>
      <c r="G2958">
        <f t="shared" si="93"/>
        <v>1.7426152135459505E-2</v>
      </c>
    </row>
    <row r="2959" spans="1:7" x14ac:dyDescent="0.25">
      <c r="A2959" s="1">
        <v>41729</v>
      </c>
      <c r="B2959">
        <v>1.28020799160003</v>
      </c>
      <c r="C2959">
        <f>C2960*(1+G2959*3)</f>
        <v>1.1996243591125542</v>
      </c>
      <c r="D2959">
        <f t="shared" si="92"/>
        <v>1.2834011843423536</v>
      </c>
      <c r="F2959">
        <v>3595.73999023437</v>
      </c>
      <c r="G2959">
        <f t="shared" si="93"/>
        <v>6.7898832325745673E-3</v>
      </c>
    </row>
    <row r="2960" spans="1:7" x14ac:dyDescent="0.25">
      <c r="A2960" s="1">
        <v>41726</v>
      </c>
      <c r="B2960">
        <v>1.2552080154418901</v>
      </c>
      <c r="C2960">
        <f>C2961*(1+G2960*3)</f>
        <v>1.1756762458271208</v>
      </c>
      <c r="D2960">
        <f t="shared" ref="D2960:D3017" si="94">D2961*(1+3*G2960--0.0000630653728590433)</f>
        <v>1.2577028993563593</v>
      </c>
      <c r="F2960">
        <v>3571.48999023437</v>
      </c>
      <c r="G2960">
        <f t="shared" si="93"/>
        <v>2.3462819759101361E-3</v>
      </c>
    </row>
    <row r="2961" spans="1:7" x14ac:dyDescent="0.25">
      <c r="A2961" s="1">
        <v>41725</v>
      </c>
      <c r="B2961">
        <v>1.2470829486846899</v>
      </c>
      <c r="C2961">
        <f>C2962*(1+G2961*3)</f>
        <v>1.1674586840232899</v>
      </c>
      <c r="D2961">
        <f t="shared" si="94"/>
        <v>1.2488337925326138</v>
      </c>
      <c r="F2961">
        <v>3563.1298828125</v>
      </c>
      <c r="G2961">
        <f t="shared" si="93"/>
        <v>-5.5151038290494059E-3</v>
      </c>
    </row>
    <row r="2962" spans="1:7" x14ac:dyDescent="0.25">
      <c r="A2962" s="1">
        <v>41724</v>
      </c>
      <c r="B2962">
        <v>1.2695829868316599</v>
      </c>
      <c r="C2962">
        <f>C2963*(1+G2962*3)</f>
        <v>1.1870996169520356</v>
      </c>
      <c r="D2962">
        <f t="shared" si="94"/>
        <v>1.2697623277248271</v>
      </c>
      <c r="F2962">
        <v>3582.88989257812</v>
      </c>
      <c r="G2962">
        <f t="shared" si="93"/>
        <v>-1.290456539265239E-2</v>
      </c>
    </row>
    <row r="2963" spans="1:7" x14ac:dyDescent="0.25">
      <c r="A2963" s="1">
        <v>41723</v>
      </c>
      <c r="B2963">
        <v>1.31979203224182</v>
      </c>
      <c r="C2963">
        <f>C2964*(1+G2963*3)</f>
        <v>1.2349074487300677</v>
      </c>
      <c r="D2963">
        <f t="shared" si="94"/>
        <v>1.3208125665991863</v>
      </c>
      <c r="F2963">
        <v>3629.72998046875</v>
      </c>
      <c r="G2963">
        <f t="shared" si="93"/>
        <v>3.4113237049586687E-3</v>
      </c>
    </row>
    <row r="2964" spans="1:7" x14ac:dyDescent="0.25">
      <c r="A2964" s="1">
        <v>41722</v>
      </c>
      <c r="B2964">
        <v>1.3077080249786299</v>
      </c>
      <c r="C2964">
        <f>C2965*(1+G2964*3)</f>
        <v>1.2223974683480958</v>
      </c>
      <c r="D2964">
        <f t="shared" si="94"/>
        <v>1.3073507284461097</v>
      </c>
      <c r="F2964">
        <v>3617.38989257812</v>
      </c>
      <c r="G2964">
        <f t="shared" si="93"/>
        <v>-9.7671753110595283E-3</v>
      </c>
    </row>
    <row r="2965" spans="1:7" x14ac:dyDescent="0.25">
      <c r="A2965" s="1">
        <v>41719</v>
      </c>
      <c r="B2965">
        <v>1.3414579629898</v>
      </c>
      <c r="C2965">
        <f>C2966*(1+G2965*3)</f>
        <v>1.2592967857740218</v>
      </c>
      <c r="D2965">
        <f t="shared" si="94"/>
        <v>1.3467269512971303</v>
      </c>
      <c r="F2965">
        <v>3653.07006835937</v>
      </c>
      <c r="G2965">
        <f t="shared" si="93"/>
        <v>-1.1072072233430985E-2</v>
      </c>
    </row>
    <row r="2966" spans="1:7" x14ac:dyDescent="0.25">
      <c r="A2966" s="1">
        <v>41718</v>
      </c>
      <c r="B2966">
        <v>1.39250004291534</v>
      </c>
      <c r="C2966">
        <f>C2967*(1+G2966*3)</f>
        <v>1.3025630006700624</v>
      </c>
      <c r="D2966">
        <f t="shared" si="94"/>
        <v>1.3929061806904797</v>
      </c>
      <c r="F2966">
        <v>3693.96997070312</v>
      </c>
      <c r="G2966">
        <f t="shared" si="93"/>
        <v>3.0493546920307146E-3</v>
      </c>
    </row>
    <row r="2967" spans="1:7" x14ac:dyDescent="0.25">
      <c r="A2967" s="1">
        <v>41717</v>
      </c>
      <c r="B2967">
        <v>1.3816670179367001</v>
      </c>
      <c r="C2967">
        <f>C2968*(1+G2967*3)</f>
        <v>1.2907550903965723</v>
      </c>
      <c r="D2967">
        <f t="shared" si="94"/>
        <v>1.3801930438985879</v>
      </c>
      <c r="F2967">
        <v>3682.73999023437</v>
      </c>
      <c r="G2967">
        <f t="shared" si="93"/>
        <v>-6.4425612008088828E-3</v>
      </c>
    </row>
    <row r="2968" spans="1:7" x14ac:dyDescent="0.25">
      <c r="A2968" s="1">
        <v>41716</v>
      </c>
      <c r="B2968">
        <v>1.4047919511795</v>
      </c>
      <c r="C2968">
        <f>C2969*(1+G2968*3)</f>
        <v>1.3161940729988839</v>
      </c>
      <c r="D2968">
        <f t="shared" si="94"/>
        <v>1.407304222477475</v>
      </c>
      <c r="F2968">
        <v>3706.6201171875</v>
      </c>
      <c r="G2968">
        <f t="shared" si="93"/>
        <v>1.2043682421144508E-2</v>
      </c>
    </row>
    <row r="2969" spans="1:7" x14ac:dyDescent="0.25">
      <c r="A2969" s="1">
        <v>41715</v>
      </c>
      <c r="B2969">
        <v>1.3560420274734399</v>
      </c>
      <c r="C2969">
        <f>C2970*(1+G2969*3)</f>
        <v>1.2702969151200862</v>
      </c>
      <c r="D2969">
        <f t="shared" si="94"/>
        <v>1.3581472866092641</v>
      </c>
      <c r="F2969">
        <v>3662.51000976562</v>
      </c>
      <c r="G2969">
        <f t="shared" si="93"/>
        <v>9.5482725288342785E-3</v>
      </c>
    </row>
    <row r="2970" spans="1:7" x14ac:dyDescent="0.25">
      <c r="A2970" s="1">
        <v>41712</v>
      </c>
      <c r="B2970">
        <v>1.3208329677581701</v>
      </c>
      <c r="C2970">
        <f>C2971*(1+G2970*3)</f>
        <v>1.2349227774272649</v>
      </c>
      <c r="D2970">
        <f t="shared" si="94"/>
        <v>1.3202458240158312</v>
      </c>
      <c r="F2970">
        <v>3627.8701171875</v>
      </c>
      <c r="G2970">
        <f t="shared" si="93"/>
        <v>-6.468557523104157E-3</v>
      </c>
    </row>
    <row r="2971" spans="1:7" x14ac:dyDescent="0.25">
      <c r="A2971" s="1">
        <v>41711</v>
      </c>
      <c r="B2971">
        <v>1.3485419750213601</v>
      </c>
      <c r="C2971">
        <f>C2972*(1+G2971*3)</f>
        <v>1.2593615350222942</v>
      </c>
      <c r="D2971">
        <f t="shared" si="94"/>
        <v>1.3462865152542769</v>
      </c>
      <c r="F2971">
        <v>3651.48999023437</v>
      </c>
      <c r="G2971">
        <f t="shared" si="93"/>
        <v>-1.4990333979228887E-2</v>
      </c>
    </row>
    <row r="2972" spans="1:7" x14ac:dyDescent="0.25">
      <c r="A2972" s="1">
        <v>41710</v>
      </c>
      <c r="B2972">
        <v>1.4083329439163199</v>
      </c>
      <c r="C2972">
        <f>C2973*(1+G2972*3)</f>
        <v>1.318663137535562</v>
      </c>
      <c r="D2972">
        <f t="shared" si="94"/>
        <v>1.4095882133206075</v>
      </c>
      <c r="F2972">
        <v>3707.06005859375</v>
      </c>
      <c r="G2972">
        <f t="shared" si="93"/>
        <v>4.2151045899363471E-3</v>
      </c>
    </row>
    <row r="2973" spans="1:7" x14ac:dyDescent="0.25">
      <c r="A2973" s="1">
        <v>41709</v>
      </c>
      <c r="B2973">
        <v>1.3927079439163199</v>
      </c>
      <c r="C2973">
        <f>C2974*(1+G2973*3)</f>
        <v>1.3021964547749991</v>
      </c>
      <c r="D2973">
        <f t="shared" si="94"/>
        <v>1.3918994276653731</v>
      </c>
      <c r="F2973">
        <v>3691.5</v>
      </c>
      <c r="G2973">
        <f t="shared" si="93"/>
        <v>-4.0039736070377474E-3</v>
      </c>
    </row>
    <row r="2974" spans="1:7" x14ac:dyDescent="0.25">
      <c r="A2974" s="1">
        <v>41708</v>
      </c>
      <c r="B2974">
        <v>1.4102079868316599</v>
      </c>
      <c r="C2974">
        <f>C2975*(1+G2974*3)</f>
        <v>1.3180285088634367</v>
      </c>
      <c r="D2974">
        <f t="shared" si="94"/>
        <v>1.4087321646662767</v>
      </c>
      <c r="F2974">
        <v>3706.34008789062</v>
      </c>
      <c r="G2974">
        <f t="shared" si="93"/>
        <v>7.9391521963612099E-4</v>
      </c>
    </row>
    <row r="2975" spans="1:7" x14ac:dyDescent="0.25">
      <c r="A2975" s="1">
        <v>41705</v>
      </c>
      <c r="B2975">
        <v>1.40729200839996</v>
      </c>
      <c r="C2975">
        <f>C2976*(1+G2975*3)</f>
        <v>1.3148967592152632</v>
      </c>
      <c r="D2975">
        <f t="shared" si="94"/>
        <v>1.4052964803282662</v>
      </c>
      <c r="F2975">
        <v>3703.39990234375</v>
      </c>
      <c r="G2975">
        <f t="shared" si="93"/>
        <v>-4.711195754535713E-3</v>
      </c>
    </row>
    <row r="2976" spans="1:7" x14ac:dyDescent="0.25">
      <c r="A2976" s="1">
        <v>41704</v>
      </c>
      <c r="B2976">
        <v>1.427708029747</v>
      </c>
      <c r="C2976">
        <f>C2977*(1+G2976*3)</f>
        <v>1.3337473944016476</v>
      </c>
      <c r="D2976">
        <f t="shared" si="94"/>
        <v>1.4253519258022871</v>
      </c>
      <c r="F2976">
        <v>3720.92993164062</v>
      </c>
      <c r="G2976">
        <f t="shared" si="93"/>
        <v>-1.6795521194361562E-3</v>
      </c>
    </row>
    <row r="2977" spans="1:7" x14ac:dyDescent="0.25">
      <c r="A2977" s="1">
        <v>41703</v>
      </c>
      <c r="B2977">
        <v>1.4331250190734801</v>
      </c>
      <c r="C2977">
        <f>C2978*(1+G2977*3)</f>
        <v>1.3405017219261544</v>
      </c>
      <c r="D2977">
        <f t="shared" si="94"/>
        <v>1.4324793571787078</v>
      </c>
      <c r="F2977">
        <v>3727.18994140625</v>
      </c>
      <c r="G2977">
        <f t="shared" si="93"/>
        <v>1.9516522888989307E-3</v>
      </c>
    </row>
    <row r="2978" spans="1:7" x14ac:dyDescent="0.25">
      <c r="A2978" s="1">
        <v>41702</v>
      </c>
      <c r="B2978">
        <v>1.42145800590515</v>
      </c>
      <c r="C2978">
        <f>C2979*(1+G2978*3)</f>
        <v>1.3326988277732446</v>
      </c>
      <c r="D2978">
        <f t="shared" si="94"/>
        <v>1.4240517870327687</v>
      </c>
      <c r="F2978">
        <v>3719.92993164062</v>
      </c>
      <c r="G2978">
        <f t="shared" si="93"/>
        <v>1.4055237832067524E-2</v>
      </c>
    </row>
    <row r="2979" spans="1:7" x14ac:dyDescent="0.25">
      <c r="A2979" s="1">
        <v>41701</v>
      </c>
      <c r="B2979">
        <v>1.3664580583572301</v>
      </c>
      <c r="C2979">
        <f>C2980*(1+G2979*3)</f>
        <v>1.2787782312492098</v>
      </c>
      <c r="D2979">
        <f t="shared" si="94"/>
        <v>1.3663523939321931</v>
      </c>
      <c r="F2979">
        <v>3668.3701171875</v>
      </c>
      <c r="G2979">
        <f t="shared" si="93"/>
        <v>-7.5024971554027431E-3</v>
      </c>
    </row>
    <row r="2980" spans="1:7" x14ac:dyDescent="0.25">
      <c r="A2980" s="1">
        <v>41698</v>
      </c>
      <c r="B2980">
        <v>1.39708304405212</v>
      </c>
      <c r="C2980">
        <f>C2981*(1+G2980*3)</f>
        <v>1.3082230503918002</v>
      </c>
      <c r="D2980">
        <f t="shared" si="94"/>
        <v>1.3977234956287707</v>
      </c>
      <c r="F2980">
        <v>3696.10009765625</v>
      </c>
      <c r="G2980">
        <f t="shared" si="93"/>
        <v>-1.0000408462726984E-3</v>
      </c>
    </row>
    <row r="2981" spans="1:7" x14ac:dyDescent="0.25">
      <c r="A2981" s="1">
        <v>41697</v>
      </c>
      <c r="B2981">
        <v>1.4041670560836701</v>
      </c>
      <c r="C2981">
        <f>C2982*(1+G2981*3)</f>
        <v>1.312159690253057</v>
      </c>
      <c r="D2981">
        <f t="shared" si="94"/>
        <v>1.4018407821434988</v>
      </c>
      <c r="F2981">
        <v>3699.80004882812</v>
      </c>
      <c r="G2981">
        <f t="shared" si="93"/>
        <v>6.3101644333467544E-3</v>
      </c>
    </row>
    <row r="2982" spans="1:7" x14ac:dyDescent="0.25">
      <c r="A2982" s="1">
        <v>41696</v>
      </c>
      <c r="B2982">
        <v>1.3770829439163199</v>
      </c>
      <c r="C2982">
        <f>C2983*(1+G2982*3)</f>
        <v>1.2877813539600005</v>
      </c>
      <c r="D2982">
        <f t="shared" si="94"/>
        <v>1.3757111320401338</v>
      </c>
      <c r="F2982">
        <v>3676.60009765625</v>
      </c>
      <c r="G2982">
        <f t="shared" si="93"/>
        <v>-6.90323009188476E-4</v>
      </c>
    </row>
    <row r="2983" spans="1:7" x14ac:dyDescent="0.25">
      <c r="A2983" s="1">
        <v>41695</v>
      </c>
      <c r="B2983">
        <v>1.3816670179367001</v>
      </c>
      <c r="C2983">
        <f>C2984*(1+G2983*3)</f>
        <v>1.2904538439022248</v>
      </c>
      <c r="D2983">
        <f t="shared" si="94"/>
        <v>1.3784789850321157</v>
      </c>
      <c r="F2983">
        <v>3679.13989257812</v>
      </c>
      <c r="G2983">
        <f t="shared" si="93"/>
        <v>-1.8096879409393862E-3</v>
      </c>
    </row>
    <row r="2984" spans="1:7" x14ac:dyDescent="0.25">
      <c r="A2984" s="1">
        <v>41694</v>
      </c>
      <c r="B2984">
        <v>1.3866670131683301</v>
      </c>
      <c r="C2984">
        <f>C2985*(1+G2984*3)</f>
        <v>1.2974980435908614</v>
      </c>
      <c r="D2984">
        <f t="shared" si="94"/>
        <v>1.3859158071048141</v>
      </c>
      <c r="F2984">
        <v>3685.81005859375</v>
      </c>
      <c r="G2984">
        <f t="shared" si="93"/>
        <v>6.3370175063208745E-3</v>
      </c>
    </row>
    <row r="2985" spans="1:7" x14ac:dyDescent="0.25">
      <c r="A2985" s="1">
        <v>41691</v>
      </c>
      <c r="B2985">
        <v>1.3627079725265501</v>
      </c>
      <c r="C2985">
        <f>C2986*(1+G2985*3)</f>
        <v>1.2732914332808147</v>
      </c>
      <c r="D2985">
        <f t="shared" si="94"/>
        <v>1.3599754745728259</v>
      </c>
      <c r="F2985">
        <v>3662.60009765625</v>
      </c>
      <c r="G2985">
        <f t="shared" si="93"/>
        <v>-2.5408529460150264E-3</v>
      </c>
    </row>
    <row r="2986" spans="1:7" x14ac:dyDescent="0.25">
      <c r="A2986" s="1">
        <v>41690</v>
      </c>
      <c r="B2986">
        <v>1.3697919845580999</v>
      </c>
      <c r="C2986">
        <f>C2987*(1+G2986*3)</f>
        <v>1.283071722982682</v>
      </c>
      <c r="D2986">
        <f t="shared" si="94"/>
        <v>1.3703345093413104</v>
      </c>
      <c r="F2986">
        <v>3671.92993164062</v>
      </c>
      <c r="G2986">
        <f t="shared" si="93"/>
        <v>5.2232731906003416E-3</v>
      </c>
    </row>
    <row r="2987" spans="1:7" x14ac:dyDescent="0.25">
      <c r="A2987" s="1">
        <v>41689</v>
      </c>
      <c r="B2987">
        <v>1.35020804405212</v>
      </c>
      <c r="C2987">
        <f>C2988*(1+G2987*3)</f>
        <v>1.2632764095753242</v>
      </c>
      <c r="D2987">
        <f t="shared" si="94"/>
        <v>1.3491091306116076</v>
      </c>
      <c r="F2987">
        <v>3652.85009765625</v>
      </c>
      <c r="G2987">
        <f t="shared" si="93"/>
        <v>-7.2239000275019505E-3</v>
      </c>
    </row>
    <row r="2988" spans="1:7" x14ac:dyDescent="0.25">
      <c r="A2988" s="1">
        <v>41688</v>
      </c>
      <c r="B2988">
        <v>1.3804169893264699</v>
      </c>
      <c r="C2988">
        <f>C2989*(1+G2988*3)</f>
        <v>1.2912602136541085</v>
      </c>
      <c r="D2988">
        <f t="shared" si="94"/>
        <v>1.378905393560212</v>
      </c>
      <c r="F2988">
        <v>3679.42993164062</v>
      </c>
      <c r="G2988">
        <f t="shared" si="93"/>
        <v>4.2441480958659294E-3</v>
      </c>
    </row>
    <row r="2989" spans="1:7" x14ac:dyDescent="0.25">
      <c r="A2989" s="1">
        <v>41684</v>
      </c>
      <c r="B2989">
        <v>1.3591669797897299</v>
      </c>
      <c r="C2989">
        <f>C2990*(1+G2989*3)</f>
        <v>1.2750260159409033</v>
      </c>
      <c r="D2989">
        <f t="shared" si="94"/>
        <v>1.3614845054185665</v>
      </c>
      <c r="F2989">
        <v>3663.8798828125</v>
      </c>
      <c r="G2989">
        <f t="shared" si="93"/>
        <v>1.1804217309143716E-3</v>
      </c>
    </row>
    <row r="2990" spans="1:7" x14ac:dyDescent="0.25">
      <c r="A2990" s="1">
        <v>41683</v>
      </c>
      <c r="B2990">
        <v>1.35520803928375</v>
      </c>
      <c r="C2990">
        <f>C2991*(1+G2990*3)</f>
        <v>1.2705267438066117</v>
      </c>
      <c r="D2990">
        <f t="shared" si="94"/>
        <v>1.3565948889950221</v>
      </c>
      <c r="F2990">
        <v>3659.56005859375</v>
      </c>
      <c r="G2990">
        <f t="shared" si="93"/>
        <v>8.8769656770488758E-3</v>
      </c>
    </row>
    <row r="2991" spans="1:7" x14ac:dyDescent="0.25">
      <c r="A2991" s="1">
        <v>41682</v>
      </c>
      <c r="B2991">
        <v>1.32124996185302</v>
      </c>
      <c r="C2991">
        <f>C2992*(1+G2991*3)</f>
        <v>1.2375691667577637</v>
      </c>
      <c r="D2991">
        <f t="shared" si="94"/>
        <v>1.3213235284042704</v>
      </c>
      <c r="F2991">
        <v>3627.36010742187</v>
      </c>
      <c r="G2991">
        <f t="shared" si="93"/>
        <v>1.557308893115561E-3</v>
      </c>
    </row>
    <row r="2992" spans="1:7" x14ac:dyDescent="0.25">
      <c r="A2992" s="1">
        <v>41681</v>
      </c>
      <c r="B2992">
        <v>1.3150000572204501</v>
      </c>
      <c r="C2992">
        <f>C2993*(1+G2992*3)</f>
        <v>1.231814221034514</v>
      </c>
      <c r="D2992">
        <f t="shared" si="94"/>
        <v>1.3150965566605992</v>
      </c>
      <c r="F2992">
        <v>3621.71997070312</v>
      </c>
      <c r="G2992">
        <f t="shared" si="93"/>
        <v>1.1057690046763602E-2</v>
      </c>
    </row>
    <row r="2993" spans="1:7" x14ac:dyDescent="0.25">
      <c r="A2993" s="1">
        <v>41680</v>
      </c>
      <c r="B2993">
        <v>1.271458029747</v>
      </c>
      <c r="C2993">
        <f>C2994*(1+G2993*3)</f>
        <v>1.192263190587469</v>
      </c>
      <c r="D2993">
        <f t="shared" si="94"/>
        <v>1.2727938091397328</v>
      </c>
      <c r="F2993">
        <v>3582.11010742187</v>
      </c>
      <c r="G2993">
        <f t="shared" si="93"/>
        <v>5.6711696283573421E-3</v>
      </c>
    </row>
    <row r="2994" spans="1:7" x14ac:dyDescent="0.25">
      <c r="A2994" s="1">
        <v>41677</v>
      </c>
      <c r="B2994">
        <v>1.2485419511795</v>
      </c>
      <c r="C2994">
        <f>C2995*(1+G2994*3)</f>
        <v>1.1723179487502768</v>
      </c>
      <c r="D2994">
        <f t="shared" si="94"/>
        <v>1.2514237780654573</v>
      </c>
      <c r="F2994">
        <v>3561.90991210937</v>
      </c>
      <c r="G2994">
        <f t="shared" si="93"/>
        <v>1.8386840306933383E-2</v>
      </c>
    </row>
    <row r="2995" spans="1:7" x14ac:dyDescent="0.25">
      <c r="A2995" s="1">
        <v>41676</v>
      </c>
      <c r="B2995">
        <v>1.18562495708465</v>
      </c>
      <c r="C2995">
        <f>C2996*(1+G2995*3)</f>
        <v>1.1110328007033827</v>
      </c>
      <c r="D2995">
        <f t="shared" si="94"/>
        <v>1.1859323410888936</v>
      </c>
      <c r="F2995">
        <v>3497.60009765625</v>
      </c>
      <c r="G2995">
        <f t="shared" si="93"/>
        <v>1.2359314747015571E-2</v>
      </c>
    </row>
    <row r="2996" spans="1:7" x14ac:dyDescent="0.25">
      <c r="A2996" s="1">
        <v>41675</v>
      </c>
      <c r="B2996">
        <v>1.1418750286102199</v>
      </c>
      <c r="C2996">
        <f>C2997*(1+G2996*3)</f>
        <v>1.0713107986463424</v>
      </c>
      <c r="D2996">
        <f t="shared" si="94"/>
        <v>1.1434629718579714</v>
      </c>
      <c r="F2996">
        <v>3454.89990234375</v>
      </c>
      <c r="G2996">
        <f t="shared" si="93"/>
        <v>-4.4089819155674892E-3</v>
      </c>
    </row>
    <row r="2997" spans="1:7" x14ac:dyDescent="0.25">
      <c r="A2997" s="1">
        <v>41674</v>
      </c>
      <c r="B2997">
        <v>1.1525000333786</v>
      </c>
      <c r="C2997">
        <f>C2998*(1+G2997*3)</f>
        <v>1.0856709088565613</v>
      </c>
      <c r="D2997">
        <f t="shared" si="94"/>
        <v>1.1587161729458684</v>
      </c>
      <c r="F2997">
        <v>3470.19995117187</v>
      </c>
      <c r="G2997">
        <f t="shared" si="93"/>
        <v>8.6324520191454202E-3</v>
      </c>
    </row>
    <row r="2998" spans="1:7" x14ac:dyDescent="0.25">
      <c r="A2998" s="1">
        <v>41673</v>
      </c>
      <c r="B2998">
        <v>1.1304169893264699</v>
      </c>
      <c r="C2998">
        <f>C2999*(1+G2998*3)</f>
        <v>1.0582646523516126</v>
      </c>
      <c r="D2998">
        <f t="shared" si="94"/>
        <v>1.1293965622284901</v>
      </c>
      <c r="F2998">
        <v>3440.5</v>
      </c>
      <c r="G2998">
        <f t="shared" si="93"/>
        <v>-2.3118050291062175E-2</v>
      </c>
    </row>
    <row r="2999" spans="1:7" x14ac:dyDescent="0.25">
      <c r="A2999" s="1">
        <v>41670</v>
      </c>
      <c r="B2999">
        <v>1.2106250524520801</v>
      </c>
      <c r="C2999">
        <f>C3000*(1+G2999*3)</f>
        <v>1.1371292885951607</v>
      </c>
      <c r="D2999">
        <f t="shared" si="94"/>
        <v>1.2134799018612896</v>
      </c>
      <c r="F2999">
        <v>3521.919921875</v>
      </c>
      <c r="G2999">
        <f t="shared" si="93"/>
        <v>-2.9696412634359071E-3</v>
      </c>
    </row>
    <row r="3000" spans="1:7" x14ac:dyDescent="0.25">
      <c r="A3000" s="1">
        <v>41669</v>
      </c>
      <c r="B3000">
        <v>1.21916699409484</v>
      </c>
      <c r="C3000">
        <f>C3001*(1+G3000*3)</f>
        <v>1.1473509507763644</v>
      </c>
      <c r="D3000">
        <f t="shared" si="94"/>
        <v>1.2243099745552757</v>
      </c>
      <c r="F3000">
        <v>3532.40991210937</v>
      </c>
      <c r="G3000">
        <f t="shared" si="93"/>
        <v>1.8625488772996635E-2</v>
      </c>
    </row>
    <row r="3001" spans="1:7" x14ac:dyDescent="0.25">
      <c r="A3001" s="1">
        <v>41668</v>
      </c>
      <c r="B3001">
        <v>1.15812504291534</v>
      </c>
      <c r="C3001">
        <f>C3002*(1+G3001*3)</f>
        <v>1.0866336994670163</v>
      </c>
      <c r="D3001">
        <f t="shared" si="94"/>
        <v>1.1594508376759605</v>
      </c>
      <c r="F3001">
        <v>3467.82006835937</v>
      </c>
      <c r="G3001">
        <f t="shared" si="93"/>
        <v>-1.0810875557795474E-2</v>
      </c>
    </row>
    <row r="3002" spans="1:7" x14ac:dyDescent="0.25">
      <c r="A3002" s="1">
        <v>41667</v>
      </c>
      <c r="B3002">
        <v>1.1958329677581701</v>
      </c>
      <c r="C3002">
        <f>C3003*(1+G3002*3)</f>
        <v>1.1230574008826262</v>
      </c>
      <c r="D3002">
        <f t="shared" si="94"/>
        <v>1.1982372518523712</v>
      </c>
      <c r="F3002">
        <v>3505.71997070312</v>
      </c>
      <c r="G3002">
        <f t="shared" si="93"/>
        <v>-9.4044742114951507E-4</v>
      </c>
    </row>
    <row r="3003" spans="1:7" x14ac:dyDescent="0.25">
      <c r="A3003" s="1">
        <v>41666</v>
      </c>
      <c r="B3003">
        <v>1.19624996185302</v>
      </c>
      <c r="C3003">
        <f>C3004*(1+G3003*3)</f>
        <v>1.1262348949904333</v>
      </c>
      <c r="D3003">
        <f t="shared" si="94"/>
        <v>1.2015514634869613</v>
      </c>
      <c r="F3003">
        <v>3509.02001953125</v>
      </c>
      <c r="G3003">
        <f t="shared" si="93"/>
        <v>-9.1656485753178751E-3</v>
      </c>
    </row>
    <row r="3004" spans="1:7" x14ac:dyDescent="0.25">
      <c r="A3004" s="1">
        <v>41663</v>
      </c>
      <c r="B3004">
        <v>1.2320829629898</v>
      </c>
      <c r="C3004">
        <f>C3005*(1+G3004*3)</f>
        <v>1.1580785171221335</v>
      </c>
      <c r="D3004">
        <f t="shared" si="94"/>
        <v>1.235444500085187</v>
      </c>
      <c r="F3004">
        <v>3541.47998046875</v>
      </c>
      <c r="G3004">
        <f t="shared" si="93"/>
        <v>-2.0001336309424134E-2</v>
      </c>
    </row>
    <row r="3005" spans="1:7" x14ac:dyDescent="0.25">
      <c r="A3005" s="1">
        <v>41662</v>
      </c>
      <c r="B3005">
        <v>1.30968797206878</v>
      </c>
      <c r="C3005">
        <f>C3006*(1+G3005*3)</f>
        <v>1.2320036767409626</v>
      </c>
      <c r="D3005">
        <f t="shared" si="94"/>
        <v>1.3142200924671505</v>
      </c>
      <c r="F3005">
        <v>3613.76000976562</v>
      </c>
      <c r="G3005">
        <f t="shared" si="93"/>
        <v>-3.8481363088216369E-3</v>
      </c>
    </row>
    <row r="3006" spans="1:7" x14ac:dyDescent="0.25">
      <c r="A3006" s="1">
        <v>41661</v>
      </c>
      <c r="B3006">
        <v>1.3256249427795399</v>
      </c>
      <c r="C3006">
        <f>C3007*(1+G3006*3)</f>
        <v>1.2463925419278741</v>
      </c>
      <c r="D3006">
        <f t="shared" si="94"/>
        <v>1.3294843591436241</v>
      </c>
      <c r="F3006">
        <v>3627.71997070312</v>
      </c>
      <c r="G3006">
        <f t="shared" si="93"/>
        <v>2.7697210013242213E-3</v>
      </c>
    </row>
    <row r="3007" spans="1:7" x14ac:dyDescent="0.25">
      <c r="A3007" s="1">
        <v>41660</v>
      </c>
      <c r="B3007">
        <v>1.31343805789947</v>
      </c>
      <c r="C3007">
        <f>C3008*(1+G3007*3)</f>
        <v>1.2361214076589357</v>
      </c>
      <c r="D3007">
        <f t="shared" si="94"/>
        <v>1.3184460278955559</v>
      </c>
      <c r="F3007">
        <v>3617.69995117187</v>
      </c>
      <c r="G3007">
        <f t="shared" si="93"/>
        <v>7.3651099678022636E-3</v>
      </c>
    </row>
    <row r="3008" spans="1:7" x14ac:dyDescent="0.25">
      <c r="A3008" s="1">
        <v>41656</v>
      </c>
      <c r="B3008">
        <v>1.2846879959106401</v>
      </c>
      <c r="C3008">
        <f>C3009*(1+G3008*3)</f>
        <v>1.2093993304673014</v>
      </c>
      <c r="D3008">
        <f t="shared" si="94"/>
        <v>1.2898646961063314</v>
      </c>
      <c r="F3008">
        <v>3591.25</v>
      </c>
      <c r="G3008">
        <f t="shared" si="93"/>
        <v>-5.5492743163056968E-3</v>
      </c>
    </row>
    <row r="3009" spans="1:7" x14ac:dyDescent="0.25">
      <c r="A3009" s="1">
        <v>41655</v>
      </c>
      <c r="B3009">
        <v>1.30791699886322</v>
      </c>
      <c r="C3009">
        <f>C3010*(1+G3009*3)</f>
        <v>1.2298740560010739</v>
      </c>
      <c r="D3009">
        <f t="shared" si="94"/>
        <v>1.311617555293374</v>
      </c>
      <c r="F3009">
        <v>3611.2900390625</v>
      </c>
      <c r="G3009">
        <f t="shared" si="93"/>
        <v>4.0166631667259978E-4</v>
      </c>
    </row>
    <row r="3010" spans="1:7" x14ac:dyDescent="0.25">
      <c r="A3010" s="1">
        <v>41654</v>
      </c>
      <c r="B3010">
        <v>1.3052079677581701</v>
      </c>
      <c r="C3010">
        <f>C3011*(1+G3010*3)</f>
        <v>1.2283938427103995</v>
      </c>
      <c r="D3010">
        <f t="shared" si="94"/>
        <v>1.30995644625935</v>
      </c>
      <c r="F3010">
        <v>3609.84008789062</v>
      </c>
      <c r="G3010">
        <f t="shared" ref="G3010:G3073" si="95">F3010/F3011-1</f>
        <v>8.1522031874055045E-3</v>
      </c>
    </row>
    <row r="3011" spans="1:7" x14ac:dyDescent="0.25">
      <c r="A3011" s="1">
        <v>41653</v>
      </c>
      <c r="B3011">
        <v>1.2754169702529901</v>
      </c>
      <c r="C3011">
        <f>C3012*(1+G3011*3)</f>
        <v>1.1990686879704275</v>
      </c>
      <c r="D3011">
        <f t="shared" si="94"/>
        <v>1.2786054561054307</v>
      </c>
      <c r="F3011">
        <v>3580.64990234375</v>
      </c>
      <c r="G3011">
        <f t="shared" si="95"/>
        <v>1.931503432376247E-2</v>
      </c>
    </row>
    <row r="3012" spans="1:7" x14ac:dyDescent="0.25">
      <c r="A3012" s="1">
        <v>41652</v>
      </c>
      <c r="B3012">
        <v>1.20635402202606</v>
      </c>
      <c r="C3012">
        <f>C3013*(1+G3012*3)</f>
        <v>1.1333940528698399</v>
      </c>
      <c r="D3012">
        <f t="shared" si="94"/>
        <v>1.208502442950449</v>
      </c>
      <c r="F3012">
        <v>3512.80004882812</v>
      </c>
      <c r="G3012">
        <f t="shared" si="95"/>
        <v>-1.4664475453907921E-2</v>
      </c>
    </row>
    <row r="3013" spans="1:7" x14ac:dyDescent="0.25">
      <c r="A3013" s="1">
        <v>41649</v>
      </c>
      <c r="B3013">
        <v>1.26250004768371</v>
      </c>
      <c r="C3013">
        <f>C3014*(1+G3013*3)</f>
        <v>1.1855504806378889</v>
      </c>
      <c r="D3013">
        <f t="shared" si="94"/>
        <v>1.2640318169714138</v>
      </c>
      <c r="F3013">
        <v>3565.080078125</v>
      </c>
      <c r="G3013">
        <f t="shared" si="95"/>
        <v>3.5185695255592897E-3</v>
      </c>
    </row>
    <row r="3014" spans="1:7" x14ac:dyDescent="0.25">
      <c r="A3014" s="1">
        <v>41648</v>
      </c>
      <c r="B3014">
        <v>1.25</v>
      </c>
      <c r="C3014">
        <f>C3015*(1+G3014*3)</f>
        <v>1.173166873014535</v>
      </c>
      <c r="D3014">
        <f t="shared" si="94"/>
        <v>1.2507503814039878</v>
      </c>
      <c r="F3014">
        <v>3552.580078125</v>
      </c>
      <c r="G3014">
        <f t="shared" si="95"/>
        <v>-4.1933547412774663E-3</v>
      </c>
    </row>
    <row r="3015" spans="1:7" x14ac:dyDescent="0.25">
      <c r="A3015" s="1">
        <v>41647</v>
      </c>
      <c r="B3015">
        <v>1.2630209922790501</v>
      </c>
      <c r="C3015">
        <f>C3016*(1+G3015*3)</f>
        <v>1.1881134160941969</v>
      </c>
      <c r="D3015">
        <f t="shared" si="94"/>
        <v>1.2666044680755268</v>
      </c>
      <c r="F3015">
        <v>3567.5400390625</v>
      </c>
      <c r="G3015">
        <f t="shared" si="95"/>
        <v>2.7235384123218687E-3</v>
      </c>
    </row>
    <row r="3016" spans="1:7" x14ac:dyDescent="0.25">
      <c r="A3016" s="1">
        <v>41646</v>
      </c>
      <c r="B3016">
        <v>1.25364601612091</v>
      </c>
      <c r="C3016">
        <f>C3017*(1+G3016*3)</f>
        <v>1.1784844729033652</v>
      </c>
      <c r="D3016">
        <f t="shared" si="94"/>
        <v>1.2562608177396217</v>
      </c>
      <c r="F3016">
        <v>3557.85009765625</v>
      </c>
      <c r="G3016">
        <f t="shared" si="95"/>
        <v>8.758289592416979E-3</v>
      </c>
    </row>
    <row r="3017" spans="1:7" x14ac:dyDescent="0.25">
      <c r="A3017" s="1">
        <v>41645</v>
      </c>
      <c r="B3017">
        <v>1.22197902202606</v>
      </c>
      <c r="C3017">
        <f>C3018*(1+G3017*3)</f>
        <v>1.1483127072062707</v>
      </c>
      <c r="D3017">
        <f t="shared" si="94"/>
        <v>1.2240225913309015</v>
      </c>
      <c r="F3017">
        <v>3526.9599609375</v>
      </c>
      <c r="G3017">
        <f t="shared" si="95"/>
        <v>-3.3260575393466718E-3</v>
      </c>
    </row>
    <row r="3018" spans="1:7" x14ac:dyDescent="0.25">
      <c r="A3018" s="1">
        <v>41642</v>
      </c>
      <c r="B3018">
        <v>1.2351039648055999</v>
      </c>
      <c r="C3018">
        <f>C3019*(1+G3018*3)</f>
        <v>1.1598862524505134</v>
      </c>
      <c r="D3018">
        <f>D3019*(1+3*G3018--0.0000630653728590433)</f>
        <v>1.2362804445234716</v>
      </c>
      <c r="F3018">
        <v>3538.72998046875</v>
      </c>
      <c r="G3018">
        <f t="shared" si="95"/>
        <v>-6.9705625016813766E-3</v>
      </c>
    </row>
    <row r="3019" spans="1:7" x14ac:dyDescent="0.25">
      <c r="A3019" s="1">
        <v>41641</v>
      </c>
      <c r="B3019">
        <v>1.2626039981842001</v>
      </c>
      <c r="C3019">
        <f>C3020*(1+G3019*3)</f>
        <v>1.1846594813238454</v>
      </c>
      <c r="D3019">
        <v>1.2626039981842001</v>
      </c>
      <c r="E3019" s="2">
        <v>-6.3065372859043303E-5</v>
      </c>
      <c r="F3019">
        <v>3563.57006835937</v>
      </c>
      <c r="G3019">
        <f t="shared" si="95"/>
        <v>-7.9147916594181078E-3</v>
      </c>
    </row>
    <row r="3020" spans="1:7" x14ac:dyDescent="0.25">
      <c r="A3020" s="1">
        <v>41639</v>
      </c>
      <c r="B3020">
        <v>1.29281294345855</v>
      </c>
      <c r="C3020">
        <f>C3021*(1+G3020*3)</f>
        <v>1.213472630488001</v>
      </c>
      <c r="D3020">
        <f t="shared" ref="D3020:D3083" si="96">D3021*(1+3*G3020--0.0000947457020553289)</f>
        <v>1.2928129434579447</v>
      </c>
      <c r="F3020">
        <v>3592</v>
      </c>
      <c r="G3020">
        <f t="shared" si="95"/>
        <v>6.1398964155763291E-3</v>
      </c>
    </row>
    <row r="3021" spans="1:7" x14ac:dyDescent="0.25">
      <c r="A3021" s="1">
        <v>41638</v>
      </c>
      <c r="B3021">
        <v>1.26791703701019</v>
      </c>
      <c r="C3021">
        <f>C3022*(1+G3021*3)</f>
        <v>1.1915251082641012</v>
      </c>
      <c r="D3021">
        <f t="shared" si="96"/>
        <v>1.2693123426600759</v>
      </c>
      <c r="F3021">
        <v>3570.080078125</v>
      </c>
      <c r="G3021">
        <f t="shared" si="95"/>
        <v>-1.1023836981099988E-3</v>
      </c>
    </row>
    <row r="3022" spans="1:7" x14ac:dyDescent="0.25">
      <c r="A3022" s="1">
        <v>41635</v>
      </c>
      <c r="B3022">
        <v>1.2745829820632899</v>
      </c>
      <c r="C3022">
        <f>C3023*(1+G3022*3)</f>
        <v>1.1954787370776758</v>
      </c>
      <c r="D3022">
        <f t="shared" si="96"/>
        <v>1.2734030294183181</v>
      </c>
      <c r="F3022">
        <v>3574.02001953125</v>
      </c>
      <c r="G3022">
        <f t="shared" si="95"/>
        <v>-2.9459681088429557E-3</v>
      </c>
    </row>
    <row r="3023" spans="1:7" x14ac:dyDescent="0.25">
      <c r="A3023" s="1">
        <v>41634</v>
      </c>
      <c r="B3023">
        <v>1.28395795822143</v>
      </c>
      <c r="C3023">
        <f>C3024*(1+G3023*3)</f>
        <v>1.2061384735111127</v>
      </c>
      <c r="D3023">
        <f t="shared" si="96"/>
        <v>1.2846347952073338</v>
      </c>
      <c r="F3023">
        <v>3584.580078125</v>
      </c>
      <c r="G3023">
        <f t="shared" si="95"/>
        <v>3.2971420554990249E-3</v>
      </c>
    </row>
    <row r="3024" spans="1:7" x14ac:dyDescent="0.25">
      <c r="A3024" s="1">
        <v>41632</v>
      </c>
      <c r="B3024">
        <v>1.2715630531311</v>
      </c>
      <c r="C3024">
        <f>C3025*(1+G3024*3)</f>
        <v>1.1943248969738862</v>
      </c>
      <c r="D3024">
        <f t="shared" si="96"/>
        <v>1.2719330531334507</v>
      </c>
      <c r="F3024">
        <v>3572.80004882812</v>
      </c>
      <c r="G3024">
        <f t="shared" si="95"/>
        <v>9.5258210830828638E-4</v>
      </c>
    </row>
    <row r="3025" spans="1:7" x14ac:dyDescent="0.25">
      <c r="A3025" s="1">
        <v>41631</v>
      </c>
      <c r="B3025">
        <v>1.26979196071624</v>
      </c>
      <c r="C3025">
        <f>C3026*(1+G3025*3)</f>
        <v>1.1909215453045183</v>
      </c>
      <c r="D3025">
        <f t="shared" si="96"/>
        <v>1.2681887360016997</v>
      </c>
      <c r="F3025">
        <v>3569.39990234375</v>
      </c>
      <c r="G3025">
        <f t="shared" si="95"/>
        <v>1.0820703947260091E-2</v>
      </c>
    </row>
    <row r="3026" spans="1:7" x14ac:dyDescent="0.25">
      <c r="A3026" s="1">
        <v>41628</v>
      </c>
      <c r="B3026">
        <v>1.2300000190734801</v>
      </c>
      <c r="C3026">
        <f>C3027*(1+G3026*3)</f>
        <v>1.1534772381914011</v>
      </c>
      <c r="D3026">
        <f t="shared" si="96"/>
        <v>1.2282023277811225</v>
      </c>
      <c r="F3026">
        <v>3531.18994140625</v>
      </c>
      <c r="G3026">
        <f t="shared" si="95"/>
        <v>9.3065170321975366E-3</v>
      </c>
    </row>
    <row r="3027" spans="1:7" x14ac:dyDescent="0.25">
      <c r="A3027" s="1">
        <v>41627</v>
      </c>
      <c r="B3027">
        <v>1.1940629482269201</v>
      </c>
      <c r="C3027">
        <f>C3028*(1+G3027*3)</f>
        <v>1.1221473868853478</v>
      </c>
      <c r="D3027">
        <f t="shared" si="96"/>
        <v>1.1947327304745494</v>
      </c>
      <c r="F3027">
        <v>3498.6298828125</v>
      </c>
      <c r="G3027">
        <f t="shared" si="95"/>
        <v>-3.134233627844818E-3</v>
      </c>
    </row>
    <row r="3028" spans="1:7" x14ac:dyDescent="0.25">
      <c r="A3028" s="1">
        <v>41626</v>
      </c>
      <c r="B3028">
        <v>1.20489597320556</v>
      </c>
      <c r="C3028">
        <f>C3029*(1+G3028*3)</f>
        <v>1.1327987547373837</v>
      </c>
      <c r="D3028">
        <f t="shared" si="96"/>
        <v>1.2059577309853189</v>
      </c>
      <c r="F3028">
        <v>3509.6298828125</v>
      </c>
      <c r="G3028">
        <f t="shared" si="95"/>
        <v>1.1618937906813676E-2</v>
      </c>
    </row>
    <row r="3029" spans="1:7" x14ac:dyDescent="0.25">
      <c r="A3029" s="1">
        <v>41625</v>
      </c>
      <c r="B3029">
        <v>1.1646879911422701</v>
      </c>
      <c r="C3029">
        <f>C3030*(1+G3029*3)</f>
        <v>1.0946429880137998</v>
      </c>
      <c r="D3029">
        <f t="shared" si="96"/>
        <v>1.1652310873933502</v>
      </c>
      <c r="F3029">
        <v>3469.32006835937</v>
      </c>
      <c r="G3029">
        <f t="shared" si="95"/>
        <v>-1.861438875886523E-3</v>
      </c>
    </row>
    <row r="3030" spans="1:7" x14ac:dyDescent="0.25">
      <c r="A3030" s="1">
        <v>41624</v>
      </c>
      <c r="B3030">
        <v>1.1720830202102599</v>
      </c>
      <c r="C3030">
        <f>C3031*(1+G3030*3)</f>
        <v>1.1007901487450003</v>
      </c>
      <c r="D3030">
        <f t="shared" si="96"/>
        <v>1.1716630146129754</v>
      </c>
      <c r="F3030">
        <v>3475.7900390625</v>
      </c>
      <c r="G3030">
        <f t="shared" si="95"/>
        <v>5.6099228291268677E-3</v>
      </c>
    </row>
    <row r="3031" spans="1:7" x14ac:dyDescent="0.25">
      <c r="A3031" s="1">
        <v>41621</v>
      </c>
      <c r="B3031">
        <v>1.1522920131683301</v>
      </c>
      <c r="C3031">
        <f>C3032*(1+G3031*3)</f>
        <v>1.0825707339218813</v>
      </c>
      <c r="D3031">
        <f t="shared" si="96"/>
        <v>1.1521632119832195</v>
      </c>
      <c r="F3031">
        <v>3456.39990234375</v>
      </c>
      <c r="G3031">
        <f t="shared" si="95"/>
        <v>-1.1242227312840969E-3</v>
      </c>
    </row>
    <row r="3032" spans="1:7" x14ac:dyDescent="0.25">
      <c r="A3032" s="1">
        <v>41620</v>
      </c>
      <c r="B3032">
        <v>1.1578129529953001</v>
      </c>
      <c r="C3032">
        <f>C3033*(1+G3032*3)</f>
        <v>1.0862342415995976</v>
      </c>
      <c r="D3032">
        <f t="shared" si="96"/>
        <v>1.1559523341387381</v>
      </c>
      <c r="F3032">
        <v>3460.2900390625</v>
      </c>
      <c r="G3032">
        <f t="shared" si="95"/>
        <v>-2.5079205176035124E-3</v>
      </c>
    </row>
    <row r="3033" spans="1:7" x14ac:dyDescent="0.25">
      <c r="A3033" s="1">
        <v>41619</v>
      </c>
      <c r="B3033">
        <v>1.16729199886322</v>
      </c>
      <c r="C3033">
        <f>C3034*(1+G3033*3)</f>
        <v>1.0944687636039532</v>
      </c>
      <c r="D3033">
        <f t="shared" si="96"/>
        <v>1.1646041971794401</v>
      </c>
      <c r="F3033">
        <v>3468.98999023437</v>
      </c>
      <c r="G3033">
        <f t="shared" si="95"/>
        <v>-1.286493698869462E-2</v>
      </c>
    </row>
    <row r="3034" spans="1:7" x14ac:dyDescent="0.25">
      <c r="A3034" s="1">
        <v>41618</v>
      </c>
      <c r="B3034">
        <v>1.2126040458679199</v>
      </c>
      <c r="C3034">
        <f>C3035*(1+G3034*3)</f>
        <v>1.1384053009987893</v>
      </c>
      <c r="D3034">
        <f t="shared" si="96"/>
        <v>1.2112368967546951</v>
      </c>
      <c r="F3034">
        <v>3514.19995117187</v>
      </c>
      <c r="G3034">
        <f t="shared" si="95"/>
        <v>-5.6026038186440807E-4</v>
      </c>
    </row>
    <row r="3035" spans="1:7" x14ac:dyDescent="0.25">
      <c r="A3035" s="1">
        <v>41617</v>
      </c>
      <c r="B3035">
        <v>1.2147920131683301</v>
      </c>
      <c r="C3035">
        <f>C3036*(1+G3035*3)</f>
        <v>1.140321932603015</v>
      </c>
      <c r="D3035">
        <f t="shared" si="96"/>
        <v>1.2131610131202222</v>
      </c>
      <c r="F3035">
        <v>3516.169921875</v>
      </c>
      <c r="G3035">
        <f t="shared" si="95"/>
        <v>3.3986953240312534E-3</v>
      </c>
    </row>
    <row r="3036" spans="1:7" x14ac:dyDescent="0.25">
      <c r="A3036" s="1">
        <v>41614</v>
      </c>
      <c r="B3036">
        <v>1.20041704177856</v>
      </c>
      <c r="C3036">
        <f>C3037*(1+G3036*3)</f>
        <v>1.1288124636769934</v>
      </c>
      <c r="D3036">
        <f t="shared" si="96"/>
        <v>1.2008037439178754</v>
      </c>
      <c r="F3036">
        <v>3504.26000976562</v>
      </c>
      <c r="G3036">
        <f t="shared" si="95"/>
        <v>7.6285477727899842E-3</v>
      </c>
    </row>
    <row r="3037" spans="1:7" x14ac:dyDescent="0.25">
      <c r="A3037" s="1">
        <v>41613</v>
      </c>
      <c r="B3037">
        <v>1.1761460304260201</v>
      </c>
      <c r="C3037">
        <f>C3038*(1+G3037*3)</f>
        <v>1.1035568551094173</v>
      </c>
      <c r="D3037">
        <f t="shared" si="96"/>
        <v>1.1738287036643278</v>
      </c>
      <c r="F3037">
        <v>3477.72998046875</v>
      </c>
      <c r="G3037">
        <f t="shared" si="95"/>
        <v>-1.5159385939362835E-3</v>
      </c>
    </row>
    <row r="3038" spans="1:7" x14ac:dyDescent="0.25">
      <c r="A3038" s="1">
        <v>41612</v>
      </c>
      <c r="B3038">
        <v>1.17979204654693</v>
      </c>
      <c r="C3038">
        <f>C3039*(1+G3038*3)</f>
        <v>1.1085985571231927</v>
      </c>
      <c r="D3038">
        <f t="shared" si="96"/>
        <v>1.1790792260876777</v>
      </c>
      <c r="F3038">
        <v>3483.01000976562</v>
      </c>
      <c r="G3038">
        <f t="shared" si="95"/>
        <v>1.0547752683829348E-3</v>
      </c>
    </row>
    <row r="3039" spans="1:7" x14ac:dyDescent="0.25">
      <c r="A3039" s="1">
        <v>41611</v>
      </c>
      <c r="B3039">
        <v>1.1767710447311399</v>
      </c>
      <c r="C3039">
        <f>C3040*(1+G3039*3)</f>
        <v>1.1051016554375788</v>
      </c>
      <c r="D3039">
        <f t="shared" si="96"/>
        <v>1.1752490055398528</v>
      </c>
      <c r="F3039">
        <v>3479.34008789062</v>
      </c>
      <c r="G3039">
        <f t="shared" si="95"/>
        <v>-5.1988983637607511E-4</v>
      </c>
    </row>
    <row r="3040" spans="1:7" x14ac:dyDescent="0.25">
      <c r="A3040" s="1">
        <v>41610</v>
      </c>
      <c r="B3040">
        <v>1.1802079677581701</v>
      </c>
      <c r="C3040">
        <f>C3041*(1+G3040*3)</f>
        <v>1.1068279412293653</v>
      </c>
      <c r="D3040">
        <f t="shared" si="96"/>
        <v>1.1769731815738265</v>
      </c>
      <c r="F3040">
        <v>3481.14990234375</v>
      </c>
      <c r="G3040">
        <f t="shared" si="95"/>
        <v>-1.9124168921814677E-3</v>
      </c>
    </row>
    <row r="3041" spans="1:7" x14ac:dyDescent="0.25">
      <c r="A3041" s="1">
        <v>41607</v>
      </c>
      <c r="B3041">
        <v>1.1876039505004801</v>
      </c>
      <c r="C3041">
        <f>C3042*(1+G3041*3)</f>
        <v>1.1132147332106173</v>
      </c>
      <c r="D3041">
        <f t="shared" si="96"/>
        <v>1.1836519435533901</v>
      </c>
      <c r="F3041">
        <v>3487.82006835937</v>
      </c>
      <c r="G3041">
        <f t="shared" si="95"/>
        <v>4.9964523605401379E-3</v>
      </c>
    </row>
    <row r="3042" spans="1:7" x14ac:dyDescent="0.25">
      <c r="A3042" s="1">
        <v>41605</v>
      </c>
      <c r="B3042">
        <v>1.1684379577636701</v>
      </c>
      <c r="C3042">
        <f>C3043*(1+G3042*3)</f>
        <v>1.0967747843301749</v>
      </c>
      <c r="D3042">
        <f t="shared" si="96"/>
        <v>1.1660629304581256</v>
      </c>
      <c r="F3042">
        <v>3470.47998046875</v>
      </c>
      <c r="G3042">
        <f t="shared" si="95"/>
        <v>7.1740256527068613E-3</v>
      </c>
    </row>
    <row r="3043" spans="1:7" x14ac:dyDescent="0.25">
      <c r="A3043" s="1">
        <v>41604</v>
      </c>
      <c r="B3043">
        <v>1.1455210447311399</v>
      </c>
      <c r="C3043">
        <f>C3044*(1+G3043*3)</f>
        <v>1.0736672354611672</v>
      </c>
      <c r="D3043">
        <f t="shared" si="96"/>
        <v>1.1413897114789362</v>
      </c>
      <c r="F3043">
        <v>3445.76000976562</v>
      </c>
      <c r="G3043">
        <f t="shared" si="95"/>
        <v>5.3304370204740881E-3</v>
      </c>
    </row>
    <row r="3044" spans="1:7" x14ac:dyDescent="0.25">
      <c r="A3044" s="1">
        <v>41603</v>
      </c>
      <c r="B3044">
        <v>1.12687504291534</v>
      </c>
      <c r="C3044">
        <f>C3045*(1+G3044*3)</f>
        <v>1.0567681276127154</v>
      </c>
      <c r="D3044">
        <f t="shared" si="96"/>
        <v>1.123319923427142</v>
      </c>
      <c r="F3044">
        <v>3427.48999023437</v>
      </c>
      <c r="G3044">
        <f t="shared" si="95"/>
        <v>1.5984625080800452E-3</v>
      </c>
    </row>
    <row r="3045" spans="1:7" x14ac:dyDescent="0.25">
      <c r="A3045" s="1">
        <v>41600</v>
      </c>
      <c r="B3045">
        <v>1.11947894096374</v>
      </c>
      <c r="C3045">
        <f>C3046*(1+G3045*3)</f>
        <v>1.0517247001068877</v>
      </c>
      <c r="D3045">
        <f t="shared" si="96"/>
        <v>1.1178534710263466</v>
      </c>
      <c r="F3045">
        <v>3422.02001953125</v>
      </c>
      <c r="G3045">
        <f t="shared" si="95"/>
        <v>5.6660307141340738E-3</v>
      </c>
    </row>
    <row r="3046" spans="1:7" x14ac:dyDescent="0.25">
      <c r="A3046" s="1">
        <v>41599</v>
      </c>
      <c r="B3046">
        <v>1.1020829677581701</v>
      </c>
      <c r="C3046">
        <f>C3047*(1+G3046*3)</f>
        <v>1.0341461879159779</v>
      </c>
      <c r="D3046">
        <f t="shared" si="96"/>
        <v>1.0990672920236395</v>
      </c>
      <c r="F3046">
        <v>3402.73999023437</v>
      </c>
      <c r="G3046">
        <f t="shared" si="95"/>
        <v>1.0563787745990316E-2</v>
      </c>
    </row>
    <row r="3047" spans="1:7" x14ac:dyDescent="0.25">
      <c r="A3047" s="1">
        <v>41598</v>
      </c>
      <c r="B3047">
        <v>1.06937503814697</v>
      </c>
      <c r="C3047">
        <f>C3048*(1+G3047*3)</f>
        <v>1.0023794176877689</v>
      </c>
      <c r="D3047">
        <f t="shared" si="96"/>
        <v>1.0652084598742395</v>
      </c>
      <c r="F3047">
        <v>3367.169921875</v>
      </c>
      <c r="G3047">
        <f t="shared" si="95"/>
        <v>-3.2443870773776196E-3</v>
      </c>
    </row>
    <row r="3048" spans="1:7" x14ac:dyDescent="0.25">
      <c r="A3048" s="1">
        <v>41597</v>
      </c>
      <c r="B3048">
        <v>1.0768749713897701</v>
      </c>
      <c r="C3048">
        <f>C3049*(1+G3048*3)</f>
        <v>1.0122316313600612</v>
      </c>
      <c r="D3048">
        <f t="shared" si="96"/>
        <v>1.0755753015646077</v>
      </c>
      <c r="F3048">
        <v>3378.1298828125</v>
      </c>
      <c r="G3048">
        <f t="shared" si="95"/>
        <v>-3.1692670428790093E-3</v>
      </c>
    </row>
    <row r="3049" spans="1:7" x14ac:dyDescent="0.25">
      <c r="A3049" s="1">
        <v>41596</v>
      </c>
      <c r="B3049">
        <v>1.0876040458679199</v>
      </c>
      <c r="C3049">
        <f>C3050*(1+G3049*3)</f>
        <v>1.0219481107609627</v>
      </c>
      <c r="D3049">
        <f t="shared" si="96"/>
        <v>1.0857959591096653</v>
      </c>
      <c r="F3049">
        <v>3388.8701171875</v>
      </c>
      <c r="G3049">
        <f t="shared" si="95"/>
        <v>-9.8492833383075906E-3</v>
      </c>
    </row>
    <row r="3050" spans="1:7" x14ac:dyDescent="0.25">
      <c r="A3050" s="1">
        <v>41593</v>
      </c>
      <c r="B3050">
        <v>1.11854195594787</v>
      </c>
      <c r="C3050">
        <f>C3051*(1+G3050*3)</f>
        <v>1.0530638844755791</v>
      </c>
      <c r="D3050">
        <f t="shared" si="96"/>
        <v>1.1187465169737503</v>
      </c>
      <c r="F3050">
        <v>3422.580078125</v>
      </c>
      <c r="G3050">
        <f t="shared" si="95"/>
        <v>2.1785888077525684E-3</v>
      </c>
    </row>
    <row r="3051" spans="1:7" x14ac:dyDescent="0.25">
      <c r="A3051" s="1">
        <v>41592</v>
      </c>
      <c r="B3051">
        <v>1.1108330488204901</v>
      </c>
      <c r="C3051">
        <f>C3052*(1+G3051*3)</f>
        <v>1.0462259957414726</v>
      </c>
      <c r="D3051">
        <f t="shared" si="96"/>
        <v>1.1113775148855018</v>
      </c>
      <c r="F3051">
        <v>3415.13989257812</v>
      </c>
      <c r="G3051">
        <f t="shared" si="95"/>
        <v>2.8129981029685336E-3</v>
      </c>
    </row>
    <row r="3052" spans="1:7" x14ac:dyDescent="0.25">
      <c r="A3052" s="1">
        <v>41591</v>
      </c>
      <c r="B3052">
        <v>1.1022919416427599</v>
      </c>
      <c r="C3052">
        <f>C3053*(1+G3052*3)</f>
        <v>1.0374707856854175</v>
      </c>
      <c r="D3052">
        <f t="shared" si="96"/>
        <v>1.1019735590337545</v>
      </c>
      <c r="F3052">
        <v>3405.56005859375</v>
      </c>
      <c r="G3052">
        <f t="shared" si="95"/>
        <v>1.1984345307473498E-2</v>
      </c>
    </row>
    <row r="3053" spans="1:7" x14ac:dyDescent="0.25">
      <c r="A3053" s="1">
        <v>41590</v>
      </c>
      <c r="B3053">
        <v>1.0641670227050699</v>
      </c>
      <c r="C3053">
        <f>C3054*(1+G3053*3)</f>
        <v>1.0014650758387378</v>
      </c>
      <c r="D3053">
        <f t="shared" si="96"/>
        <v>1.0636319854919336</v>
      </c>
      <c r="F3053">
        <v>3365.22998046875</v>
      </c>
      <c r="G3053">
        <f t="shared" si="95"/>
        <v>6.6904947786405877E-4</v>
      </c>
    </row>
    <row r="3054" spans="1:7" x14ac:dyDescent="0.25">
      <c r="A3054" s="1">
        <v>41589</v>
      </c>
      <c r="B3054">
        <v>1.0589580535888601</v>
      </c>
      <c r="C3054">
        <f>C3055*(1+G3054*3)</f>
        <v>0.99945901324586173</v>
      </c>
      <c r="D3054">
        <f t="shared" si="96"/>
        <v>1.0614010328853418</v>
      </c>
      <c r="F3054">
        <v>3362.97998046875</v>
      </c>
      <c r="G3054">
        <f t="shared" si="95"/>
        <v>-1.1465075029115646E-3</v>
      </c>
    </row>
    <row r="3055" spans="1:7" x14ac:dyDescent="0.25">
      <c r="A3055" s="1">
        <v>41586</v>
      </c>
      <c r="B3055">
        <v>1.0640629529953001</v>
      </c>
      <c r="C3055">
        <f>C3056*(1+G3055*3)</f>
        <v>1.0029085397425084</v>
      </c>
      <c r="D3055">
        <f t="shared" si="96"/>
        <v>1.0649630967513251</v>
      </c>
      <c r="F3055">
        <v>3366.84008789062</v>
      </c>
      <c r="G3055">
        <f t="shared" si="95"/>
        <v>1.3677979226718762E-2</v>
      </c>
    </row>
    <row r="3056" spans="1:7" x14ac:dyDescent="0.25">
      <c r="A3056" s="1">
        <v>41585</v>
      </c>
      <c r="B3056">
        <v>1.0236459970474201</v>
      </c>
      <c r="C3056">
        <f>C3057*(1+G3056*3)</f>
        <v>0.96337737266989909</v>
      </c>
      <c r="D3056">
        <f t="shared" si="96"/>
        <v>1.0228928601714102</v>
      </c>
      <c r="F3056">
        <v>3321.40991210937</v>
      </c>
      <c r="G3056">
        <f t="shared" si="95"/>
        <v>-1.8895950504079106E-2</v>
      </c>
    </row>
    <row r="3057" spans="1:7" x14ac:dyDescent="0.25">
      <c r="A3057" s="1">
        <v>41584</v>
      </c>
      <c r="B3057">
        <v>1.0837500095367401</v>
      </c>
      <c r="C3057">
        <f>C3058*(1+G3057*3)</f>
        <v>1.0212710333629258</v>
      </c>
      <c r="D3057">
        <f t="shared" si="96"/>
        <v>1.0842541712076987</v>
      </c>
      <c r="F3057">
        <v>3385.3798828125</v>
      </c>
      <c r="G3057">
        <f t="shared" si="95"/>
        <v>-1.0151573342562781E-3</v>
      </c>
    </row>
    <row r="3058" spans="1:7" x14ac:dyDescent="0.25">
      <c r="A3058" s="1">
        <v>41583</v>
      </c>
      <c r="B3058">
        <v>1.0856250524520801</v>
      </c>
      <c r="C3058">
        <f>C3059*(1+G3058*3)</f>
        <v>1.0243907868240929</v>
      </c>
      <c r="D3058">
        <f t="shared" si="96"/>
        <v>1.0874629768144373</v>
      </c>
      <c r="F3058">
        <v>3388.82006835937</v>
      </c>
      <c r="G3058">
        <f t="shared" si="95"/>
        <v>1.2024723714809671E-3</v>
      </c>
    </row>
    <row r="3059" spans="1:7" x14ac:dyDescent="0.25">
      <c r="A3059" s="1">
        <v>41582</v>
      </c>
      <c r="B3059">
        <v>1.0810420513153001</v>
      </c>
      <c r="C3059">
        <f>C3060*(1+G3059*3)</f>
        <v>1.0207086649174097</v>
      </c>
      <c r="D3059">
        <f t="shared" si="96"/>
        <v>1.0834518616188862</v>
      </c>
      <c r="F3059">
        <v>3384.75</v>
      </c>
      <c r="G3059">
        <f t="shared" si="95"/>
        <v>1.4764333029451127E-3</v>
      </c>
    </row>
    <row r="3060" spans="1:7" x14ac:dyDescent="0.25">
      <c r="A3060" s="1">
        <v>41579</v>
      </c>
      <c r="B3060">
        <v>1.0758329629898</v>
      </c>
      <c r="C3060">
        <f>C3061*(1+G3060*3)</f>
        <v>1.0162075767901753</v>
      </c>
      <c r="D3060">
        <f t="shared" si="96"/>
        <v>1.0785723511078289</v>
      </c>
      <c r="F3060">
        <v>3379.76000976562</v>
      </c>
      <c r="G3060">
        <f t="shared" si="95"/>
        <v>6.0100402003970821E-4</v>
      </c>
    </row>
    <row r="3061" spans="1:7" x14ac:dyDescent="0.25">
      <c r="A3061" s="1">
        <v>41578</v>
      </c>
      <c r="B3061">
        <v>1.07635402679443</v>
      </c>
      <c r="C3061">
        <f>C3062*(1+G3061*3)</f>
        <v>1.0143786398689643</v>
      </c>
      <c r="D3061">
        <f t="shared" si="96"/>
        <v>1.0765293591602738</v>
      </c>
      <c r="F3061">
        <v>3377.72998046875</v>
      </c>
      <c r="G3061">
        <f t="shared" si="95"/>
        <v>-2.2596880139178488E-3</v>
      </c>
    </row>
    <row r="3062" spans="1:7" x14ac:dyDescent="0.25">
      <c r="A3062" s="1">
        <v>41577</v>
      </c>
      <c r="B3062">
        <v>1.0833330154418901</v>
      </c>
      <c r="C3062">
        <f>C3063*(1+G3062*3)</f>
        <v>1.0213021122941848</v>
      </c>
      <c r="D3062">
        <f t="shared" si="96"/>
        <v>1.0837736472265116</v>
      </c>
      <c r="F3062">
        <v>3385.3798828125</v>
      </c>
      <c r="G3062">
        <f t="shared" si="95"/>
        <v>-1.8781210842485629E-3</v>
      </c>
    </row>
    <row r="3063" spans="1:7" x14ac:dyDescent="0.25">
      <c r="A3063" s="1">
        <v>41576</v>
      </c>
      <c r="B3063">
        <v>1.08677101135253</v>
      </c>
      <c r="C3063">
        <f>C3064*(1+G3063*3)</f>
        <v>1.0270891054069853</v>
      </c>
      <c r="D3063">
        <f t="shared" si="96"/>
        <v>1.0898107821623095</v>
      </c>
      <c r="F3063">
        <v>3391.75</v>
      </c>
      <c r="G3063">
        <f t="shared" si="95"/>
        <v>2.6813262095952695E-3</v>
      </c>
    </row>
    <row r="3064" spans="1:7" x14ac:dyDescent="0.25">
      <c r="A3064" s="1">
        <v>41575</v>
      </c>
      <c r="B3064">
        <v>1.0815629959106401</v>
      </c>
      <c r="C3064">
        <f>C3065*(1+G3064*3)</f>
        <v>1.018893150677916</v>
      </c>
      <c r="D3064">
        <f t="shared" si="96"/>
        <v>1.0810127176551807</v>
      </c>
      <c r="F3064">
        <v>3382.67993164062</v>
      </c>
      <c r="G3064">
        <f t="shared" si="95"/>
        <v>-3.3989486996266471E-4</v>
      </c>
    </row>
    <row r="3065" spans="1:7" x14ac:dyDescent="0.25">
      <c r="A3065" s="1">
        <v>41572</v>
      </c>
      <c r="B3065">
        <v>1.0793750286102199</v>
      </c>
      <c r="C3065">
        <f>C3066*(1+G3065*3)</f>
        <v>1.0199331608251239</v>
      </c>
      <c r="D3065">
        <f t="shared" si="96"/>
        <v>1.0820135140531291</v>
      </c>
      <c r="F3065">
        <v>3383.830078125</v>
      </c>
      <c r="G3065">
        <f t="shared" si="95"/>
        <v>6.3794681327196123E-3</v>
      </c>
    </row>
    <row r="3066" spans="1:7" x14ac:dyDescent="0.25">
      <c r="A3066" s="1">
        <v>41571</v>
      </c>
      <c r="B3066">
        <v>1.0582289695739699</v>
      </c>
      <c r="C3066">
        <f>C3067*(1+G3066*3)</f>
        <v>1.0007798316926682</v>
      </c>
      <c r="D3066">
        <f t="shared" si="96"/>
        <v>1.0615956848997132</v>
      </c>
      <c r="F3066">
        <v>3362.3798828125</v>
      </c>
      <c r="G3066">
        <f t="shared" si="95"/>
        <v>4.8803316585475098E-3</v>
      </c>
    </row>
    <row r="3067" spans="1:7" x14ac:dyDescent="0.25">
      <c r="A3067" s="1">
        <v>41570</v>
      </c>
      <c r="B3067">
        <v>1.0452079772949201</v>
      </c>
      <c r="C3067">
        <f>C3068*(1+G3067*3)</f>
        <v>0.98633884955209483</v>
      </c>
      <c r="D3067">
        <f t="shared" si="96"/>
        <v>1.0461794557376285</v>
      </c>
      <c r="F3067">
        <v>3346.05004882812</v>
      </c>
      <c r="G3067">
        <f t="shared" si="95"/>
        <v>-6.2014604510423066E-3</v>
      </c>
    </row>
    <row r="3068" spans="1:7" x14ac:dyDescent="0.25">
      <c r="A3068" s="1">
        <v>41569</v>
      </c>
      <c r="B3068">
        <v>1.0622919797897299</v>
      </c>
      <c r="C3068">
        <f>C3069*(1+G3068*3)</f>
        <v>1.005036940058931</v>
      </c>
      <c r="D3068">
        <f t="shared" si="96"/>
        <v>1.0659090437750876</v>
      </c>
      <c r="F3068">
        <v>3366.92993164062</v>
      </c>
      <c r="G3068">
        <f t="shared" si="95"/>
        <v>1.7107087739849369E-3</v>
      </c>
    </row>
    <row r="3069" spans="1:7" x14ac:dyDescent="0.25">
      <c r="A3069" s="1">
        <v>41568</v>
      </c>
      <c r="B3069">
        <v>1.0586459636688199</v>
      </c>
      <c r="C3069">
        <f>C3070*(1+G3069*3)</f>
        <v>0.99990529975061859</v>
      </c>
      <c r="D3069">
        <f t="shared" si="96"/>
        <v>1.0603666430334227</v>
      </c>
      <c r="F3069">
        <v>3361.17993164062</v>
      </c>
      <c r="G3069">
        <f t="shared" si="95"/>
        <v>2.1765981738135487E-3</v>
      </c>
    </row>
    <row r="3070" spans="1:7" x14ac:dyDescent="0.25">
      <c r="A3070" s="1">
        <v>41565</v>
      </c>
      <c r="B3070">
        <v>1.0526039600372299</v>
      </c>
      <c r="C3070">
        <f>C3071*(1+G3070*3)</f>
        <v>0.99341848119461607</v>
      </c>
      <c r="D3070">
        <f t="shared" si="96"/>
        <v>1.0533884290144513</v>
      </c>
      <c r="F3070">
        <v>3353.8798828125</v>
      </c>
      <c r="G3070">
        <f t="shared" si="95"/>
        <v>1.5933169270355041E-2</v>
      </c>
    </row>
    <row r="3071" spans="1:7" x14ac:dyDescent="0.25">
      <c r="A3071" s="1">
        <v>41564</v>
      </c>
      <c r="B3071">
        <v>1.0030210018157899</v>
      </c>
      <c r="C3071">
        <f>C3072*(1+G3071*3)</f>
        <v>0.94809977842988757</v>
      </c>
      <c r="D3071">
        <f t="shared" si="96"/>
        <v>1.0052430629168081</v>
      </c>
      <c r="F3071">
        <v>3301.28002929687</v>
      </c>
      <c r="G3071">
        <f t="shared" si="95"/>
        <v>5.9756489496864962E-3</v>
      </c>
    </row>
    <row r="3072" spans="1:7" x14ac:dyDescent="0.25">
      <c r="A3072" s="1">
        <v>41563</v>
      </c>
      <c r="B3072">
        <v>0.98708301782607999</v>
      </c>
      <c r="C3072">
        <f>C3073*(1+G3072*3)</f>
        <v>0.93140257399087589</v>
      </c>
      <c r="D3072">
        <f t="shared" si="96"/>
        <v>0.98744758610960037</v>
      </c>
      <c r="F3072">
        <v>3281.669921875</v>
      </c>
      <c r="G3072">
        <f t="shared" si="95"/>
        <v>1.1406437274829706E-2</v>
      </c>
    </row>
    <row r="3073" spans="1:7" x14ac:dyDescent="0.25">
      <c r="A3073" s="1">
        <v>41562</v>
      </c>
      <c r="B3073">
        <v>0.954478979110717</v>
      </c>
      <c r="C3073">
        <f>C3074*(1+G3073*3)</f>
        <v>0.90058516925947563</v>
      </c>
      <c r="D3073">
        <f t="shared" si="96"/>
        <v>0.95468835497699767</v>
      </c>
      <c r="F3073">
        <v>3244.65991210937</v>
      </c>
      <c r="G3073">
        <f t="shared" si="95"/>
        <v>-3.4889550290649884E-3</v>
      </c>
    </row>
    <row r="3074" spans="1:7" x14ac:dyDescent="0.25">
      <c r="A3074" s="1">
        <v>41561</v>
      </c>
      <c r="B3074">
        <v>0.96479201316833496</v>
      </c>
      <c r="C3074">
        <f>C3075*(1+G3074*3)</f>
        <v>0.91011118019694481</v>
      </c>
      <c r="D3074">
        <f t="shared" si="96"/>
        <v>0.96469427921113682</v>
      </c>
      <c r="F3074">
        <v>3256.02001953125</v>
      </c>
      <c r="G3074">
        <f t="shared" ref="G3074:G3137" si="97">F3074/F3075-1</f>
        <v>6.8618142790966008E-3</v>
      </c>
    </row>
    <row r="3075" spans="1:7" x14ac:dyDescent="0.25">
      <c r="A3075" s="1">
        <v>41558</v>
      </c>
      <c r="B3075">
        <v>0.94520801305770796</v>
      </c>
      <c r="C3075">
        <f>C3076*(1+G3075*3)</f>
        <v>0.89175402861594832</v>
      </c>
      <c r="D3075">
        <f t="shared" si="96"/>
        <v>0.94514843145106264</v>
      </c>
      <c r="F3075">
        <v>3233.830078125</v>
      </c>
      <c r="G3075">
        <f t="shared" si="97"/>
        <v>7.1601168557364758E-3</v>
      </c>
    </row>
    <row r="3076" spans="1:7" x14ac:dyDescent="0.25">
      <c r="A3076" s="1">
        <v>41557</v>
      </c>
      <c r="B3076">
        <v>0.92437499761581399</v>
      </c>
      <c r="C3076">
        <f>C3077*(1+G3076*3)</f>
        <v>0.87300164718858619</v>
      </c>
      <c r="D3076">
        <f t="shared" si="96"/>
        <v>0.92518742371725005</v>
      </c>
      <c r="F3076">
        <v>3210.84008789062</v>
      </c>
      <c r="G3076">
        <f t="shared" si="97"/>
        <v>2.1734026608773327E-2</v>
      </c>
    </row>
    <row r="3077" spans="1:7" x14ac:dyDescent="0.25">
      <c r="A3077" s="1">
        <v>41556</v>
      </c>
      <c r="B3077">
        <v>0.86916697025298995</v>
      </c>
      <c r="C3077">
        <f>C3078*(1+G3077*3)</f>
        <v>0.81956434719966764</v>
      </c>
      <c r="D3077">
        <f t="shared" si="96"/>
        <v>0.86847853250512363</v>
      </c>
      <c r="F3077">
        <v>3142.5400390625</v>
      </c>
      <c r="G3077">
        <f t="shared" si="97"/>
        <v>-3.592436499922691E-3</v>
      </c>
    </row>
    <row r="3078" spans="1:7" x14ac:dyDescent="0.25">
      <c r="A3078" s="1">
        <v>41555</v>
      </c>
      <c r="B3078">
        <v>0.87885397672653198</v>
      </c>
      <c r="C3078">
        <f>C3079*(1+G3078*3)</f>
        <v>0.82849327564982245</v>
      </c>
      <c r="D3078">
        <f t="shared" si="96"/>
        <v>0.87785628831022089</v>
      </c>
      <c r="F3078">
        <v>3153.8701171875</v>
      </c>
      <c r="G3078">
        <f t="shared" si="97"/>
        <v>-1.9224435609521362E-2</v>
      </c>
    </row>
    <row r="3079" spans="1:7" x14ac:dyDescent="0.25">
      <c r="A3079" s="1">
        <v>41554</v>
      </c>
      <c r="B3079">
        <v>0.931563019752502</v>
      </c>
      <c r="C3079">
        <f>C3080*(1+G3079*3)</f>
        <v>0.8791996254096307</v>
      </c>
      <c r="D3079">
        <f t="shared" si="96"/>
        <v>0.93149015090271359</v>
      </c>
      <c r="F3079">
        <v>3215.68994140625</v>
      </c>
      <c r="G3079">
        <f t="shared" si="97"/>
        <v>-8.2897597851202542E-3</v>
      </c>
    </row>
    <row r="3080" spans="1:7" x14ac:dyDescent="0.25">
      <c r="A3080" s="1">
        <v>41551</v>
      </c>
      <c r="B3080">
        <v>0.95520800352096502</v>
      </c>
      <c r="C3080">
        <f>C3081*(1+G3080*3)</f>
        <v>0.90162232282909682</v>
      </c>
      <c r="D3080">
        <f t="shared" si="96"/>
        <v>0.9551536368222433</v>
      </c>
      <c r="F3080">
        <v>3242.57006835937</v>
      </c>
      <c r="G3080">
        <f t="shared" si="97"/>
        <v>8.942597939445962E-3</v>
      </c>
    </row>
    <row r="3081" spans="1:7" x14ac:dyDescent="0.25">
      <c r="A3081" s="1">
        <v>41550</v>
      </c>
      <c r="B3081">
        <v>0.93124997615814198</v>
      </c>
      <c r="C3081">
        <f>C3082*(1+G3081*3)</f>
        <v>0.8780657557742424</v>
      </c>
      <c r="D3081">
        <f t="shared" si="96"/>
        <v>0.93011264244753233</v>
      </c>
      <c r="F3081">
        <v>3213.830078125</v>
      </c>
      <c r="G3081">
        <f t="shared" si="97"/>
        <v>-1.2120129200328122E-2</v>
      </c>
    </row>
    <row r="3082" spans="1:7" x14ac:dyDescent="0.25">
      <c r="A3082" s="1">
        <v>41549</v>
      </c>
      <c r="B3082">
        <v>0.96479201316833496</v>
      </c>
      <c r="C3082">
        <f>C3083*(1+G3082*3)</f>
        <v>0.91119724062428897</v>
      </c>
      <c r="D3082">
        <f t="shared" si="96"/>
        <v>0.9651130880922556</v>
      </c>
      <c r="F3082">
        <v>3253.26000976562</v>
      </c>
      <c r="G3082">
        <f t="shared" si="97"/>
        <v>6.4542793485555805E-5</v>
      </c>
    </row>
    <row r="3083" spans="1:7" x14ac:dyDescent="0.25">
      <c r="A3083" s="1">
        <v>41548</v>
      </c>
      <c r="B3083">
        <v>0.96656298637390103</v>
      </c>
      <c r="C3083">
        <f>C3084*(1+G3083*3)</f>
        <v>0.91102084113425785</v>
      </c>
      <c r="D3083">
        <f t="shared" si="96"/>
        <v>0.96483485472624841</v>
      </c>
      <c r="F3083">
        <v>3253.05004882812</v>
      </c>
      <c r="G3083">
        <f t="shared" si="97"/>
        <v>1.0829065373504809E-2</v>
      </c>
    </row>
    <row r="3084" spans="1:7" x14ac:dyDescent="0.25">
      <c r="A3084" s="1">
        <v>41547</v>
      </c>
      <c r="B3084">
        <v>0.93843799829482999</v>
      </c>
      <c r="C3084">
        <f>C3085*(1+G3084*3)</f>
        <v>0.88235558228454902</v>
      </c>
      <c r="D3084">
        <f t="shared" ref="D3084:D3147" si="98">D3085*(1+3*G3084--0.0000947457020553289)</f>
        <v>0.93439059472922459</v>
      </c>
      <c r="F3084">
        <v>3218.19995117187</v>
      </c>
      <c r="G3084">
        <f t="shared" si="97"/>
        <v>-3.7458123002039878E-3</v>
      </c>
    </row>
    <row r="3085" spans="1:7" x14ac:dyDescent="0.25">
      <c r="A3085" s="1">
        <v>41544</v>
      </c>
      <c r="B3085">
        <v>0.94437497854232699</v>
      </c>
      <c r="C3085">
        <f>C3086*(1+G3085*3)</f>
        <v>0.89238368766582921</v>
      </c>
      <c r="D3085">
        <f t="shared" si="98"/>
        <v>0.94491954138637468</v>
      </c>
      <c r="F3085">
        <v>3230.30004882812</v>
      </c>
      <c r="G3085">
        <f t="shared" si="97"/>
        <v>-1.1564452478034504E-3</v>
      </c>
    </row>
    <row r="3086" spans="1:7" x14ac:dyDescent="0.25">
      <c r="A3086" s="1">
        <v>41543</v>
      </c>
      <c r="B3086">
        <v>0.94885402917861905</v>
      </c>
      <c r="C3086">
        <f>C3087*(1+G3086*3)</f>
        <v>0.8954904446734171</v>
      </c>
      <c r="D3086">
        <f t="shared" si="98"/>
        <v>0.94811905450572864</v>
      </c>
      <c r="F3086">
        <v>3234.0400390625</v>
      </c>
      <c r="G3086">
        <f t="shared" si="97"/>
        <v>7.9443953955744551E-3</v>
      </c>
    </row>
    <row r="3087" spans="1:7" x14ac:dyDescent="0.25">
      <c r="A3087" s="1">
        <v>41542</v>
      </c>
      <c r="B3087">
        <v>0.927604019641876</v>
      </c>
      <c r="C3087">
        <f>C3088*(1+G3087*3)</f>
        <v>0.87464487062455942</v>
      </c>
      <c r="D3087">
        <f t="shared" si="98"/>
        <v>0.92596268250714686</v>
      </c>
      <c r="F3087">
        <v>3208.55004882812</v>
      </c>
      <c r="G3087">
        <f t="shared" si="97"/>
        <v>-3.1410163103017252E-3</v>
      </c>
    </row>
    <row r="3088" spans="1:7" x14ac:dyDescent="0.25">
      <c r="A3088" s="1">
        <v>41541</v>
      </c>
      <c r="B3088">
        <v>0.93645799160003595</v>
      </c>
      <c r="C3088">
        <f>C3089*(1+G3088*3)</f>
        <v>0.88296509390874278</v>
      </c>
      <c r="D3088">
        <f t="shared" si="98"/>
        <v>0.93468167660900536</v>
      </c>
      <c r="F3088">
        <v>3218.65991210937</v>
      </c>
      <c r="G3088">
        <f t="shared" si="97"/>
        <v>-2.1127801433851179E-4</v>
      </c>
    </row>
    <row r="3089" spans="1:7" x14ac:dyDescent="0.25">
      <c r="A3089" s="1">
        <v>41540</v>
      </c>
      <c r="B3089">
        <v>0.93624997138976995</v>
      </c>
      <c r="C3089">
        <f>C3090*(1+G3089*3)</f>
        <v>0.88352510219637359</v>
      </c>
      <c r="D3089">
        <f t="shared" si="98"/>
        <v>0.93518582438356179</v>
      </c>
      <c r="F3089">
        <v>3219.34008789062</v>
      </c>
      <c r="G3089">
        <f t="shared" si="97"/>
        <v>-1.671424463683735E-3</v>
      </c>
    </row>
    <row r="3090" spans="1:7" x14ac:dyDescent="0.25">
      <c r="A3090" s="1">
        <v>41537</v>
      </c>
      <c r="B3090">
        <v>0.94156301021575906</v>
      </c>
      <c r="C3090">
        <f>C3091*(1+G3090*3)</f>
        <v>0.88797766497369901</v>
      </c>
      <c r="D3090">
        <f t="shared" si="98"/>
        <v>0.93980924197181637</v>
      </c>
      <c r="F3090">
        <v>3224.72998046875</v>
      </c>
      <c r="G3090">
        <f t="shared" si="97"/>
        <v>-3.9782822902589832E-3</v>
      </c>
    </row>
    <row r="3091" spans="1:7" x14ac:dyDescent="0.25">
      <c r="A3091" s="1">
        <v>41536</v>
      </c>
      <c r="B3091">
        <v>0.95197898149490301</v>
      </c>
      <c r="C3091">
        <f>C3092*(1+G3091*3)</f>
        <v>0.89870355427620852</v>
      </c>
      <c r="D3091">
        <f t="shared" si="98"/>
        <v>0.9510700070741106</v>
      </c>
      <c r="F3091">
        <v>3237.61010742187</v>
      </c>
      <c r="G3091">
        <f t="shared" si="97"/>
        <v>1.949688737348243E-3</v>
      </c>
    </row>
    <row r="3092" spans="1:7" x14ac:dyDescent="0.25">
      <c r="A3092" s="1">
        <v>41535</v>
      </c>
      <c r="B3092">
        <v>0.94614601135253895</v>
      </c>
      <c r="C3092">
        <f>C3093*(1+G3092*3)</f>
        <v>0.89347754495678111</v>
      </c>
      <c r="D3092">
        <f t="shared" si="98"/>
        <v>0.94545042755859687</v>
      </c>
      <c r="F3092">
        <v>3231.31005859375</v>
      </c>
      <c r="G3092">
        <f t="shared" si="97"/>
        <v>1.2686347902467032E-2</v>
      </c>
    </row>
    <row r="3093" spans="1:7" x14ac:dyDescent="0.25">
      <c r="A3093" s="1">
        <v>41534</v>
      </c>
      <c r="B3093">
        <v>0.91260397434234597</v>
      </c>
      <c r="C3093">
        <f>C3094*(1+G3093*3)</f>
        <v>0.8607193881436157</v>
      </c>
      <c r="D3093">
        <f t="shared" si="98"/>
        <v>0.91070363293323542</v>
      </c>
      <c r="F3093">
        <v>3190.830078125</v>
      </c>
      <c r="G3093">
        <f t="shared" si="97"/>
        <v>6.9871578248910104E-3</v>
      </c>
    </row>
    <row r="3094" spans="1:7" x14ac:dyDescent="0.25">
      <c r="A3094" s="1">
        <v>41533</v>
      </c>
      <c r="B3094">
        <v>0.89468801021575906</v>
      </c>
      <c r="C3094">
        <f>C3095*(1+G3094*3)</f>
        <v>0.843047862731098</v>
      </c>
      <c r="D3094">
        <f t="shared" si="98"/>
        <v>0.89192310455493873</v>
      </c>
      <c r="F3094">
        <v>3168.68994140625</v>
      </c>
      <c r="G3094">
        <f t="shared" si="97"/>
        <v>-3.0173829247958084E-3</v>
      </c>
    </row>
    <row r="3095" spans="1:7" x14ac:dyDescent="0.25">
      <c r="A3095" s="1">
        <v>41530</v>
      </c>
      <c r="B3095">
        <v>0.90229201316833496</v>
      </c>
      <c r="C3095">
        <f>C3096*(1+G3095*3)</f>
        <v>0.85074896896785168</v>
      </c>
      <c r="D3095">
        <f t="shared" si="98"/>
        <v>0.89998462964154147</v>
      </c>
      <c r="F3095">
        <v>3178.28002929687</v>
      </c>
      <c r="G3095">
        <f t="shared" si="97"/>
        <v>8.5337778073335535E-4</v>
      </c>
    </row>
    <row r="3096" spans="1:7" x14ac:dyDescent="0.25">
      <c r="A3096" s="1">
        <v>41529</v>
      </c>
      <c r="B3096">
        <v>0.89937502145767201</v>
      </c>
      <c r="C3096">
        <f>C3097*(1+G3096*3)</f>
        <v>0.84857649997685347</v>
      </c>
      <c r="D3096">
        <f t="shared" si="98"/>
        <v>0.89760160594782068</v>
      </c>
      <c r="F3096">
        <v>3175.57006835937</v>
      </c>
      <c r="G3096">
        <f t="shared" si="97"/>
        <v>-1.3491282375872604E-3</v>
      </c>
    </row>
    <row r="3097" spans="1:7" x14ac:dyDescent="0.25">
      <c r="A3097" s="1">
        <v>41528</v>
      </c>
      <c r="B3097">
        <v>0.90343797206878595</v>
      </c>
      <c r="C3097">
        <f>C3098*(1+G3097*3)</f>
        <v>0.85202497282676382</v>
      </c>
      <c r="D3097">
        <f t="shared" si="98"/>
        <v>0.90116358027022458</v>
      </c>
      <c r="F3097">
        <v>3179.86010742187</v>
      </c>
      <c r="G3097">
        <f t="shared" si="97"/>
        <v>-1.6357445285917205E-3</v>
      </c>
    </row>
    <row r="3098" spans="1:7" x14ac:dyDescent="0.25">
      <c r="A3098" s="1">
        <v>41527</v>
      </c>
      <c r="B3098">
        <v>0.90802097320556596</v>
      </c>
      <c r="C3098">
        <f>C3099*(1+G3098*3)</f>
        <v>0.8562266771338316</v>
      </c>
      <c r="D3098">
        <f t="shared" si="98"/>
        <v>0.90552139099282669</v>
      </c>
      <c r="F3098">
        <v>3185.07006835937</v>
      </c>
      <c r="G3098">
        <f t="shared" si="97"/>
        <v>4.776173936095196E-3</v>
      </c>
    </row>
    <row r="3099" spans="1:7" x14ac:dyDescent="0.25">
      <c r="A3099" s="1">
        <v>41526</v>
      </c>
      <c r="B3099">
        <v>0.89447897672653198</v>
      </c>
      <c r="C3099">
        <f>C3100*(1+G3099*3)</f>
        <v>0.84413152023705373</v>
      </c>
      <c r="D3099">
        <f t="shared" si="98"/>
        <v>0.89264651156436137</v>
      </c>
      <c r="F3099">
        <v>3169.92993164062</v>
      </c>
      <c r="G3099">
        <f t="shared" si="97"/>
        <v>1.1664735906618873E-2</v>
      </c>
    </row>
    <row r="3100" spans="1:7" x14ac:dyDescent="0.25">
      <c r="A3100" s="1">
        <v>41523</v>
      </c>
      <c r="B3100">
        <v>0.86406302452087402</v>
      </c>
      <c r="C3100">
        <f>C3101*(1+G3100*3)</f>
        <v>0.81559057426680404</v>
      </c>
      <c r="D3100">
        <f t="shared" si="98"/>
        <v>0.86238627956887326</v>
      </c>
      <c r="F3100">
        <v>3133.3798828125</v>
      </c>
      <c r="G3100">
        <f t="shared" si="97"/>
        <v>1.0990439020068798E-3</v>
      </c>
    </row>
    <row r="3101" spans="1:7" x14ac:dyDescent="0.25">
      <c r="A3101" s="1">
        <v>41522</v>
      </c>
      <c r="B3101">
        <v>0.86093801259994496</v>
      </c>
      <c r="C3101">
        <f>C3102*(1+G3101*3)</f>
        <v>0.81291030193613956</v>
      </c>
      <c r="D3101">
        <f t="shared" si="98"/>
        <v>0.85947105910061483</v>
      </c>
      <c r="F3101">
        <v>3129.93994140625</v>
      </c>
      <c r="G3101">
        <f t="shared" si="97"/>
        <v>1.7282231228408218E-3</v>
      </c>
    </row>
    <row r="3102" spans="1:7" x14ac:dyDescent="0.25">
      <c r="A3102" s="1">
        <v>41521</v>
      </c>
      <c r="B3102">
        <v>0.85718798637390103</v>
      </c>
      <c r="C3102">
        <f>C3103*(1+G3102*3)</f>
        <v>0.80871736976134589</v>
      </c>
      <c r="D3102">
        <f t="shared" si="98"/>
        <v>0.85495738420175837</v>
      </c>
      <c r="F3102">
        <v>3124.5400390625</v>
      </c>
      <c r="G3102">
        <f t="shared" si="97"/>
        <v>1.0602384788386265E-2</v>
      </c>
    </row>
    <row r="3103" spans="1:7" x14ac:dyDescent="0.25">
      <c r="A3103" s="1">
        <v>41520</v>
      </c>
      <c r="B3103">
        <v>0.83010399341583196</v>
      </c>
      <c r="C3103">
        <f>C3104*(1+G3103*3)</f>
        <v>0.78378732531557838</v>
      </c>
      <c r="D3103">
        <f t="shared" si="98"/>
        <v>0.82852583578542671</v>
      </c>
      <c r="F3103">
        <v>3091.76000976562</v>
      </c>
      <c r="G3103">
        <f t="shared" si="97"/>
        <v>5.839642277728041E-3</v>
      </c>
    </row>
    <row r="3104" spans="1:7" x14ac:dyDescent="0.25">
      <c r="A3104" s="1">
        <v>41516</v>
      </c>
      <c r="B3104">
        <v>0.816667020320892</v>
      </c>
      <c r="C3104">
        <f>C3105*(1+G3104*3)</f>
        <v>0.7702926251749963</v>
      </c>
      <c r="D3104">
        <f t="shared" si="98"/>
        <v>0.81418504698474881</v>
      </c>
      <c r="F3104">
        <v>3073.81005859375</v>
      </c>
      <c r="G3104">
        <f t="shared" si="97"/>
        <v>-6.3200041861319889E-3</v>
      </c>
    </row>
    <row r="3105" spans="1:7" x14ac:dyDescent="0.25">
      <c r="A3105" s="1">
        <v>41515</v>
      </c>
      <c r="B3105">
        <v>0.83218801021575906</v>
      </c>
      <c r="C3105">
        <f>C3106*(1+G3105*3)</f>
        <v>0.78517964102951265</v>
      </c>
      <c r="D3105">
        <f t="shared" si="98"/>
        <v>0.82984020387904711</v>
      </c>
      <c r="F3105">
        <v>3093.36010742187</v>
      </c>
      <c r="G3105">
        <f t="shared" si="97"/>
        <v>6.8974653374436201E-3</v>
      </c>
    </row>
    <row r="3106" spans="1:7" x14ac:dyDescent="0.25">
      <c r="A3106" s="1">
        <v>41514</v>
      </c>
      <c r="B3106">
        <v>0.81531298160552901</v>
      </c>
      <c r="C3106">
        <f>C3107*(1+G3106*3)</f>
        <v>0.76926177181007138</v>
      </c>
      <c r="D3106">
        <f t="shared" si="98"/>
        <v>0.81294147424834484</v>
      </c>
      <c r="F3106">
        <v>3072.169921875</v>
      </c>
      <c r="G3106">
        <f t="shared" si="97"/>
        <v>4.1148927070133734E-3</v>
      </c>
    </row>
    <row r="3107" spans="1:7" x14ac:dyDescent="0.25">
      <c r="A3107" s="1">
        <v>41513</v>
      </c>
      <c r="B3107">
        <v>0.80489599704742398</v>
      </c>
      <c r="C3107">
        <f>C3108*(1+G3107*3)</f>
        <v>0.75988128197390026</v>
      </c>
      <c r="D3107">
        <f t="shared" si="98"/>
        <v>0.80295319909469565</v>
      </c>
      <c r="F3107">
        <v>3059.580078125</v>
      </c>
      <c r="G3107">
        <f t="shared" si="97"/>
        <v>-2.0203814469163528E-2</v>
      </c>
    </row>
    <row r="3108" spans="1:7" x14ac:dyDescent="0.25">
      <c r="A3108" s="1">
        <v>41512</v>
      </c>
      <c r="B3108">
        <v>0.85895800590515103</v>
      </c>
      <c r="C3108">
        <f>C3109*(1+G3108*3)</f>
        <v>0.80891051593203911</v>
      </c>
      <c r="D3108">
        <f t="shared" si="98"/>
        <v>0.85467532752693709</v>
      </c>
      <c r="F3108">
        <v>3122.669921875</v>
      </c>
      <c r="G3108">
        <f t="shared" si="97"/>
        <v>-5.1215088524581009E-4</v>
      </c>
    </row>
    <row r="3109" spans="1:7" x14ac:dyDescent="0.25">
      <c r="A3109" s="1">
        <v>41509</v>
      </c>
      <c r="B3109">
        <v>0.85822898149490301</v>
      </c>
      <c r="C3109">
        <f>C3110*(1+G3109*3)</f>
        <v>0.8101552811653453</v>
      </c>
      <c r="D3109">
        <f t="shared" si="98"/>
        <v>0.85590929791346004</v>
      </c>
      <c r="F3109">
        <v>3124.27001953125</v>
      </c>
      <c r="G3109">
        <f t="shared" si="97"/>
        <v>7.2376703603425074E-3</v>
      </c>
    </row>
    <row r="3110" spans="1:7" x14ac:dyDescent="0.25">
      <c r="A3110" s="1">
        <v>41508</v>
      </c>
      <c r="B3110">
        <v>0.84052097797393799</v>
      </c>
      <c r="C3110">
        <f>C3111*(1+G3110*3)</f>
        <v>0.79293820513077085</v>
      </c>
      <c r="D3110">
        <f t="shared" si="98"/>
        <v>0.83764220053299032</v>
      </c>
      <c r="F3110">
        <v>3101.82006835937</v>
      </c>
      <c r="G3110">
        <f t="shared" si="97"/>
        <v>9.8812939555785739E-3</v>
      </c>
    </row>
    <row r="3111" spans="1:7" x14ac:dyDescent="0.25">
      <c r="A3111" s="1">
        <v>41507</v>
      </c>
      <c r="B3111">
        <v>0.81718802452087402</v>
      </c>
      <c r="C3111">
        <f>C3112*(1+G3111*3)</f>
        <v>0.7701091795866164</v>
      </c>
      <c r="D3111">
        <f t="shared" si="98"/>
        <v>0.81345127599093803</v>
      </c>
      <c r="F3111">
        <v>3071.46997070312</v>
      </c>
      <c r="G3111">
        <f t="shared" si="97"/>
        <v>-3.471564333925814E-3</v>
      </c>
    </row>
    <row r="3112" spans="1:7" x14ac:dyDescent="0.25">
      <c r="A3112" s="1">
        <v>41506</v>
      </c>
      <c r="B3112">
        <v>0.82541698217391901</v>
      </c>
      <c r="C3112">
        <f>C3113*(1+G3112*3)</f>
        <v>0.77821403990186733</v>
      </c>
      <c r="D3112">
        <f t="shared" si="98"/>
        <v>0.82193358729570121</v>
      </c>
      <c r="F3112">
        <v>3082.169921875</v>
      </c>
      <c r="G3112">
        <f t="shared" si="97"/>
        <v>4.0426326715772287E-3</v>
      </c>
    </row>
    <row r="3113" spans="1:7" x14ac:dyDescent="0.25">
      <c r="A3113" s="1">
        <v>41505</v>
      </c>
      <c r="B3113">
        <v>0.81427097320556596</v>
      </c>
      <c r="C3113">
        <f>C3114*(1+G3113*3)</f>
        <v>0.76888903213548243</v>
      </c>
      <c r="D3113">
        <f t="shared" si="98"/>
        <v>0.81200869432997258</v>
      </c>
      <c r="F3113">
        <v>3069.76000976562</v>
      </c>
      <c r="G3113">
        <f t="shared" si="97"/>
        <v>-1.3500403272723727E-3</v>
      </c>
    </row>
    <row r="3114" spans="1:7" x14ac:dyDescent="0.25">
      <c r="A3114" s="1">
        <v>41502</v>
      </c>
      <c r="B3114">
        <v>0.81749999523162797</v>
      </c>
      <c r="C3114">
        <f>C3115*(1+G3114*3)</f>
        <v>0.77201578948276062</v>
      </c>
      <c r="D3114">
        <f t="shared" si="98"/>
        <v>0.81523324776542383</v>
      </c>
      <c r="F3114">
        <v>3073.90991210937</v>
      </c>
      <c r="G3114">
        <f t="shared" si="97"/>
        <v>-7.5419210335714304E-4</v>
      </c>
    </row>
    <row r="3115" spans="1:7" x14ac:dyDescent="0.25">
      <c r="A3115" s="1">
        <v>41501</v>
      </c>
      <c r="B3115">
        <v>0.82041698694229104</v>
      </c>
      <c r="C3115">
        <f>C3116*(1+G3115*3)</f>
        <v>0.77376649522438234</v>
      </c>
      <c r="D3115">
        <f t="shared" si="98"/>
        <v>0.81700437485611999</v>
      </c>
      <c r="F3115">
        <v>3076.22998046875</v>
      </c>
      <c r="G3115">
        <f t="shared" si="97"/>
        <v>-1.7006174098803228E-2</v>
      </c>
    </row>
    <row r="3116" spans="1:7" x14ac:dyDescent="0.25">
      <c r="A3116" s="1">
        <v>41500</v>
      </c>
      <c r="B3116">
        <v>0.86374998092651301</v>
      </c>
      <c r="C3116">
        <f>C3117*(1+G3116*3)</f>
        <v>0.81536522408929935</v>
      </c>
      <c r="D3116">
        <f t="shared" si="98"/>
        <v>0.86084168447967035</v>
      </c>
      <c r="F3116">
        <v>3129.44995117187</v>
      </c>
      <c r="G3116">
        <f t="shared" si="97"/>
        <v>-3.6962385963029698E-3</v>
      </c>
    </row>
    <row r="3117" spans="1:7" x14ac:dyDescent="0.25">
      <c r="A3117" s="1">
        <v>41499</v>
      </c>
      <c r="B3117">
        <v>0.873438000679016</v>
      </c>
      <c r="C3117">
        <f>C3118*(1+G3117*3)</f>
        <v>0.82450795850687564</v>
      </c>
      <c r="D3117">
        <f t="shared" si="98"/>
        <v>0.87041095649868649</v>
      </c>
      <c r="F3117">
        <v>3141.06005859375</v>
      </c>
      <c r="G3117">
        <f t="shared" si="97"/>
        <v>4.8402002872753869E-3</v>
      </c>
    </row>
    <row r="3118" spans="1:7" x14ac:dyDescent="0.25">
      <c r="A3118" s="1">
        <v>41498</v>
      </c>
      <c r="B3118">
        <v>0.859166979789733</v>
      </c>
      <c r="C3118">
        <f>C3119*(1+G3118*3)</f>
        <v>0.81270696504976192</v>
      </c>
      <c r="D3118">
        <f t="shared" si="98"/>
        <v>0.85787284752437398</v>
      </c>
      <c r="F3118">
        <v>3125.92993164062</v>
      </c>
      <c r="G3118">
        <f t="shared" si="97"/>
        <v>2.3600121593938539E-3</v>
      </c>
    </row>
    <row r="3119" spans="1:7" x14ac:dyDescent="0.25">
      <c r="A3119" s="1">
        <v>41495</v>
      </c>
      <c r="B3119">
        <v>0.853854000568389</v>
      </c>
      <c r="C3119">
        <f>C3120*(1+G3119*3)</f>
        <v>0.80699342218305337</v>
      </c>
      <c r="D3119">
        <f t="shared" si="98"/>
        <v>0.85176164326447079</v>
      </c>
      <c r="F3119">
        <v>3118.57006835937</v>
      </c>
      <c r="G3119">
        <f t="shared" si="97"/>
        <v>-3.6930782063085976E-3</v>
      </c>
    </row>
    <row r="3120" spans="1:7" x14ac:dyDescent="0.25">
      <c r="A3120" s="1">
        <v>41494</v>
      </c>
      <c r="B3120">
        <v>0.86312502622604304</v>
      </c>
      <c r="C3120">
        <f>C3121*(1+G3120*3)</f>
        <v>0.81603445941605213</v>
      </c>
      <c r="D3120">
        <f t="shared" si="98"/>
        <v>0.86122172374390371</v>
      </c>
      <c r="F3120">
        <v>3130.1298828125</v>
      </c>
      <c r="G3120">
        <f t="shared" si="97"/>
        <v>3.6681881242390801E-3</v>
      </c>
    </row>
    <row r="3121" spans="1:7" x14ac:dyDescent="0.25">
      <c r="A3121" s="1">
        <v>41493</v>
      </c>
      <c r="B3121">
        <v>0.85177099704742398</v>
      </c>
      <c r="C3121">
        <f>C3122*(1+G3121*3)</f>
        <v>0.80715210214937527</v>
      </c>
      <c r="D3121">
        <f t="shared" si="98"/>
        <v>0.85176769004047181</v>
      </c>
      <c r="F3121">
        <v>3118.68994140625</v>
      </c>
      <c r="G3121">
        <f t="shared" si="97"/>
        <v>-1.1242104351140148E-3</v>
      </c>
    </row>
    <row r="3122" spans="1:7" x14ac:dyDescent="0.25">
      <c r="A3122" s="1">
        <v>41492</v>
      </c>
      <c r="B3122">
        <v>0.85666698217391901</v>
      </c>
      <c r="C3122">
        <f>C3123*(1+G3122*3)</f>
        <v>0.8098835407325311</v>
      </c>
      <c r="D3122">
        <f t="shared" si="98"/>
        <v>0.85456886903329299</v>
      </c>
      <c r="F3122">
        <v>3122.19995117187</v>
      </c>
      <c r="G3122">
        <f t="shared" si="97"/>
        <v>-6.6779261278079316E-3</v>
      </c>
    </row>
    <row r="3123" spans="1:7" x14ac:dyDescent="0.25">
      <c r="A3123" s="1">
        <v>41491</v>
      </c>
      <c r="B3123">
        <v>0.87218797206878595</v>
      </c>
      <c r="C3123">
        <f>C3124*(1+G3123*3)</f>
        <v>0.82644026178425567</v>
      </c>
      <c r="D3123">
        <f t="shared" si="98"/>
        <v>0.87195480437439021</v>
      </c>
      <c r="F3123">
        <v>3143.18994140625</v>
      </c>
      <c r="G3123">
        <f t="shared" si="97"/>
        <v>-1.0500271127567018E-4</v>
      </c>
    </row>
    <row r="3124" spans="1:7" x14ac:dyDescent="0.25">
      <c r="A3124" s="1">
        <v>41488</v>
      </c>
      <c r="B3124">
        <v>0.87031298875808705</v>
      </c>
      <c r="C3124">
        <f>C3125*(1+G3124*3)</f>
        <v>0.82670067922245105</v>
      </c>
      <c r="D3124">
        <f t="shared" si="98"/>
        <v>0.87214690557267371</v>
      </c>
      <c r="F3124">
        <v>3143.52001953125</v>
      </c>
      <c r="G3124">
        <f t="shared" si="97"/>
        <v>5.5080991696829784E-3</v>
      </c>
    </row>
    <row r="3125" spans="1:7" x14ac:dyDescent="0.25">
      <c r="A3125" s="1">
        <v>41487</v>
      </c>
      <c r="B3125">
        <v>0.85604202747344904</v>
      </c>
      <c r="C3125">
        <f>C3126*(1+G3125*3)</f>
        <v>0.81326209442139963</v>
      </c>
      <c r="D3125">
        <f t="shared" si="98"/>
        <v>0.85788960121964741</v>
      </c>
      <c r="F3125">
        <v>3126.30004882812</v>
      </c>
      <c r="G3125">
        <f t="shared" si="97"/>
        <v>1.1685400608558494E-2</v>
      </c>
    </row>
    <row r="3126" spans="1:7" x14ac:dyDescent="0.25">
      <c r="A3126" s="1">
        <v>41486</v>
      </c>
      <c r="B3126">
        <v>0.83072900772094704</v>
      </c>
      <c r="C3126">
        <f>C3127*(1+G3126*3)</f>
        <v>0.78571781221824855</v>
      </c>
      <c r="D3126">
        <f t="shared" si="98"/>
        <v>0.82875797319082811</v>
      </c>
      <c r="F3126">
        <v>3090.18994140625</v>
      </c>
      <c r="G3126">
        <f t="shared" si="97"/>
        <v>1.5751518178577228E-3</v>
      </c>
    </row>
    <row r="3127" spans="1:7" x14ac:dyDescent="0.25">
      <c r="A3127" s="1">
        <v>41485</v>
      </c>
      <c r="B3127">
        <v>0.82552099227905196</v>
      </c>
      <c r="C3127">
        <f>C3128*(1+G3127*3)</f>
        <v>0.78202240020239577</v>
      </c>
      <c r="D3127">
        <f t="shared" si="98"/>
        <v>0.82478235632373453</v>
      </c>
      <c r="F3127">
        <v>3085.330078125</v>
      </c>
      <c r="G3127">
        <f t="shared" si="97"/>
        <v>5.3373718091671574E-3</v>
      </c>
    </row>
    <row r="3128" spans="1:7" x14ac:dyDescent="0.25">
      <c r="A3128" s="1">
        <v>41484</v>
      </c>
      <c r="B3128">
        <v>0.81343799829482999</v>
      </c>
      <c r="C3128">
        <f>C3129*(1+G3128*3)</f>
        <v>0.76969790844801966</v>
      </c>
      <c r="D3128">
        <f t="shared" si="98"/>
        <v>0.81170828372014336</v>
      </c>
      <c r="F3128">
        <v>3068.94995117187</v>
      </c>
      <c r="G3128">
        <f t="shared" si="97"/>
        <v>-2.3665426002287271E-3</v>
      </c>
    </row>
    <row r="3129" spans="1:7" x14ac:dyDescent="0.25">
      <c r="A3129" s="1">
        <v>41481</v>
      </c>
      <c r="B3129">
        <v>0.81718802452087402</v>
      </c>
      <c r="C3129">
        <f>C3130*(1+G3129*3)</f>
        <v>0.77520155093013832</v>
      </c>
      <c r="D3129">
        <f t="shared" si="98"/>
        <v>0.81743431471811889</v>
      </c>
      <c r="F3129">
        <v>3076.22998046875</v>
      </c>
      <c r="G3129">
        <f t="shared" si="97"/>
        <v>4.7555938312362489E-3</v>
      </c>
    </row>
    <row r="3130" spans="1:7" x14ac:dyDescent="0.25">
      <c r="A3130" s="1">
        <v>41480</v>
      </c>
      <c r="B3130">
        <v>0.80385398864746005</v>
      </c>
      <c r="C3130">
        <f>C3131*(1+G3130*3)</f>
        <v>0.76429748570538858</v>
      </c>
      <c r="D3130">
        <f t="shared" si="98"/>
        <v>0.80586092118255226</v>
      </c>
      <c r="F3130">
        <v>3061.669921875</v>
      </c>
      <c r="G3130">
        <f t="shared" si="97"/>
        <v>6.7441405116392961E-3</v>
      </c>
    </row>
    <row r="3131" spans="1:7" x14ac:dyDescent="0.25">
      <c r="A3131" s="1">
        <v>41479</v>
      </c>
      <c r="B3131">
        <v>0.78958302736282304</v>
      </c>
      <c r="C3131">
        <f>C3132*(1+G3131*3)</f>
        <v>0.74914055814411318</v>
      </c>
      <c r="D3131">
        <f t="shared" si="98"/>
        <v>0.7898063945163869</v>
      </c>
      <c r="F3131">
        <v>3041.15991210937</v>
      </c>
      <c r="G3131">
        <f t="shared" si="97"/>
        <v>3.2196378175224361E-3</v>
      </c>
    </row>
    <row r="3132" spans="1:7" x14ac:dyDescent="0.25">
      <c r="A3132" s="1">
        <v>41478</v>
      </c>
      <c r="B3132">
        <v>0.78218799829482999</v>
      </c>
      <c r="C3132">
        <f>C3133*(1+G3132*3)</f>
        <v>0.74197389649381529</v>
      </c>
      <c r="D3132">
        <f t="shared" si="98"/>
        <v>0.78217730369763838</v>
      </c>
      <c r="F3132">
        <v>3031.39990234375</v>
      </c>
      <c r="G3132">
        <f t="shared" si="97"/>
        <v>-7.7997657385333596E-3</v>
      </c>
    </row>
    <row r="3133" spans="1:7" x14ac:dyDescent="0.25">
      <c r="A3133" s="1">
        <v>41477</v>
      </c>
      <c r="B3133">
        <v>0.80000001192092896</v>
      </c>
      <c r="C3133">
        <f>C3134*(1+G3133*3)</f>
        <v>0.75975154879405993</v>
      </c>
      <c r="D3133">
        <f t="shared" si="98"/>
        <v>0.80084053315672388</v>
      </c>
      <c r="F3133">
        <v>3055.22998046875</v>
      </c>
      <c r="G3133">
        <f t="shared" si="97"/>
        <v>3.3826882914773648E-3</v>
      </c>
    </row>
    <row r="3134" spans="1:7" x14ac:dyDescent="0.25">
      <c r="A3134" s="1">
        <v>41474</v>
      </c>
      <c r="B3134">
        <v>0.79427099227905196</v>
      </c>
      <c r="C3134">
        <f>C3135*(1+G3134*3)</f>
        <v>0.75211899642504576</v>
      </c>
      <c r="D3134">
        <f t="shared" si="98"/>
        <v>0.79272084371452278</v>
      </c>
      <c r="F3134">
        <v>3044.92993164062</v>
      </c>
      <c r="G3134">
        <f t="shared" si="97"/>
        <v>-1.0686179174951627E-2</v>
      </c>
    </row>
    <row r="3135" spans="1:7" x14ac:dyDescent="0.25">
      <c r="A3135" s="1">
        <v>41473</v>
      </c>
      <c r="B3135">
        <v>0.81916701793670599</v>
      </c>
      <c r="C3135">
        <f>C3136*(1+G3135*3)</f>
        <v>0.7770294233514754</v>
      </c>
      <c r="D3135">
        <f t="shared" si="98"/>
        <v>0.81889586052489272</v>
      </c>
      <c r="F3135">
        <v>3077.82006835937</v>
      </c>
      <c r="G3135">
        <f t="shared" si="97"/>
        <v>-2.4179202103739028E-3</v>
      </c>
    </row>
    <row r="3136" spans="1:7" x14ac:dyDescent="0.25">
      <c r="A3136" s="1">
        <v>41472</v>
      </c>
      <c r="B3136">
        <v>0.82520800828933705</v>
      </c>
      <c r="C3136">
        <f>C3137*(1+G3136*3)</f>
        <v>0.78270699251951714</v>
      </c>
      <c r="D3136">
        <f t="shared" si="98"/>
        <v>0.82480062048041514</v>
      </c>
      <c r="F3136">
        <v>3085.28002929687</v>
      </c>
      <c r="G3136">
        <f t="shared" si="97"/>
        <v>2.5378179699884207E-3</v>
      </c>
    </row>
    <row r="3137" spans="1:7" x14ac:dyDescent="0.25">
      <c r="A3137" s="1">
        <v>41471</v>
      </c>
      <c r="B3137">
        <v>0.81937497854232699</v>
      </c>
      <c r="C3137">
        <f>C3138*(1+G3137*3)</f>
        <v>0.77679291546007434</v>
      </c>
      <c r="D3137">
        <f t="shared" si="98"/>
        <v>0.81849152442936657</v>
      </c>
      <c r="F3137">
        <v>3077.46997070312</v>
      </c>
      <c r="G3137">
        <f t="shared" si="97"/>
        <v>-7.7280610343377631E-4</v>
      </c>
    </row>
    <row r="3138" spans="1:7" x14ac:dyDescent="0.25">
      <c r="A3138" s="1">
        <v>41470</v>
      </c>
      <c r="B3138">
        <v>0.822604000568389</v>
      </c>
      <c r="C3138">
        <f>C3139*(1+G3138*3)</f>
        <v>0.77859803139241912</v>
      </c>
      <c r="D3138">
        <f t="shared" si="98"/>
        <v>0.82031563784335471</v>
      </c>
      <c r="F3138">
        <v>3079.85009765625</v>
      </c>
      <c r="G3138">
        <f t="shared" ref="G3138:G3201" si="99">F3138/F3139-1</f>
        <v>2.5333275292949153E-4</v>
      </c>
    </row>
    <row r="3139" spans="1:7" x14ac:dyDescent="0.25">
      <c r="A3139" s="1">
        <v>41467</v>
      </c>
      <c r="B3139">
        <v>0.81625002622604304</v>
      </c>
      <c r="C3139">
        <f>C3140*(1+G3139*3)</f>
        <v>0.77800674761890309</v>
      </c>
      <c r="D3139">
        <f t="shared" si="98"/>
        <v>0.81961507680623813</v>
      </c>
      <c r="F3139">
        <v>3079.07006835937</v>
      </c>
      <c r="G3139">
        <f t="shared" si="99"/>
        <v>6.409663036041513E-3</v>
      </c>
    </row>
    <row r="3140" spans="1:7" x14ac:dyDescent="0.25">
      <c r="A3140" s="1">
        <v>41466</v>
      </c>
      <c r="B3140">
        <v>0.80781298875808705</v>
      </c>
      <c r="C3140">
        <f>C3141*(1+G3140*3)</f>
        <v>0.76332870820294985</v>
      </c>
      <c r="D3140">
        <f t="shared" si="98"/>
        <v>0.80407730028857638</v>
      </c>
      <c r="F3140">
        <v>3059.4599609375</v>
      </c>
      <c r="G3140">
        <f t="shared" si="99"/>
        <v>1.9595705794861473E-2</v>
      </c>
    </row>
    <row r="3141" spans="1:7" x14ac:dyDescent="0.25">
      <c r="A3141" s="1">
        <v>41465</v>
      </c>
      <c r="B3141">
        <v>0.76041698455810502</v>
      </c>
      <c r="C3141">
        <f>C3142*(1+G3141*3)</f>
        <v>0.72094635046988875</v>
      </c>
      <c r="D3141">
        <f t="shared" si="98"/>
        <v>0.75936450355726348</v>
      </c>
      <c r="F3141">
        <v>3000.65991210937</v>
      </c>
      <c r="G3141">
        <f t="shared" si="99"/>
        <v>5.475231669431091E-3</v>
      </c>
    </row>
    <row r="3142" spans="1:7" x14ac:dyDescent="0.25">
      <c r="A3142" s="1">
        <v>41464</v>
      </c>
      <c r="B3142">
        <v>0.74781298637390103</v>
      </c>
      <c r="C3142">
        <f>C3143*(1+G3142*3)</f>
        <v>0.70929567602480414</v>
      </c>
      <c r="D3142">
        <f t="shared" si="98"/>
        <v>0.74702334861718722</v>
      </c>
      <c r="F3142">
        <v>2984.32006835937</v>
      </c>
      <c r="G3142">
        <f t="shared" si="99"/>
        <v>6.1326328466850821E-3</v>
      </c>
    </row>
    <row r="3143" spans="1:7" x14ac:dyDescent="0.25">
      <c r="A3143" s="1">
        <v>41463</v>
      </c>
      <c r="B3143">
        <v>0.734375</v>
      </c>
      <c r="C3143">
        <f>C3144*(1+G3143*3)</f>
        <v>0.69648187318692345</v>
      </c>
      <c r="D3143">
        <f t="shared" si="98"/>
        <v>0.73345973860524905</v>
      </c>
      <c r="F3143">
        <v>2966.1298828125</v>
      </c>
      <c r="G3143">
        <f t="shared" si="99"/>
        <v>9.8201015724441731E-4</v>
      </c>
    </row>
    <row r="3144" spans="1:7" x14ac:dyDescent="0.25">
      <c r="A3144" s="1">
        <v>41460</v>
      </c>
      <c r="B3144">
        <v>0.73197901248931796</v>
      </c>
      <c r="C3144">
        <f>C3145*(1+G3144*3)</f>
        <v>0.69443604344227261</v>
      </c>
      <c r="D3144">
        <f t="shared" si="98"/>
        <v>0.73123621295149477</v>
      </c>
      <c r="F3144">
        <v>2963.21997070312</v>
      </c>
      <c r="G3144">
        <f t="shared" si="99"/>
        <v>7.4148314058373188E-3</v>
      </c>
    </row>
    <row r="3145" spans="1:7" x14ac:dyDescent="0.25">
      <c r="A3145" s="1">
        <v>41458</v>
      </c>
      <c r="B3145">
        <v>0.71614599227905196</v>
      </c>
      <c r="C3145">
        <f>C3146*(1+G3145*3)</f>
        <v>0.67932480670765183</v>
      </c>
      <c r="D3145">
        <f t="shared" si="98"/>
        <v>0.7152578952256835</v>
      </c>
      <c r="F3145">
        <v>2941.40991210937</v>
      </c>
      <c r="G3145">
        <f t="shared" si="99"/>
        <v>4.020995746248035E-3</v>
      </c>
    </row>
    <row r="3146" spans="1:7" x14ac:dyDescent="0.25">
      <c r="A3146" s="1">
        <v>41457</v>
      </c>
      <c r="B3146">
        <v>0.70656299591064398</v>
      </c>
      <c r="C3146">
        <f>C3147*(1+G3146*3)</f>
        <v>0.67122779438963931</v>
      </c>
      <c r="D3146">
        <f t="shared" si="98"/>
        <v>0.70666643344957636</v>
      </c>
      <c r="F3146">
        <v>2929.6298828125</v>
      </c>
      <c r="G3146">
        <f t="shared" si="99"/>
        <v>7.7878800970032636E-4</v>
      </c>
    </row>
    <row r="3147" spans="1:7" x14ac:dyDescent="0.25">
      <c r="A3147" s="1">
        <v>41456</v>
      </c>
      <c r="B3147">
        <v>0.70625001192092896</v>
      </c>
      <c r="C3147">
        <f>C3148*(1+G3147*3)</f>
        <v>0.66966321733704104</v>
      </c>
      <c r="D3147">
        <f t="shared" si="98"/>
        <v>0.70495261628412398</v>
      </c>
      <c r="F3147">
        <v>2927.35009765625</v>
      </c>
      <c r="G3147">
        <f t="shared" si="99"/>
        <v>6.1004947086364947E-3</v>
      </c>
    </row>
    <row r="3148" spans="1:7" x14ac:dyDescent="0.25">
      <c r="A3148" s="1">
        <v>41453</v>
      </c>
      <c r="B3148">
        <v>0.69145798683166504</v>
      </c>
      <c r="C3148">
        <f>C3149*(1+G3148*3)</f>
        <v>0.65762765524383693</v>
      </c>
      <c r="D3148">
        <f t="shared" ref="D3148:D3211" si="100">D3149*(1+3*G3148--0.0000947457020553289)</f>
        <v>0.69221840737097973</v>
      </c>
      <c r="F3148">
        <v>2909.60009765625</v>
      </c>
      <c r="G3148">
        <f t="shared" si="99"/>
        <v>9.4948799458483002E-4</v>
      </c>
    </row>
    <row r="3149" spans="1:7" x14ac:dyDescent="0.25">
      <c r="A3149" s="1">
        <v>41452</v>
      </c>
      <c r="B3149">
        <v>0.68958300352096502</v>
      </c>
      <c r="C3149">
        <f>C3150*(1+G3149*3)</f>
        <v>0.65575974722187946</v>
      </c>
      <c r="D3149">
        <f t="shared" si="100"/>
        <v>0.6901870421834051</v>
      </c>
      <c r="F3149">
        <v>2906.84008789062</v>
      </c>
      <c r="G3149">
        <f t="shared" si="99"/>
        <v>4.4888262335671669E-3</v>
      </c>
    </row>
    <row r="3150" spans="1:7" x14ac:dyDescent="0.25">
      <c r="A3150" s="1">
        <v>41451</v>
      </c>
      <c r="B3150">
        <v>0.681979000568389</v>
      </c>
      <c r="C3150">
        <f>C3151*(1+G3150*3)</f>
        <v>0.64704631184505068</v>
      </c>
      <c r="D3150">
        <f t="shared" si="100"/>
        <v>0.68095249262332369</v>
      </c>
      <c r="F3150">
        <v>2893.85009765625</v>
      </c>
      <c r="G3150">
        <f t="shared" si="99"/>
        <v>9.5412864665096464E-3</v>
      </c>
    </row>
    <row r="3151" spans="1:7" x14ac:dyDescent="0.25">
      <c r="A3151" s="1">
        <v>41450</v>
      </c>
      <c r="B3151">
        <v>0.66385400295257502</v>
      </c>
      <c r="C3151">
        <f>C3152*(1+G3151*3)</f>
        <v>0.62904073819828699</v>
      </c>
      <c r="D3151">
        <f t="shared" si="100"/>
        <v>0.66194242939358605</v>
      </c>
      <c r="F3151">
        <v>2866.5</v>
      </c>
      <c r="G3151">
        <f t="shared" si="99"/>
        <v>6.4251278498199671E-3</v>
      </c>
    </row>
    <row r="3152" spans="1:7" x14ac:dyDescent="0.25">
      <c r="A3152" s="1">
        <v>41449</v>
      </c>
      <c r="B3152">
        <v>0.64999997615814198</v>
      </c>
      <c r="C3152">
        <f>C3153*(1+G3152*3)</f>
        <v>0.61714503101973817</v>
      </c>
      <c r="D3152">
        <f t="shared" si="100"/>
        <v>0.64936416165110245</v>
      </c>
      <c r="F3152">
        <v>2848.19995117187</v>
      </c>
      <c r="G3152">
        <f t="shared" si="99"/>
        <v>-1.0333777229502572E-2</v>
      </c>
    </row>
    <row r="3153" spans="1:7" x14ac:dyDescent="0.25">
      <c r="A3153" s="1">
        <v>41446</v>
      </c>
      <c r="B3153">
        <v>0.67072898149490301</v>
      </c>
      <c r="C3153">
        <f>C3154*(1+G3153*3)</f>
        <v>0.63688945217554416</v>
      </c>
      <c r="D3153">
        <f t="shared" si="100"/>
        <v>0.67007385692750621</v>
      </c>
      <c r="F3153">
        <v>2877.93994140625</v>
      </c>
      <c r="G3153">
        <f t="shared" si="99"/>
        <v>-4.2867549324289156E-3</v>
      </c>
    </row>
    <row r="3154" spans="1:7" x14ac:dyDescent="0.25">
      <c r="A3154" s="1">
        <v>41445</v>
      </c>
      <c r="B3154">
        <v>0.68031299114227295</v>
      </c>
      <c r="C3154">
        <f>C3155*(1+G3154*3)</f>
        <v>0.64518672429365465</v>
      </c>
      <c r="D3154">
        <f t="shared" si="100"/>
        <v>0.67873830370410593</v>
      </c>
      <c r="F3154">
        <v>2890.330078125</v>
      </c>
      <c r="G3154">
        <f t="shared" si="99"/>
        <v>-2.3372164850481547E-2</v>
      </c>
    </row>
    <row r="3155" spans="1:7" x14ac:dyDescent="0.25">
      <c r="A3155" s="1">
        <v>41444</v>
      </c>
      <c r="B3155">
        <v>0.73447901010513295</v>
      </c>
      <c r="C3155">
        <f>C3156*(1+G3155*3)</f>
        <v>0.69383607786701273</v>
      </c>
      <c r="D3155">
        <f t="shared" si="100"/>
        <v>0.7298432010257665</v>
      </c>
      <c r="F3155">
        <v>2959.5</v>
      </c>
      <c r="G3155">
        <f t="shared" si="99"/>
        <v>-1.2212612710981952E-2</v>
      </c>
    </row>
    <row r="3156" spans="1:7" x14ac:dyDescent="0.25">
      <c r="A3156" s="1">
        <v>41443</v>
      </c>
      <c r="B3156">
        <v>0.75833302736282304</v>
      </c>
      <c r="C3156">
        <f>C3157*(1+G3156*3)</f>
        <v>0.72022351025528808</v>
      </c>
      <c r="D3156">
        <f t="shared" si="100"/>
        <v>0.75752552635408266</v>
      </c>
      <c r="F3156">
        <v>2996.09008789062</v>
      </c>
      <c r="G3156">
        <f t="shared" si="99"/>
        <v>8.356750349478359E-3</v>
      </c>
    </row>
    <row r="3157" spans="1:7" x14ac:dyDescent="0.25">
      <c r="A3157" s="1">
        <v>41442</v>
      </c>
      <c r="B3157">
        <v>0.74083298444747903</v>
      </c>
      <c r="C3157">
        <f>C3158*(1+G3157*3)</f>
        <v>0.70260892804044228</v>
      </c>
      <c r="D3157">
        <f t="shared" si="100"/>
        <v>0.7389303465834709</v>
      </c>
      <c r="F3157">
        <v>2971.26000976562</v>
      </c>
      <c r="G3157">
        <f t="shared" si="99"/>
        <v>9.3074743173668928E-3</v>
      </c>
    </row>
    <row r="3158" spans="1:7" x14ac:dyDescent="0.25">
      <c r="A3158" s="1">
        <v>41439</v>
      </c>
      <c r="B3158">
        <v>0.72083300352096502</v>
      </c>
      <c r="C3158">
        <f>C3159*(1+G3158*3)</f>
        <v>0.68352330132327754</v>
      </c>
      <c r="D3158">
        <f t="shared" si="100"/>
        <v>0.71879183452826245</v>
      </c>
      <c r="F3158">
        <v>2943.86010742187</v>
      </c>
      <c r="G3158">
        <f t="shared" si="99"/>
        <v>-6.4260675518665877E-3</v>
      </c>
    </row>
    <row r="3159" spans="1:7" x14ac:dyDescent="0.25">
      <c r="A3159" s="1">
        <v>41438</v>
      </c>
      <c r="B3159">
        <v>0.73374998569488503</v>
      </c>
      <c r="C3159">
        <f>C3160*(1+G3159*3)</f>
        <v>0.6969594263879143</v>
      </c>
      <c r="D3159">
        <f t="shared" si="100"/>
        <v>0.73285043938560224</v>
      </c>
      <c r="F3159">
        <v>2962.89990234375</v>
      </c>
      <c r="G3159">
        <f t="shared" si="99"/>
        <v>1.2562628963457501E-2</v>
      </c>
    </row>
    <row r="3160" spans="1:7" x14ac:dyDescent="0.25">
      <c r="A3160" s="1">
        <v>41437</v>
      </c>
      <c r="B3160">
        <v>0.70833301544189398</v>
      </c>
      <c r="C3160">
        <f>C3161*(1+G3160*3)</f>
        <v>0.67164648946272731</v>
      </c>
      <c r="D3160">
        <f t="shared" si="100"/>
        <v>0.70616949674221163</v>
      </c>
      <c r="F3160">
        <v>2926.13989257812</v>
      </c>
      <c r="G3160">
        <f t="shared" si="99"/>
        <v>-1.138581623053736E-2</v>
      </c>
    </row>
    <row r="3161" spans="1:7" x14ac:dyDescent="0.25">
      <c r="A3161" s="1">
        <v>41436</v>
      </c>
      <c r="B3161">
        <v>0.73374998569488503</v>
      </c>
      <c r="C3161">
        <f>C3162*(1+G3161*3)</f>
        <v>0.69539956440402728</v>
      </c>
      <c r="D3161">
        <f t="shared" si="100"/>
        <v>0.73107177756547159</v>
      </c>
      <c r="F3161">
        <v>2959.84008789062</v>
      </c>
      <c r="G3161">
        <f t="shared" si="99"/>
        <v>-1.0249123870616272E-2</v>
      </c>
    </row>
    <row r="3162" spans="1:7" x14ac:dyDescent="0.25">
      <c r="A3162" s="1">
        <v>41435</v>
      </c>
      <c r="B3162">
        <v>0.75562500953674305</v>
      </c>
      <c r="C3162">
        <f>C3163*(1+G3162*3)</f>
        <v>0.71745956011536804</v>
      </c>
      <c r="D3162">
        <f t="shared" si="100"/>
        <v>0.75418967142880888</v>
      </c>
      <c r="F3162">
        <v>2990.48999023437</v>
      </c>
      <c r="G3162">
        <f t="shared" si="99"/>
        <v>-1.2709577421821106E-4</v>
      </c>
    </row>
    <row r="3163" spans="1:7" x14ac:dyDescent="0.25">
      <c r="A3163" s="1">
        <v>41432</v>
      </c>
      <c r="B3163">
        <v>0.75531297922134399</v>
      </c>
      <c r="C3163">
        <f>C3164*(1+G3163*3)</f>
        <v>0.71773322269422946</v>
      </c>
      <c r="D3163">
        <f t="shared" si="100"/>
        <v>0.7544058401008209</v>
      </c>
      <c r="F3163">
        <v>2990.8701171875</v>
      </c>
      <c r="G3163">
        <f t="shared" si="99"/>
        <v>1.3751166894192535E-2</v>
      </c>
    </row>
    <row r="3164" spans="1:7" x14ac:dyDescent="0.25">
      <c r="A3164" s="1">
        <v>41431</v>
      </c>
      <c r="B3164">
        <v>0.72500002384185702</v>
      </c>
      <c r="C3164">
        <f>C3165*(1+G3164*3)</f>
        <v>0.68929729621435176</v>
      </c>
      <c r="D3164">
        <f t="shared" si="100"/>
        <v>0.72445105921095798</v>
      </c>
      <c r="F3164">
        <v>2950.30004882812</v>
      </c>
      <c r="G3164">
        <f t="shared" si="99"/>
        <v>4.4806024674732825E-3</v>
      </c>
    </row>
    <row r="3165" spans="1:7" x14ac:dyDescent="0.25">
      <c r="A3165" s="1">
        <v>41430</v>
      </c>
      <c r="B3165">
        <v>0.71625000238418501</v>
      </c>
      <c r="C3165">
        <f>C3166*(1+G3165*3)</f>
        <v>0.68015478656945128</v>
      </c>
      <c r="D3165">
        <f t="shared" si="100"/>
        <v>0.71477546319563445</v>
      </c>
      <c r="F3165">
        <v>2937.13989257812</v>
      </c>
      <c r="G3165">
        <f t="shared" si="99"/>
        <v>-1.2291143175083508E-2</v>
      </c>
    </row>
    <row r="3166" spans="1:7" x14ac:dyDescent="0.25">
      <c r="A3166" s="1">
        <v>41429</v>
      </c>
      <c r="B3166">
        <v>0.74479198455810502</v>
      </c>
      <c r="C3166">
        <f>C3167*(1+G3166*3)</f>
        <v>0.70619460351320773</v>
      </c>
      <c r="D3166">
        <f t="shared" si="100"/>
        <v>0.74206773790337643</v>
      </c>
      <c r="F3166">
        <v>2973.68994140625</v>
      </c>
      <c r="G3166">
        <f t="shared" si="99"/>
        <v>-5.7175854650132196E-3</v>
      </c>
    </row>
    <row r="3167" spans="1:7" x14ac:dyDescent="0.25">
      <c r="A3167" s="1">
        <v>41428</v>
      </c>
      <c r="B3167">
        <v>0.75614601373672397</v>
      </c>
      <c r="C3167">
        <f>C3168*(1+G3167*3)</f>
        <v>0.71851918811205551</v>
      </c>
      <c r="D3167">
        <f t="shared" si="100"/>
        <v>0.75494560815999112</v>
      </c>
      <c r="F3167">
        <v>2990.7900390625</v>
      </c>
      <c r="G3167">
        <f t="shared" si="99"/>
        <v>3.0284225649634955E-3</v>
      </c>
    </row>
    <row r="3168" spans="1:7" x14ac:dyDescent="0.25">
      <c r="A3168" s="1">
        <v>41425</v>
      </c>
      <c r="B3168">
        <v>0.75177097320556596</v>
      </c>
      <c r="C3168">
        <f>C3169*(1+G3168*3)</f>
        <v>0.71205002304057896</v>
      </c>
      <c r="D3168">
        <f t="shared" si="100"/>
        <v>0.74807823989578426</v>
      </c>
      <c r="F3168">
        <v>2981.76000976562</v>
      </c>
      <c r="G3168">
        <f t="shared" si="99"/>
        <v>-9.9839856762768964E-3</v>
      </c>
    </row>
    <row r="3169" spans="1:7" x14ac:dyDescent="0.25">
      <c r="A3169" s="1">
        <v>41424</v>
      </c>
      <c r="B3169">
        <v>0.77385401725768999</v>
      </c>
      <c r="C3169">
        <f>C3170*(1+G3169*3)</f>
        <v>0.73403583276106021</v>
      </c>
      <c r="D3169">
        <f t="shared" si="100"/>
        <v>0.77110117049765659</v>
      </c>
      <c r="F3169">
        <v>3011.830078125</v>
      </c>
      <c r="G3169">
        <f t="shared" si="99"/>
        <v>5.6798102648445425E-3</v>
      </c>
    </row>
    <row r="3170" spans="1:7" x14ac:dyDescent="0.25">
      <c r="A3170" s="1">
        <v>41423</v>
      </c>
      <c r="B3170">
        <v>0.761457979679107</v>
      </c>
      <c r="C3170">
        <f>C3171*(1+G3170*3)</f>
        <v>0.7217378309389787</v>
      </c>
      <c r="D3170">
        <f t="shared" si="100"/>
        <v>0.75811155333864899</v>
      </c>
      <c r="F3170">
        <v>2994.82006835937</v>
      </c>
      <c r="G3170">
        <f t="shared" si="99"/>
        <v>-5.6840021314923383E-3</v>
      </c>
    </row>
    <row r="3171" spans="1:7" x14ac:dyDescent="0.25">
      <c r="A3171" s="1">
        <v>41422</v>
      </c>
      <c r="B3171">
        <v>0.77312499284744196</v>
      </c>
      <c r="C3171">
        <f>C3172*(1+G3171*3)</f>
        <v>0.73425841004221715</v>
      </c>
      <c r="D3171">
        <f t="shared" si="100"/>
        <v>0.77118880291271652</v>
      </c>
      <c r="F3171">
        <v>3011.93994140625</v>
      </c>
      <c r="G3171">
        <f t="shared" si="99"/>
        <v>6.9942433478860089E-3</v>
      </c>
    </row>
    <row r="3172" spans="1:7" x14ac:dyDescent="0.25">
      <c r="A3172" s="1">
        <v>41418</v>
      </c>
      <c r="B3172">
        <v>0.75749999284744196</v>
      </c>
      <c r="C3172">
        <f>C3173*(1+G3172*3)</f>
        <v>0.71916829583475883</v>
      </c>
      <c r="D3172">
        <f t="shared" si="100"/>
        <v>0.75526962569564271</v>
      </c>
      <c r="F3172">
        <v>2991.02001953125</v>
      </c>
      <c r="G3172">
        <f t="shared" si="99"/>
        <v>-1.4372015164476615E-4</v>
      </c>
    </row>
    <row r="3173" spans="1:7" x14ac:dyDescent="0.25">
      <c r="A3173" s="1">
        <v>41417</v>
      </c>
      <c r="B3173">
        <v>0.75791698694229104</v>
      </c>
      <c r="C3173">
        <f>C3174*(1+G3173*3)</f>
        <v>0.71947850651494327</v>
      </c>
      <c r="D3173">
        <f t="shared" si="100"/>
        <v>0.7555237950464474</v>
      </c>
      <c r="F3173">
        <v>2991.44995117187</v>
      </c>
      <c r="G3173">
        <f t="shared" si="99"/>
        <v>-2.5607199223489641E-3</v>
      </c>
    </row>
    <row r="3174" spans="1:7" x14ac:dyDescent="0.25">
      <c r="A3174" s="1">
        <v>41416</v>
      </c>
      <c r="B3174">
        <v>0.76625001430511397</v>
      </c>
      <c r="C3174">
        <f>C3175*(1+G3174*3)</f>
        <v>0.72504844450447548</v>
      </c>
      <c r="D3174">
        <f t="shared" si="100"/>
        <v>0.76130009408801014</v>
      </c>
      <c r="F3174">
        <v>2999.1298828125</v>
      </c>
      <c r="G3174">
        <f t="shared" si="99"/>
        <v>-9.0271006625407546E-3</v>
      </c>
    </row>
    <row r="3175" spans="1:7" x14ac:dyDescent="0.25">
      <c r="A3175" s="1">
        <v>41415</v>
      </c>
      <c r="B3175">
        <v>0.785417020320892</v>
      </c>
      <c r="C3175">
        <f>C3176*(1+G3175*3)</f>
        <v>0.74523024995378517</v>
      </c>
      <c r="D3175">
        <f t="shared" si="100"/>
        <v>0.78241477443701379</v>
      </c>
      <c r="F3175">
        <v>3026.44995117187</v>
      </c>
      <c r="G3175">
        <f t="shared" si="99"/>
        <v>1.8139804506147605E-3</v>
      </c>
    </row>
    <row r="3176" spans="1:7" x14ac:dyDescent="0.25">
      <c r="A3176" s="1">
        <v>41414</v>
      </c>
      <c r="B3176">
        <v>0.78250002861022905</v>
      </c>
      <c r="C3176">
        <f>C3177*(1+G3176*3)</f>
        <v>0.7411967009768885</v>
      </c>
      <c r="D3176">
        <f t="shared" si="100"/>
        <v>0.77810664146864117</v>
      </c>
      <c r="F3176">
        <v>3020.96997070312</v>
      </c>
      <c r="G3176">
        <f t="shared" si="99"/>
        <v>-2.6378659135219973E-3</v>
      </c>
    </row>
    <row r="3177" spans="1:7" x14ac:dyDescent="0.25">
      <c r="A3177" s="1">
        <v>41411</v>
      </c>
      <c r="B3177">
        <v>0.78604197502136197</v>
      </c>
      <c r="C3177">
        <f>C3178*(1+G3177*3)</f>
        <v>0.74710902123932454</v>
      </c>
      <c r="D3177">
        <f t="shared" si="100"/>
        <v>0.78423848615479108</v>
      </c>
      <c r="F3177">
        <v>3028.9599609375</v>
      </c>
      <c r="G3177">
        <f t="shared" si="99"/>
        <v>9.8754633282387427E-3</v>
      </c>
    </row>
    <row r="3178" spans="1:7" x14ac:dyDescent="0.25">
      <c r="A3178" s="1">
        <v>41410</v>
      </c>
      <c r="B3178">
        <v>0.76447898149490301</v>
      </c>
      <c r="C3178">
        <f>C3179*(1+G3178*3)</f>
        <v>0.7256117641374894</v>
      </c>
      <c r="D3178">
        <f t="shared" si="100"/>
        <v>0.76160278640075108</v>
      </c>
      <c r="F3178">
        <v>2999.34008789062</v>
      </c>
      <c r="G3178">
        <f t="shared" si="99"/>
        <v>-1.0923890365299727E-3</v>
      </c>
    </row>
    <row r="3179" spans="1:7" x14ac:dyDescent="0.25">
      <c r="A3179" s="1">
        <v>41409</v>
      </c>
      <c r="B3179">
        <v>0.76729202270507801</v>
      </c>
      <c r="C3179">
        <f>C3180*(1+G3179*3)</f>
        <v>0.72799753371082909</v>
      </c>
      <c r="D3179">
        <f t="shared" si="100"/>
        <v>0.76403426540305974</v>
      </c>
      <c r="F3179">
        <v>3002.6201171875</v>
      </c>
      <c r="G3179">
        <f t="shared" si="99"/>
        <v>2.1929100823765424E-3</v>
      </c>
    </row>
    <row r="3180" spans="1:7" x14ac:dyDescent="0.25">
      <c r="A3180" s="1">
        <v>41408</v>
      </c>
      <c r="B3180">
        <v>0.76166701316833496</v>
      </c>
      <c r="C3180">
        <f>C3181*(1+G3180*3)</f>
        <v>0.72323953590008327</v>
      </c>
      <c r="D3180">
        <f t="shared" si="100"/>
        <v>0.75896930201986057</v>
      </c>
      <c r="F3180">
        <v>2996.05004882812</v>
      </c>
      <c r="G3180">
        <f t="shared" si="99"/>
        <v>4.6812673413816341E-3</v>
      </c>
    </row>
    <row r="3181" spans="1:7" x14ac:dyDescent="0.25">
      <c r="A3181" s="1">
        <v>41407</v>
      </c>
      <c r="B3181">
        <v>0.75062501430511397</v>
      </c>
      <c r="C3181">
        <f>C3182*(1+G3181*3)</f>
        <v>0.71322317088908416</v>
      </c>
      <c r="D3181">
        <f t="shared" si="100"/>
        <v>0.7483881800189387</v>
      </c>
      <c r="F3181">
        <v>2982.09008789062</v>
      </c>
      <c r="G3181">
        <f t="shared" si="99"/>
        <v>3.5896047405215015E-4</v>
      </c>
    </row>
    <row r="3182" spans="1:7" x14ac:dyDescent="0.25">
      <c r="A3182" s="1">
        <v>41404</v>
      </c>
      <c r="B3182">
        <v>0.74770802259445102</v>
      </c>
      <c r="C3182">
        <f>C3183*(1+G3182*3)</f>
        <v>0.71245594032284543</v>
      </c>
      <c r="D3182">
        <f t="shared" si="100"/>
        <v>0.7475123742455887</v>
      </c>
      <c r="F3182">
        <v>2981.02001953125</v>
      </c>
      <c r="G3182">
        <f t="shared" si="99"/>
        <v>6.7203968620668242E-3</v>
      </c>
    </row>
    <row r="3183" spans="1:7" x14ac:dyDescent="0.25">
      <c r="A3183" s="1">
        <v>41403</v>
      </c>
      <c r="B3183">
        <v>0.73520797491073597</v>
      </c>
      <c r="C3183">
        <f>C3184*(1+G3183*3)</f>
        <v>0.69837585167639749</v>
      </c>
      <c r="D3183">
        <f t="shared" si="100"/>
        <v>0.73267142847026956</v>
      </c>
      <c r="F3183">
        <v>2961.1201171875</v>
      </c>
      <c r="G3183">
        <f t="shared" si="99"/>
        <v>-2.3986851030558531E-3</v>
      </c>
    </row>
    <row r="3184" spans="1:7" x14ac:dyDescent="0.25">
      <c r="A3184" s="1">
        <v>41402</v>
      </c>
      <c r="B3184">
        <v>0.73781299591064398</v>
      </c>
      <c r="C3184">
        <f>C3185*(1+G3184*3)</f>
        <v>0.70343782920189513</v>
      </c>
      <c r="D3184">
        <f t="shared" si="100"/>
        <v>0.73791156696999283</v>
      </c>
      <c r="F3184">
        <v>2968.23999023437</v>
      </c>
      <c r="G3184">
        <f t="shared" si="99"/>
        <v>5.2017379749427217E-3</v>
      </c>
    </row>
    <row r="3185" spans="1:7" x14ac:dyDescent="0.25">
      <c r="A3185" s="1">
        <v>41401</v>
      </c>
      <c r="B3185">
        <v>0.72645801305770796</v>
      </c>
      <c r="C3185">
        <f>C3186*(1+G3185*3)</f>
        <v>0.69262920232896852</v>
      </c>
      <c r="D3185">
        <f t="shared" si="100"/>
        <v>0.72650546057032828</v>
      </c>
      <c r="F3185">
        <v>2952.8798828125</v>
      </c>
      <c r="G3185">
        <f t="shared" si="99"/>
        <v>-8.392292374594934E-4</v>
      </c>
    </row>
    <row r="3186" spans="1:7" x14ac:dyDescent="0.25">
      <c r="A3186" s="1">
        <v>41400</v>
      </c>
      <c r="B3186">
        <v>0.72822898626327504</v>
      </c>
      <c r="C3186">
        <f>C3187*(1+G3186*3)</f>
        <v>0.69437742784681145</v>
      </c>
      <c r="D3186">
        <f t="shared" si="100"/>
        <v>0.72827001658837898</v>
      </c>
      <c r="F3186">
        <v>2955.36010742187</v>
      </c>
      <c r="G3186">
        <f t="shared" si="99"/>
        <v>3.6575615653740012E-3</v>
      </c>
    </row>
    <row r="3187" spans="1:7" x14ac:dyDescent="0.25">
      <c r="A3187" s="1">
        <v>41397</v>
      </c>
      <c r="B3187">
        <v>0.718958020210266</v>
      </c>
      <c r="C3187">
        <f>C3188*(1+G3187*3)</f>
        <v>0.68684093878909036</v>
      </c>
      <c r="D3187">
        <f t="shared" si="100"/>
        <v>0.72029816676180802</v>
      </c>
      <c r="F3187">
        <v>2944.59008789062</v>
      </c>
      <c r="G3187">
        <f t="shared" si="99"/>
        <v>1.1490411504366582E-2</v>
      </c>
    </row>
    <row r="3188" spans="1:7" x14ac:dyDescent="0.25">
      <c r="A3188" s="1">
        <v>41396</v>
      </c>
      <c r="B3188">
        <v>0.69468802213668801</v>
      </c>
      <c r="C3188">
        <f>C3189*(1+G3188*3)</f>
        <v>0.66395363725349943</v>
      </c>
      <c r="D3188">
        <f t="shared" si="100"/>
        <v>0.69623221769964849</v>
      </c>
      <c r="F3188">
        <v>2911.13989257812</v>
      </c>
      <c r="G3188">
        <f t="shared" si="99"/>
        <v>1.3151824051198746E-2</v>
      </c>
    </row>
    <row r="3189" spans="1:7" x14ac:dyDescent="0.25">
      <c r="A3189" s="1">
        <v>41395</v>
      </c>
      <c r="B3189">
        <v>0.67041701078414895</v>
      </c>
      <c r="C3189">
        <f>C3190*(1+G3189*3)</f>
        <v>0.63875139920894042</v>
      </c>
      <c r="D3189">
        <f t="shared" si="100"/>
        <v>0.66974370813543993</v>
      </c>
      <c r="F3189">
        <v>2873.35009765625</v>
      </c>
      <c r="G3189">
        <f t="shared" si="99"/>
        <v>-4.8797010625052373E-3</v>
      </c>
    </row>
    <row r="3190" spans="1:7" x14ac:dyDescent="0.25">
      <c r="A3190" s="1">
        <v>41394</v>
      </c>
      <c r="B3190">
        <v>0.67906302213668801</v>
      </c>
      <c r="C3190">
        <f>C3191*(1+G3190*3)</f>
        <v>0.64824106708031448</v>
      </c>
      <c r="D3190">
        <f t="shared" si="100"/>
        <v>0.67962846752441053</v>
      </c>
      <c r="F3190">
        <v>2887.43994140625</v>
      </c>
      <c r="G3190">
        <f t="shared" si="99"/>
        <v>7.1469647476771758E-3</v>
      </c>
    </row>
    <row r="3191" spans="1:7" x14ac:dyDescent="0.25">
      <c r="A3191" s="1">
        <v>41393</v>
      </c>
      <c r="B3191">
        <v>0.66447901725768999</v>
      </c>
      <c r="C3191">
        <f>C3192*(1+G3191*3)</f>
        <v>0.63463394772412396</v>
      </c>
      <c r="D3191">
        <f t="shared" si="100"/>
        <v>0.66530078927147795</v>
      </c>
      <c r="F3191">
        <v>2866.94995117187</v>
      </c>
      <c r="G3191">
        <f t="shared" si="99"/>
        <v>9.2939402193041865E-3</v>
      </c>
    </row>
    <row r="3192" spans="1:7" x14ac:dyDescent="0.25">
      <c r="A3192" s="1">
        <v>41390</v>
      </c>
      <c r="B3192">
        <v>0.64729201793670599</v>
      </c>
      <c r="C3192">
        <f>C3193*(1+G3192*3)</f>
        <v>0.61741917696133208</v>
      </c>
      <c r="D3192">
        <f t="shared" si="100"/>
        <v>0.64719450913875087</v>
      </c>
      <c r="F3192">
        <v>2840.55004882812</v>
      </c>
      <c r="G3192">
        <f t="shared" si="99"/>
        <v>-2.846904696055752E-3</v>
      </c>
    </row>
    <row r="3193" spans="1:7" x14ac:dyDescent="0.25">
      <c r="A3193" s="1">
        <v>41389</v>
      </c>
      <c r="B3193">
        <v>0.65281301736831598</v>
      </c>
      <c r="C3193">
        <f>C3194*(1+G3193*3)</f>
        <v>0.6227378024842436</v>
      </c>
      <c r="D3193">
        <f t="shared" si="100"/>
        <v>0.65270725397117735</v>
      </c>
      <c r="F3193">
        <v>2848.65991210937</v>
      </c>
      <c r="G3193">
        <f t="shared" si="99"/>
        <v>5.1302677094360316E-3</v>
      </c>
    </row>
    <row r="3194" spans="1:7" x14ac:dyDescent="0.25">
      <c r="A3194" s="1">
        <v>41388</v>
      </c>
      <c r="B3194">
        <v>0.64239597320556596</v>
      </c>
      <c r="C3194">
        <f>C3195*(1+G3194*3)</f>
        <v>0.61329864379867971</v>
      </c>
      <c r="D3194">
        <f t="shared" si="100"/>
        <v>0.64275385772152627</v>
      </c>
      <c r="F3194">
        <v>2834.1201171875</v>
      </c>
      <c r="G3194">
        <f t="shared" si="99"/>
        <v>-4.4085955213490902E-4</v>
      </c>
    </row>
    <row r="3195" spans="1:7" x14ac:dyDescent="0.25">
      <c r="A3195" s="1">
        <v>41387</v>
      </c>
      <c r="B3195">
        <v>0.64395797252654996</v>
      </c>
      <c r="C3195">
        <f>C3196*(1+G3195*3)</f>
        <v>0.61411085370645835</v>
      </c>
      <c r="D3195">
        <f t="shared" si="100"/>
        <v>0.64354402227965579</v>
      </c>
      <c r="F3195">
        <v>2835.3701171875</v>
      </c>
      <c r="G3195">
        <f t="shared" si="99"/>
        <v>9.003351593613873E-3</v>
      </c>
    </row>
    <row r="3196" spans="1:7" x14ac:dyDescent="0.25">
      <c r="A3196" s="1">
        <v>41386</v>
      </c>
      <c r="B3196">
        <v>0.62552100419998102</v>
      </c>
      <c r="C3196">
        <f>C3197*(1+G3196*3)</f>
        <v>0.59795992341818527</v>
      </c>
      <c r="D3196">
        <f t="shared" si="100"/>
        <v>0.62656120580596186</v>
      </c>
      <c r="F3196">
        <v>2810.07006835937</v>
      </c>
      <c r="G3196">
        <f t="shared" si="99"/>
        <v>1.0649355803665772E-2</v>
      </c>
    </row>
    <row r="3197" spans="1:7" x14ac:dyDescent="0.25">
      <c r="A3197" s="1">
        <v>41383</v>
      </c>
      <c r="B3197">
        <v>0.60687500238418501</v>
      </c>
      <c r="C3197">
        <f>C3198*(1+G3197*3)</f>
        <v>0.57944768957063597</v>
      </c>
      <c r="D3197">
        <f t="shared" si="100"/>
        <v>0.60710776514784637</v>
      </c>
      <c r="F3197">
        <v>2780.4599609375</v>
      </c>
      <c r="G3197">
        <f t="shared" si="99"/>
        <v>1.404475298652752E-2</v>
      </c>
    </row>
    <row r="3198" spans="1:7" x14ac:dyDescent="0.25">
      <c r="A3198" s="1">
        <v>41382</v>
      </c>
      <c r="B3198">
        <v>0.58270800113677901</v>
      </c>
      <c r="C3198">
        <f>C3199*(1+G3198*3)</f>
        <v>0.55602019086209586</v>
      </c>
      <c r="D3198">
        <f t="shared" si="100"/>
        <v>0.58250899028179071</v>
      </c>
      <c r="F3198">
        <v>2741.94995117187</v>
      </c>
      <c r="G3198">
        <f t="shared" si="99"/>
        <v>-1.4389042903944715E-2</v>
      </c>
    </row>
    <row r="3199" spans="1:7" x14ac:dyDescent="0.25">
      <c r="A3199" s="1">
        <v>41381</v>
      </c>
      <c r="B3199">
        <v>0.60906302928924505</v>
      </c>
      <c r="C3199">
        <f>C3200*(1+G3199*3)</f>
        <v>0.58110481730580232</v>
      </c>
      <c r="D3199">
        <f t="shared" si="100"/>
        <v>0.60872837186361961</v>
      </c>
      <c r="F3199">
        <v>2781.97998046875</v>
      </c>
      <c r="G3199">
        <f t="shared" si="99"/>
        <v>-1.9880825316976103E-2</v>
      </c>
    </row>
    <row r="3200" spans="1:7" x14ac:dyDescent="0.25">
      <c r="A3200" s="1">
        <v>41380</v>
      </c>
      <c r="B3200">
        <v>0.64687502384185702</v>
      </c>
      <c r="C3200">
        <f>C3201*(1+G3200*3)</f>
        <v>0.61796157572455168</v>
      </c>
      <c r="D3200">
        <f t="shared" si="100"/>
        <v>0.64727194717144776</v>
      </c>
      <c r="F3200">
        <v>2838.40991210937</v>
      </c>
      <c r="G3200">
        <f t="shared" si="99"/>
        <v>1.4634631232863571E-2</v>
      </c>
    </row>
    <row r="3201" spans="1:7" x14ac:dyDescent="0.25">
      <c r="A3201" s="1">
        <v>41379</v>
      </c>
      <c r="B3201">
        <v>0.62093800306320102</v>
      </c>
      <c r="C3201">
        <f>C3202*(1+G3201*3)</f>
        <v>0.59197171258274606</v>
      </c>
      <c r="D3201">
        <f t="shared" si="100"/>
        <v>0.61999309457246332</v>
      </c>
      <c r="F3201">
        <v>2797.46997070312</v>
      </c>
      <c r="G3201">
        <f t="shared" si="99"/>
        <v>-2.0658296283927235E-2</v>
      </c>
    </row>
    <row r="3202" spans="1:7" x14ac:dyDescent="0.25">
      <c r="A3202" s="1">
        <v>41376</v>
      </c>
      <c r="B3202">
        <v>0.66114598512649503</v>
      </c>
      <c r="C3202">
        <f>C3203*(1+G3202*3)</f>
        <v>0.63108301211480899</v>
      </c>
      <c r="D3202">
        <f t="shared" si="100"/>
        <v>0.66088900053142763</v>
      </c>
      <c r="F3202">
        <v>2856.47998046875</v>
      </c>
      <c r="G3202">
        <f t="shared" ref="G3202:G3265" si="101">F3202/F3203-1</f>
        <v>-9.059196972064365E-4</v>
      </c>
    </row>
    <row r="3203" spans="1:7" x14ac:dyDescent="0.25">
      <c r="A3203" s="1">
        <v>41375</v>
      </c>
      <c r="B3203">
        <v>0.66187500953674305</v>
      </c>
      <c r="C3203">
        <f>C3204*(1+G3203*3)</f>
        <v>0.63280281772588587</v>
      </c>
      <c r="D3203">
        <f t="shared" si="100"/>
        <v>0.66262708023517214</v>
      </c>
      <c r="F3203">
        <v>2859.07006835937</v>
      </c>
      <c r="G3203">
        <f t="shared" si="101"/>
        <v>-4.8927004326793089E-5</v>
      </c>
    </row>
    <row r="3204" spans="1:7" x14ac:dyDescent="0.25">
      <c r="A3204" s="1">
        <v>41374</v>
      </c>
      <c r="B3204">
        <v>0.66302102804183904</v>
      </c>
      <c r="C3204">
        <f>C3205*(1+G3204*3)</f>
        <v>0.63289571480001516</v>
      </c>
      <c r="D3204">
        <f t="shared" si="100"/>
        <v>0.66266156203559068</v>
      </c>
      <c r="F3204">
        <v>2859.2099609375</v>
      </c>
      <c r="G3204">
        <f t="shared" si="101"/>
        <v>1.9446152517669013E-2</v>
      </c>
    </row>
    <row r="3205" spans="1:7" x14ac:dyDescent="0.25">
      <c r="A3205" s="1">
        <v>41373</v>
      </c>
      <c r="B3205">
        <v>0.626353979110717</v>
      </c>
      <c r="C3205">
        <f>C3206*(1+G3205*3)</f>
        <v>0.59800880359515474</v>
      </c>
      <c r="D3205">
        <f t="shared" si="100"/>
        <v>0.62607782900013753</v>
      </c>
      <c r="F3205">
        <v>2804.669921875</v>
      </c>
      <c r="G3205">
        <f t="shared" si="101"/>
        <v>6.654405875645919E-3</v>
      </c>
    </row>
    <row r="3206" spans="1:7" x14ac:dyDescent="0.25">
      <c r="A3206" s="1">
        <v>41372</v>
      </c>
      <c r="B3206">
        <v>0.61427098512649503</v>
      </c>
      <c r="C3206">
        <f>C3207*(1+G3206*3)</f>
        <v>0.58630428358631526</v>
      </c>
      <c r="D3206">
        <f t="shared" si="100"/>
        <v>0.61376691473189593</v>
      </c>
      <c r="F3206">
        <v>2786.1298828125</v>
      </c>
      <c r="G3206">
        <f t="shared" si="101"/>
        <v>5.1880158068007276E-3</v>
      </c>
    </row>
    <row r="3207" spans="1:7" x14ac:dyDescent="0.25">
      <c r="A3207" s="1">
        <v>41369</v>
      </c>
      <c r="B3207">
        <v>0.605000019073486</v>
      </c>
      <c r="C3207">
        <f>C3208*(1+G3207*3)</f>
        <v>0.57731886538871258</v>
      </c>
      <c r="D3207">
        <f t="shared" si="100"/>
        <v>0.60430423966003555</v>
      </c>
      <c r="F3207">
        <v>2771.75</v>
      </c>
      <c r="G3207">
        <f t="shared" si="101"/>
        <v>-8.2900127812807201E-3</v>
      </c>
    </row>
    <row r="3208" spans="1:7" x14ac:dyDescent="0.25">
      <c r="A3208" s="1">
        <v>41368</v>
      </c>
      <c r="B3208">
        <v>0.62020802497863703</v>
      </c>
      <c r="C3208">
        <f>C3209*(1+G3208*3)</f>
        <v>0.59204299743615296</v>
      </c>
      <c r="D3208">
        <f t="shared" si="100"/>
        <v>0.6196564085184384</v>
      </c>
      <c r="F3208">
        <v>2794.919921875</v>
      </c>
      <c r="G3208">
        <f t="shared" si="101"/>
        <v>-4.297512229567424E-5</v>
      </c>
    </row>
    <row r="3209" spans="1:7" x14ac:dyDescent="0.25">
      <c r="A3209" s="1">
        <v>41367</v>
      </c>
      <c r="B3209">
        <v>0.61989599466323797</v>
      </c>
      <c r="C3209">
        <f>C3210*(1+G3209*3)</f>
        <v>0.59211933663887006</v>
      </c>
      <c r="D3209">
        <f t="shared" si="100"/>
        <v>0.61967758889073032</v>
      </c>
      <c r="F3209">
        <v>2795.0400390625</v>
      </c>
      <c r="G3209">
        <f t="shared" si="101"/>
        <v>-9.068955429030412E-3</v>
      </c>
    </row>
    <row r="3210" spans="1:7" x14ac:dyDescent="0.25">
      <c r="A3210" s="1">
        <v>41366</v>
      </c>
      <c r="B3210">
        <v>0.63677102327346802</v>
      </c>
      <c r="C3210">
        <f>C3211*(1+G3210*3)</f>
        <v>0.60867960115929087</v>
      </c>
      <c r="D3210">
        <f t="shared" si="100"/>
        <v>0.63694656085485091</v>
      </c>
      <c r="F3210">
        <v>2820.6201171875</v>
      </c>
      <c r="G3210">
        <f t="shared" si="101"/>
        <v>8.4195419680506145E-3</v>
      </c>
    </row>
    <row r="3211" spans="1:7" x14ac:dyDescent="0.25">
      <c r="A3211" s="1">
        <v>41365</v>
      </c>
      <c r="B3211">
        <v>0.62270802259445102</v>
      </c>
      <c r="C3211">
        <f>C3212*(1+G3211*3)</f>
        <v>0.59368396010568592</v>
      </c>
      <c r="D3211">
        <f t="shared" si="100"/>
        <v>0.62119711944486</v>
      </c>
      <c r="F3211">
        <v>2797.07006835937</v>
      </c>
      <c r="G3211">
        <f t="shared" si="101"/>
        <v>-7.67018490728133E-3</v>
      </c>
    </row>
    <row r="3212" spans="1:7" x14ac:dyDescent="0.25">
      <c r="A3212" s="1">
        <v>41361</v>
      </c>
      <c r="B3212">
        <v>0.63499999046325595</v>
      </c>
      <c r="C3212">
        <f>C3213*(1+G3212*3)</f>
        <v>0.60766670814612511</v>
      </c>
      <c r="D3212">
        <f t="shared" ref="D3212:D3269" si="102">D3213*(1+3*G3212--0.0000947457020553289)</f>
        <v>0.63576621664677102</v>
      </c>
      <c r="F3212">
        <v>2818.68994140625</v>
      </c>
      <c r="G3212">
        <f t="shared" si="101"/>
        <v>3.0996523099950934E-3</v>
      </c>
    </row>
    <row r="3213" spans="1:7" x14ac:dyDescent="0.25">
      <c r="A3213" s="1">
        <v>41360</v>
      </c>
      <c r="B3213">
        <v>0.63135397434234597</v>
      </c>
      <c r="C3213">
        <f>C3214*(1+G3213*3)</f>
        <v>0.60206810278936884</v>
      </c>
      <c r="D3213">
        <f t="shared" si="102"/>
        <v>0.62984959683122788</v>
      </c>
      <c r="F3213">
        <v>2809.97998046875</v>
      </c>
      <c r="G3213">
        <f t="shared" si="101"/>
        <v>1.2399716617672585E-3</v>
      </c>
    </row>
    <row r="3214" spans="1:7" x14ac:dyDescent="0.25">
      <c r="A3214" s="1">
        <v>41359</v>
      </c>
      <c r="B3214">
        <v>0.62802100181579501</v>
      </c>
      <c r="C3214">
        <f>C3215*(1+G3214*3)</f>
        <v>0.59983676103326633</v>
      </c>
      <c r="D3214">
        <f t="shared" si="102"/>
        <v>0.62745606484760996</v>
      </c>
      <c r="F3214">
        <v>2806.5</v>
      </c>
      <c r="G3214">
        <f t="shared" si="101"/>
        <v>6.1123336595327871E-3</v>
      </c>
    </row>
    <row r="3215" spans="1:7" x14ac:dyDescent="0.25">
      <c r="A3215" s="1">
        <v>41358</v>
      </c>
      <c r="B3215">
        <v>0.61854201555251997</v>
      </c>
      <c r="C3215">
        <f>C3216*(1+G3215*3)</f>
        <v>0.58903561439566376</v>
      </c>
      <c r="D3215">
        <f t="shared" si="102"/>
        <v>0.61610026090865699</v>
      </c>
      <c r="F3215">
        <v>2789.44995117187</v>
      </c>
      <c r="G3215">
        <f t="shared" si="101"/>
        <v>-4.0560077921113491E-3</v>
      </c>
    </row>
    <row r="3216" spans="1:7" x14ac:dyDescent="0.25">
      <c r="A3216" s="1">
        <v>41355</v>
      </c>
      <c r="B3216">
        <v>0.62489598989486606</v>
      </c>
      <c r="C3216">
        <f>C3217*(1+G3216*3)</f>
        <v>0.59629130088392401</v>
      </c>
      <c r="D3216">
        <f t="shared" si="102"/>
        <v>0.6236295131872418</v>
      </c>
      <c r="F3216">
        <v>2800.81005859375</v>
      </c>
      <c r="G3216">
        <f t="shared" si="101"/>
        <v>9.3554462489440215E-3</v>
      </c>
    </row>
    <row r="3217" spans="1:7" x14ac:dyDescent="0.25">
      <c r="A3217" s="1">
        <v>41354</v>
      </c>
      <c r="B3217">
        <v>0.60812497138976995</v>
      </c>
      <c r="C3217">
        <f>C3218*(1+G3217*3)</f>
        <v>0.58001247430275471</v>
      </c>
      <c r="D3217">
        <f t="shared" si="102"/>
        <v>0.60654845103529509</v>
      </c>
      <c r="F3217">
        <v>2774.85009765625</v>
      </c>
      <c r="G3217">
        <f t="shared" si="101"/>
        <v>-1.1069426826241346E-2</v>
      </c>
    </row>
    <row r="3218" spans="1:7" x14ac:dyDescent="0.25">
      <c r="A3218" s="1">
        <v>41353</v>
      </c>
      <c r="B3218">
        <v>0.62822902202606201</v>
      </c>
      <c r="C3218">
        <f>C3219*(1+G3218*3)</f>
        <v>0.59993529380863764</v>
      </c>
      <c r="D3218">
        <f t="shared" si="102"/>
        <v>0.62732127592167153</v>
      </c>
      <c r="F3218">
        <v>2805.90991210937</v>
      </c>
      <c r="G3218">
        <f t="shared" si="101"/>
        <v>6.6875087262820987E-3</v>
      </c>
    </row>
    <row r="3219" spans="1:7" x14ac:dyDescent="0.25">
      <c r="A3219" s="1">
        <v>41352</v>
      </c>
      <c r="B3219">
        <v>0.61645799875259399</v>
      </c>
      <c r="C3219">
        <f>C3220*(1+G3219*3)</f>
        <v>0.58813580384723563</v>
      </c>
      <c r="D3219">
        <f t="shared" si="102"/>
        <v>0.61492604445690635</v>
      </c>
      <c r="F3219">
        <v>2787.27001953125</v>
      </c>
      <c r="G3219">
        <f t="shared" si="101"/>
        <v>-1.8013928334746909E-3</v>
      </c>
    </row>
    <row r="3220" spans="1:7" x14ac:dyDescent="0.25">
      <c r="A3220" s="1">
        <v>41351</v>
      </c>
      <c r="B3220">
        <v>0.61895799636840798</v>
      </c>
      <c r="C3220">
        <f>C3221*(1+G3220*3)</f>
        <v>0.5913314646350406</v>
      </c>
      <c r="D3220">
        <f t="shared" si="102"/>
        <v>0.61820838030753755</v>
      </c>
      <c r="F3220">
        <v>2792.30004882812</v>
      </c>
      <c r="G3220">
        <f t="shared" si="101"/>
        <v>-2.5397721321536171E-3</v>
      </c>
    </row>
    <row r="3221" spans="1:7" x14ac:dyDescent="0.25">
      <c r="A3221" s="1">
        <v>41348</v>
      </c>
      <c r="B3221">
        <v>0.62322902679443304</v>
      </c>
      <c r="C3221">
        <f>C3222*(1+G3221*3)</f>
        <v>0.59587159887856134</v>
      </c>
      <c r="D3221">
        <f t="shared" si="102"/>
        <v>0.62289540078597161</v>
      </c>
      <c r="F3221">
        <v>2799.40991210937</v>
      </c>
      <c r="G3221">
        <f t="shared" si="101"/>
        <v>-2.8105783427189168E-3</v>
      </c>
    </row>
    <row r="3222" spans="1:7" x14ac:dyDescent="0.25">
      <c r="A3222" s="1">
        <v>41347</v>
      </c>
      <c r="B3222">
        <v>0.629167020320892</v>
      </c>
      <c r="C3222">
        <f>C3223*(1+G3222*3)</f>
        <v>0.60093855353013115</v>
      </c>
      <c r="D3222">
        <f t="shared" si="102"/>
        <v>0.62813213166302762</v>
      </c>
      <c r="F3222">
        <v>2807.30004882812</v>
      </c>
      <c r="G3222">
        <f t="shared" si="101"/>
        <v>3.080065387272235E-3</v>
      </c>
    </row>
    <row r="3223" spans="1:7" x14ac:dyDescent="0.25">
      <c r="A3223" s="1">
        <v>41346</v>
      </c>
      <c r="B3223">
        <v>0.62281298637390103</v>
      </c>
      <c r="C3223">
        <f>C3224*(1+G3223*3)</f>
        <v>0.59543660252091224</v>
      </c>
      <c r="D3223">
        <f t="shared" si="102"/>
        <v>0.62232278464777768</v>
      </c>
      <c r="F3223">
        <v>2798.67993164062</v>
      </c>
      <c r="G3223">
        <f t="shared" si="101"/>
        <v>-7.6053959696198437E-4</v>
      </c>
    </row>
    <row r="3224" spans="1:7" x14ac:dyDescent="0.25">
      <c r="A3224" s="1">
        <v>41345</v>
      </c>
      <c r="B3224">
        <v>0.624791979789733</v>
      </c>
      <c r="C3224">
        <f>C3225*(1+G3224*3)</f>
        <v>0.59679826866506669</v>
      </c>
      <c r="D3224">
        <f t="shared" si="102"/>
        <v>0.62368670832607731</v>
      </c>
      <c r="F3224">
        <v>2800.81005859375</v>
      </c>
      <c r="G3224">
        <f t="shared" si="101"/>
        <v>-3.9298003478031029E-3</v>
      </c>
    </row>
    <row r="3225" spans="1:7" x14ac:dyDescent="0.25">
      <c r="A3225" s="1">
        <v>41344</v>
      </c>
      <c r="B3225">
        <v>0.63249999284744196</v>
      </c>
      <c r="C3225">
        <f>C3226*(1+G3225*3)</f>
        <v>0.60391810135936652</v>
      </c>
      <c r="D3225">
        <f t="shared" si="102"/>
        <v>0.63106681725119518</v>
      </c>
      <c r="F3225">
        <v>2811.86010742187</v>
      </c>
      <c r="G3225">
        <f t="shared" si="101"/>
        <v>2.7638001729988204E-3</v>
      </c>
    </row>
    <row r="3226" spans="1:7" x14ac:dyDescent="0.25">
      <c r="A3226" s="1">
        <v>41341</v>
      </c>
      <c r="B3226">
        <v>0.62604200839996305</v>
      </c>
      <c r="C3226">
        <f>C3227*(1+G3226*3)</f>
        <v>0.59895195084329056</v>
      </c>
      <c r="D3226">
        <f t="shared" si="102"/>
        <v>0.62581861087256241</v>
      </c>
      <c r="F3226">
        <v>2804.11010742187</v>
      </c>
      <c r="G3226">
        <f t="shared" si="101"/>
        <v>1.6503424565248448E-3</v>
      </c>
    </row>
    <row r="3227" spans="1:7" x14ac:dyDescent="0.25">
      <c r="A3227" s="1">
        <v>41340</v>
      </c>
      <c r="B3227">
        <v>0.62531298398971502</v>
      </c>
      <c r="C3227">
        <f>C3228*(1+G3227*3)</f>
        <v>0.59600113292189683</v>
      </c>
      <c r="D3227">
        <f t="shared" si="102"/>
        <v>0.62267672541911201</v>
      </c>
      <c r="F3227">
        <v>2799.48999023437</v>
      </c>
      <c r="G3227">
        <f t="shared" si="101"/>
        <v>2.4815694184603387E-3</v>
      </c>
    </row>
    <row r="3228" spans="1:7" x14ac:dyDescent="0.25">
      <c r="A3228" s="1">
        <v>41339</v>
      </c>
      <c r="B3228">
        <v>0.61989599466323797</v>
      </c>
      <c r="C3228">
        <f>C3229*(1+G3228*3)</f>
        <v>0.59159686684344981</v>
      </c>
      <c r="D3228">
        <f t="shared" si="102"/>
        <v>0.61801721309607105</v>
      </c>
      <c r="F3228">
        <v>2792.56005859375</v>
      </c>
      <c r="G3228">
        <f t="shared" si="101"/>
        <v>-2.3899049410556206E-3</v>
      </c>
    </row>
    <row r="3229" spans="1:7" x14ac:dyDescent="0.25">
      <c r="A3229" s="1">
        <v>41338</v>
      </c>
      <c r="B3229">
        <v>0.62385398149490301</v>
      </c>
      <c r="C3229">
        <f>C3230*(1+G3229*3)</f>
        <v>0.59586907820613111</v>
      </c>
      <c r="D3229">
        <f t="shared" si="102"/>
        <v>0.62242082118630104</v>
      </c>
      <c r="F3229">
        <v>2799.25</v>
      </c>
      <c r="G3229">
        <f t="shared" si="101"/>
        <v>1.43937446889284E-2</v>
      </c>
    </row>
    <row r="3230" spans="1:7" x14ac:dyDescent="0.25">
      <c r="A3230" s="1">
        <v>41337</v>
      </c>
      <c r="B3230">
        <v>0.59760397672653198</v>
      </c>
      <c r="C3230">
        <f>C3231*(1+G3230*3)</f>
        <v>0.57120379349920625</v>
      </c>
      <c r="D3230">
        <f t="shared" si="102"/>
        <v>0.59660227327788318</v>
      </c>
      <c r="F3230">
        <v>2759.53002929687</v>
      </c>
      <c r="G3230">
        <f t="shared" si="101"/>
        <v>4.2871546890619339E-3</v>
      </c>
    </row>
    <row r="3231" spans="1:7" x14ac:dyDescent="0.25">
      <c r="A3231" s="1">
        <v>41334</v>
      </c>
      <c r="B3231">
        <v>0.58999997377395597</v>
      </c>
      <c r="C3231">
        <f>C3232*(1+G3231*3)</f>
        <v>0.56395056358992524</v>
      </c>
      <c r="D3231">
        <f t="shared" si="102"/>
        <v>0.58897143580747047</v>
      </c>
      <c r="F3231">
        <v>2747.75</v>
      </c>
      <c r="G3231">
        <f t="shared" si="101"/>
        <v>3.3484220338293458E-3</v>
      </c>
    </row>
    <row r="3232" spans="1:7" x14ac:dyDescent="0.25">
      <c r="A3232" s="1">
        <v>41333</v>
      </c>
      <c r="B3232">
        <v>0.58395802974700906</v>
      </c>
      <c r="C3232">
        <f>C3233*(1+G3232*3)</f>
        <v>0.55834187092092191</v>
      </c>
      <c r="D3232">
        <f t="shared" si="102"/>
        <v>0.58305920855060278</v>
      </c>
      <c r="F3232">
        <v>2738.580078125</v>
      </c>
      <c r="G3232">
        <f t="shared" si="101"/>
        <v>-9.7762767160824993E-4</v>
      </c>
    </row>
    <row r="3233" spans="1:7" x14ac:dyDescent="0.25">
      <c r="A3233" s="1">
        <v>41332</v>
      </c>
      <c r="B3233">
        <v>0.58614599704742398</v>
      </c>
      <c r="C3233">
        <f>C3234*(1+G3233*3)</f>
        <v>0.55998423918459594</v>
      </c>
      <c r="D3233">
        <f t="shared" si="102"/>
        <v>0.58471872056892427</v>
      </c>
      <c r="F3233">
        <v>2741.26000976562</v>
      </c>
      <c r="G3233">
        <f t="shared" si="101"/>
        <v>1.0409060762938793E-2</v>
      </c>
    </row>
    <row r="3234" spans="1:7" x14ac:dyDescent="0.25">
      <c r="A3234" s="1">
        <v>41331</v>
      </c>
      <c r="B3234">
        <v>0.56885397434234597</v>
      </c>
      <c r="C3234">
        <f>C3235*(1+G3234*3)</f>
        <v>0.54302703497565563</v>
      </c>
      <c r="D3234">
        <f t="shared" si="102"/>
        <v>0.56696042690377058</v>
      </c>
      <c r="F3234">
        <v>2713.02001953125</v>
      </c>
      <c r="G3234">
        <f t="shared" si="101"/>
        <v>4.4613783043996325E-3</v>
      </c>
    </row>
    <row r="3235" spans="1:7" x14ac:dyDescent="0.25">
      <c r="A3235" s="1">
        <v>41330</v>
      </c>
      <c r="B3235">
        <v>0.56208300590515103</v>
      </c>
      <c r="C3235">
        <f>C3236*(1+G3235*3)</f>
        <v>0.53585507831358381</v>
      </c>
      <c r="D3235">
        <f t="shared" si="102"/>
        <v>0.55942007055892973</v>
      </c>
      <c r="F3235">
        <v>2700.96997070312</v>
      </c>
      <c r="G3235">
        <f t="shared" si="101"/>
        <v>-1.3265014249593254E-2</v>
      </c>
    </row>
    <row r="3236" spans="1:7" x14ac:dyDescent="0.25">
      <c r="A3236" s="1">
        <v>41327</v>
      </c>
      <c r="B3236">
        <v>0.583854019641876</v>
      </c>
      <c r="C3236">
        <f>C3237*(1+G3236*3)</f>
        <v>0.55806322834197475</v>
      </c>
      <c r="D3236">
        <f t="shared" si="102"/>
        <v>0.58254737436501003</v>
      </c>
      <c r="F3236">
        <v>2737.28002929687</v>
      </c>
      <c r="G3236">
        <f t="shared" si="101"/>
        <v>9.5039367136533492E-3</v>
      </c>
    </row>
    <row r="3237" spans="1:7" x14ac:dyDescent="0.25">
      <c r="A3237" s="1">
        <v>41326</v>
      </c>
      <c r="B3237">
        <v>0.56718802452087402</v>
      </c>
      <c r="C3237">
        <f>C3238*(1+G3237*3)</f>
        <v>0.54259292196702225</v>
      </c>
      <c r="D3237">
        <f t="shared" si="102"/>
        <v>0.56634616127599102</v>
      </c>
      <c r="F3237">
        <v>2711.51000976562</v>
      </c>
      <c r="G3237">
        <f t="shared" si="101"/>
        <v>-1.0394191427799293E-2</v>
      </c>
    </row>
    <row r="3238" spans="1:7" x14ac:dyDescent="0.25">
      <c r="A3238" s="1">
        <v>41325</v>
      </c>
      <c r="B3238">
        <v>0.58625000715255704</v>
      </c>
      <c r="C3238">
        <f>C3239*(1+G3238*3)</f>
        <v>0.56005693907258558</v>
      </c>
      <c r="D3238">
        <f t="shared" si="102"/>
        <v>0.58451754243809406</v>
      </c>
      <c r="F3238">
        <v>2739.98999023437</v>
      </c>
      <c r="G3238">
        <f t="shared" si="101"/>
        <v>-1.5405056500384484E-2</v>
      </c>
    </row>
    <row r="3239" spans="1:7" x14ac:dyDescent="0.25">
      <c r="A3239" s="1">
        <v>41324</v>
      </c>
      <c r="B3239">
        <v>0.61427098512649503</v>
      </c>
      <c r="C3239">
        <f>C3240*(1+G3239*3)</f>
        <v>0.587194219454786</v>
      </c>
      <c r="D3239">
        <f t="shared" si="102"/>
        <v>0.61277917781414537</v>
      </c>
      <c r="F3239">
        <v>2782.86010742187</v>
      </c>
      <c r="G3239">
        <f t="shared" si="101"/>
        <v>6.579514394446484E-3</v>
      </c>
    </row>
    <row r="3240" spans="1:7" x14ac:dyDescent="0.25">
      <c r="A3240" s="1">
        <v>41320</v>
      </c>
      <c r="B3240">
        <v>0.60114598274230902</v>
      </c>
      <c r="C3240">
        <f>C3241*(1+G3240*3)</f>
        <v>0.57582820947586166</v>
      </c>
      <c r="D3240">
        <f t="shared" si="102"/>
        <v>0.60086210608389679</v>
      </c>
      <c r="F3240">
        <v>2764.669921875</v>
      </c>
      <c r="G3240">
        <f t="shared" si="101"/>
        <v>-2.4391775842653729E-3</v>
      </c>
    </row>
    <row r="3241" spans="1:7" x14ac:dyDescent="0.25">
      <c r="A3241" s="1">
        <v>41319</v>
      </c>
      <c r="B3241">
        <v>0.60635399818420399</v>
      </c>
      <c r="C3241">
        <f>C3242*(1+G3241*3)</f>
        <v>0.58007291200849365</v>
      </c>
      <c r="D3241">
        <f t="shared" si="102"/>
        <v>0.60523357934345212</v>
      </c>
      <c r="F3241">
        <v>2771.42993164062</v>
      </c>
      <c r="G3241">
        <f t="shared" si="101"/>
        <v>-8.4364885125753908E-4</v>
      </c>
    </row>
    <row r="3242" spans="1:7" x14ac:dyDescent="0.25">
      <c r="A3242" s="1">
        <v>41318</v>
      </c>
      <c r="B3242">
        <v>0.60760402679443304</v>
      </c>
      <c r="C3242">
        <f>C3243*(1+G3242*3)</f>
        <v>0.58154477074186728</v>
      </c>
      <c r="D3242">
        <f t="shared" si="102"/>
        <v>0.60671165078383849</v>
      </c>
      <c r="F3242">
        <v>2773.77001953125</v>
      </c>
      <c r="G3242">
        <f t="shared" si="101"/>
        <v>4.0359882541871617E-3</v>
      </c>
    </row>
    <row r="3243" spans="1:7" x14ac:dyDescent="0.25">
      <c r="A3243" s="1">
        <v>41317</v>
      </c>
      <c r="B3243">
        <v>0.60062497854232699</v>
      </c>
      <c r="C3243">
        <f>C3244*(1+G3243*3)</f>
        <v>0.57458768331923615</v>
      </c>
      <c r="D3243">
        <f t="shared" si="102"/>
        <v>0.59939737812532479</v>
      </c>
      <c r="F3243">
        <v>2762.6201171875</v>
      </c>
      <c r="G3243">
        <f t="shared" si="101"/>
        <v>-4.3320127497523675E-3</v>
      </c>
    </row>
    <row r="3244" spans="1:7" x14ac:dyDescent="0.25">
      <c r="A3244" s="1">
        <v>41316</v>
      </c>
      <c r="B3244">
        <v>0.60770797729492099</v>
      </c>
      <c r="C3244">
        <f>C3245*(1+G3244*3)</f>
        <v>0.58215337079299589</v>
      </c>
      <c r="D3244">
        <f t="shared" si="102"/>
        <v>0.60723144868871903</v>
      </c>
      <c r="F3244">
        <v>2774.63989257812</v>
      </c>
      <c r="G3244">
        <f t="shared" si="101"/>
        <v>-3.3152444775275125E-4</v>
      </c>
    </row>
    <row r="3245" spans="1:7" x14ac:dyDescent="0.25">
      <c r="A3245" s="1">
        <v>41313</v>
      </c>
      <c r="B3245">
        <v>0.60791701078414895</v>
      </c>
      <c r="C3245">
        <f>C3246*(1+G3245*3)</f>
        <v>0.58273294144279342</v>
      </c>
      <c r="D3245">
        <f t="shared" si="102"/>
        <v>0.60777834444277312</v>
      </c>
      <c r="F3245">
        <v>2775.56005859375</v>
      </c>
      <c r="G3245">
        <f t="shared" si="101"/>
        <v>1.0580760456490035E-2</v>
      </c>
    </row>
    <row r="3246" spans="1:7" x14ac:dyDescent="0.25">
      <c r="A3246" s="1">
        <v>41312</v>
      </c>
      <c r="B3246">
        <v>0.58999997377395597</v>
      </c>
      <c r="C3246">
        <f>C3247*(1+G3246*3)</f>
        <v>0.5648047501448813</v>
      </c>
      <c r="D3246">
        <f t="shared" si="102"/>
        <v>0.58902552292363397</v>
      </c>
      <c r="F3246">
        <v>2746.5</v>
      </c>
      <c r="G3246">
        <f t="shared" si="101"/>
        <v>5.4582386957102713E-5</v>
      </c>
    </row>
    <row r="3247" spans="1:7" x14ac:dyDescent="0.25">
      <c r="A3247" s="1">
        <v>41311</v>
      </c>
      <c r="B3247">
        <v>0.58854198455810502</v>
      </c>
      <c r="C3247">
        <f>C3248*(1+G3247*3)</f>
        <v>0.56471228011230379</v>
      </c>
      <c r="D3247">
        <f t="shared" si="102"/>
        <v>0.58887330337754284</v>
      </c>
      <c r="F3247">
        <v>2746.35009765625</v>
      </c>
      <c r="G3247">
        <f t="shared" si="101"/>
        <v>-3.1360885552200735E-3</v>
      </c>
    </row>
    <row r="3248" spans="1:7" x14ac:dyDescent="0.25">
      <c r="A3248" s="1">
        <v>41310</v>
      </c>
      <c r="B3248">
        <v>0.59406298398971502</v>
      </c>
      <c r="C3248">
        <f>C3249*(1+G3248*3)</f>
        <v>0.57007570378303274</v>
      </c>
      <c r="D3248">
        <f t="shared" si="102"/>
        <v>0.59440934669453571</v>
      </c>
      <c r="F3248">
        <v>2754.98999023437</v>
      </c>
      <c r="G3248">
        <f t="shared" si="101"/>
        <v>1.447521783982908E-2</v>
      </c>
    </row>
    <row r="3249" spans="1:7" x14ac:dyDescent="0.25">
      <c r="A3249" s="1">
        <v>41309</v>
      </c>
      <c r="B3249">
        <v>0.56906300783157304</v>
      </c>
      <c r="C3249">
        <f>C3250*(1+G3249*3)</f>
        <v>0.54635009390478428</v>
      </c>
      <c r="D3249">
        <f t="shared" si="102"/>
        <v>0.56961928788163618</v>
      </c>
      <c r="F3249">
        <v>2715.67993164062</v>
      </c>
      <c r="G3249">
        <f t="shared" si="101"/>
        <v>-1.7467702129991824E-2</v>
      </c>
    </row>
    <row r="3250" spans="1:7" x14ac:dyDescent="0.25">
      <c r="A3250" s="1">
        <v>41306</v>
      </c>
      <c r="B3250">
        <v>0.59958302974700906</v>
      </c>
      <c r="C3250">
        <f>C3251*(1+G3250*3)</f>
        <v>0.57656382960836305</v>
      </c>
      <c r="D3250">
        <f t="shared" si="102"/>
        <v>0.60105973742167573</v>
      </c>
      <c r="F3250">
        <v>2763.9599609375</v>
      </c>
      <c r="G3250">
        <f t="shared" si="101"/>
        <v>1.1872441925516064E-2</v>
      </c>
    </row>
    <row r="3251" spans="1:7" x14ac:dyDescent="0.25">
      <c r="A3251" s="1">
        <v>41305</v>
      </c>
      <c r="B3251">
        <v>0.58052098751068104</v>
      </c>
      <c r="C3251">
        <f>C3252*(1+G3251*3)</f>
        <v>0.55673443776737896</v>
      </c>
      <c r="D3251">
        <f t="shared" si="102"/>
        <v>0.58033478026725205</v>
      </c>
      <c r="F3251">
        <v>2731.53002929687</v>
      </c>
      <c r="G3251">
        <f t="shared" si="101"/>
        <v>-2.6216473241190696E-3</v>
      </c>
    </row>
    <row r="3252" spans="1:7" x14ac:dyDescent="0.25">
      <c r="A3252" s="1">
        <v>41304</v>
      </c>
      <c r="B3252">
        <v>0.58427101373672397</v>
      </c>
      <c r="C3252">
        <f>C3253*(1+G3252*3)</f>
        <v>0.56114783291113912</v>
      </c>
      <c r="D3252">
        <f t="shared" si="102"/>
        <v>0.5848794080623545</v>
      </c>
      <c r="F3252">
        <v>2738.7099609375</v>
      </c>
      <c r="G3252">
        <f t="shared" si="101"/>
        <v>-1.7750956957044428E-3</v>
      </c>
    </row>
    <row r="3253" spans="1:7" x14ac:dyDescent="0.25">
      <c r="A3253" s="1">
        <v>41303</v>
      </c>
      <c r="B3253">
        <v>0.58749997615814198</v>
      </c>
      <c r="C3253">
        <f>C3254*(1+G3253*3)</f>
        <v>0.56415210483015898</v>
      </c>
      <c r="D3253">
        <f t="shared" si="102"/>
        <v>0.58795472960811024</v>
      </c>
      <c r="F3253">
        <v>2743.580078125</v>
      </c>
      <c r="G3253">
        <f t="shared" si="101"/>
        <v>4.1938956073606093E-4</v>
      </c>
    </row>
    <row r="3254" spans="1:7" x14ac:dyDescent="0.25">
      <c r="A3254" s="1">
        <v>41302</v>
      </c>
      <c r="B3254">
        <v>0.58749997615814198</v>
      </c>
      <c r="C3254">
        <f>C3255*(1+G3254*3)</f>
        <v>0.5634431982439253</v>
      </c>
      <c r="D3254">
        <f t="shared" si="102"/>
        <v>0.58716035192212557</v>
      </c>
      <c r="F3254">
        <v>2742.42993164062</v>
      </c>
      <c r="G3254">
        <f t="shared" si="101"/>
        <v>2.0827597945536347E-3</v>
      </c>
    </row>
    <row r="3255" spans="1:7" x14ac:dyDescent="0.25">
      <c r="A3255" s="1">
        <v>41299</v>
      </c>
      <c r="B3255">
        <v>0.58333301544189398</v>
      </c>
      <c r="C3255">
        <f>C3256*(1+G3255*3)</f>
        <v>0.55994450851537458</v>
      </c>
      <c r="D3255">
        <f t="shared" si="102"/>
        <v>0.58345945396910126</v>
      </c>
      <c r="F3255">
        <v>2736.72998046875</v>
      </c>
      <c r="G3255">
        <f t="shared" si="101"/>
        <v>4.8466332406431611E-3</v>
      </c>
    </row>
    <row r="3256" spans="1:7" x14ac:dyDescent="0.25">
      <c r="A3256" s="1">
        <v>41298</v>
      </c>
      <c r="B3256">
        <v>0.57479202747344904</v>
      </c>
      <c r="C3256">
        <f>C3257*(1+G3256*3)</f>
        <v>0.55191965211900207</v>
      </c>
      <c r="D3256">
        <f t="shared" si="102"/>
        <v>0.57504389052799532</v>
      </c>
      <c r="F3256">
        <v>2723.53002929687</v>
      </c>
      <c r="G3256">
        <f t="shared" si="101"/>
        <v>-1.3988962906344549E-2</v>
      </c>
    </row>
    <row r="3257" spans="1:7" x14ac:dyDescent="0.25">
      <c r="A3257" s="1">
        <v>41297</v>
      </c>
      <c r="B3257">
        <v>0.59864598512649503</v>
      </c>
      <c r="C3257">
        <f>C3258*(1+G3257*3)</f>
        <v>0.57609663551298518</v>
      </c>
      <c r="D3257">
        <f t="shared" si="102"/>
        <v>0.60017448228539005</v>
      </c>
      <c r="F3257">
        <v>2762.169921875</v>
      </c>
      <c r="G3257">
        <f t="shared" si="101"/>
        <v>5.8189640227752637E-3</v>
      </c>
    </row>
    <row r="3258" spans="1:7" x14ac:dyDescent="0.25">
      <c r="A3258" s="1">
        <v>41296</v>
      </c>
      <c r="B3258">
        <v>0.58906298875808705</v>
      </c>
      <c r="C3258">
        <f>C3259*(1+G3258*3)</f>
        <v>0.5662123280150706</v>
      </c>
      <c r="D3258">
        <f t="shared" si="102"/>
        <v>0.5898221377742251</v>
      </c>
      <c r="F3258">
        <v>2746.18994140625</v>
      </c>
      <c r="G3258">
        <f t="shared" si="101"/>
        <v>1.0753529338962675E-3</v>
      </c>
    </row>
    <row r="3259" spans="1:7" x14ac:dyDescent="0.25">
      <c r="A3259" s="1">
        <v>41292</v>
      </c>
      <c r="B3259">
        <v>0.58666700124740601</v>
      </c>
      <c r="C3259">
        <f>C3260*(1+G3259*3)</f>
        <v>0.56439156763071663</v>
      </c>
      <c r="D3259">
        <f t="shared" si="102"/>
        <v>0.58786993664101184</v>
      </c>
      <c r="F3259">
        <v>2743.23999023437</v>
      </c>
      <c r="G3259">
        <f t="shared" si="101"/>
        <v>-1.4232612883789963E-3</v>
      </c>
    </row>
    <row r="3260" spans="1:7" x14ac:dyDescent="0.25">
      <c r="A3260" s="1">
        <v>41291</v>
      </c>
      <c r="B3260">
        <v>0.58999997377395597</v>
      </c>
      <c r="C3260">
        <f>C3261*(1+G3260*3)</f>
        <v>0.56681173121522976</v>
      </c>
      <c r="D3260">
        <f t="shared" si="102"/>
        <v>0.59033460615067868</v>
      </c>
      <c r="F3260">
        <v>2747.14990234375</v>
      </c>
      <c r="G3260">
        <f t="shared" si="101"/>
        <v>4.5415532662098634E-3</v>
      </c>
    </row>
    <row r="3261" spans="1:7" x14ac:dyDescent="0.25">
      <c r="A3261" s="1">
        <v>41290</v>
      </c>
      <c r="B3261">
        <v>0.58104199171066195</v>
      </c>
      <c r="C3261">
        <f>C3262*(1+G3261*3)</f>
        <v>0.55919291794640702</v>
      </c>
      <c r="D3261">
        <f t="shared" si="102"/>
        <v>0.58234517653246198</v>
      </c>
      <c r="F3261">
        <v>2734.72998046875</v>
      </c>
      <c r="G3261">
        <f t="shared" si="101"/>
        <v>4.3151253715707494E-3</v>
      </c>
    </row>
    <row r="3262" spans="1:7" x14ac:dyDescent="0.25">
      <c r="A3262" s="1">
        <v>41289</v>
      </c>
      <c r="B3262">
        <v>0.57458299398422197</v>
      </c>
      <c r="C3262">
        <f>C3263*(1+G3262*3)</f>
        <v>0.55204646877531183</v>
      </c>
      <c r="D3262">
        <f t="shared" si="102"/>
        <v>0.574849074573764</v>
      </c>
      <c r="F3262">
        <v>2722.97998046875</v>
      </c>
      <c r="G3262">
        <f t="shared" si="101"/>
        <v>-4.649622009047949E-3</v>
      </c>
    </row>
    <row r="3263" spans="1:7" x14ac:dyDescent="0.25">
      <c r="A3263" s="1">
        <v>41288</v>
      </c>
      <c r="B3263">
        <v>0.58322900533676103</v>
      </c>
      <c r="C3263">
        <f>C3264*(1+G3263*3)</f>
        <v>0.55985582263983125</v>
      </c>
      <c r="D3263">
        <f t="shared" si="102"/>
        <v>0.58292498749096455</v>
      </c>
      <c r="F3263">
        <v>2735.69995117187</v>
      </c>
      <c r="G3263">
        <f t="shared" si="101"/>
        <v>-4.5701856989946998E-3</v>
      </c>
    </row>
    <row r="3264" spans="1:7" x14ac:dyDescent="0.25">
      <c r="A3264" s="1">
        <v>41285</v>
      </c>
      <c r="B3264">
        <v>0.59083300828933705</v>
      </c>
      <c r="C3264">
        <f>C3265*(1+G3264*3)</f>
        <v>0.56763846218607772</v>
      </c>
      <c r="D3264">
        <f t="shared" si="102"/>
        <v>0.59097154458175949</v>
      </c>
      <c r="F3264">
        <v>2748.26000976562</v>
      </c>
      <c r="G3264">
        <f t="shared" si="101"/>
        <v>1.4868114433592705E-3</v>
      </c>
    </row>
    <row r="3265" spans="1:7" x14ac:dyDescent="0.25">
      <c r="A3265" s="1">
        <v>41284</v>
      </c>
      <c r="B3265">
        <v>0.58864599466323797</v>
      </c>
      <c r="C3265">
        <f>C3266*(1+G3265*3)</f>
        <v>0.56511779138882923</v>
      </c>
      <c r="D3265">
        <f t="shared" si="102"/>
        <v>0.58829176965953811</v>
      </c>
      <c r="F3265">
        <v>2744.17993164062</v>
      </c>
      <c r="G3265">
        <f t="shared" si="101"/>
        <v>6.0601726353028962E-3</v>
      </c>
    </row>
    <row r="3266" spans="1:7" x14ac:dyDescent="0.25">
      <c r="A3266" s="1">
        <v>41283</v>
      </c>
      <c r="B3266">
        <v>0.57843798398971502</v>
      </c>
      <c r="C3266">
        <f>C3267*(1+G3266*3)</f>
        <v>0.55502711105797498</v>
      </c>
      <c r="D3266">
        <f t="shared" si="102"/>
        <v>0.57773353697613783</v>
      </c>
      <c r="F3266">
        <v>2727.64990234375</v>
      </c>
      <c r="G3266">
        <f t="shared" ref="G3266:G3329" si="103">F3266/F3267-1</f>
        <v>3.2846088368272408E-3</v>
      </c>
    </row>
    <row r="3267" spans="1:7" x14ac:dyDescent="0.25">
      <c r="A3267" s="1">
        <v>41282</v>
      </c>
      <c r="B3267">
        <v>0.572604000568389</v>
      </c>
      <c r="C3267">
        <f>C3268*(1+G3267*3)</f>
        <v>0.54961133630186243</v>
      </c>
      <c r="D3267">
        <f t="shared" si="102"/>
        <v>0.57204253055229592</v>
      </c>
      <c r="F3267">
        <v>2718.71997070312</v>
      </c>
      <c r="G3267">
        <f t="shared" si="103"/>
        <v>-2.0189265401282519E-3</v>
      </c>
    </row>
    <row r="3268" spans="1:7" x14ac:dyDescent="0.25">
      <c r="A3268" s="1">
        <v>41281</v>
      </c>
      <c r="B3268">
        <v>0.57593798637390103</v>
      </c>
      <c r="C3268">
        <f>C3269*(1+G3268*3)</f>
        <v>0.55296049616591803</v>
      </c>
      <c r="D3268">
        <f t="shared" si="102"/>
        <v>0.57547352321681511</v>
      </c>
      <c r="F3268">
        <v>2724.21997070312</v>
      </c>
      <c r="G3268">
        <f t="shared" si="103"/>
        <v>-9.9108285300353316E-5</v>
      </c>
    </row>
    <row r="3269" spans="1:7" x14ac:dyDescent="0.25">
      <c r="A3269" s="1">
        <v>41278</v>
      </c>
      <c r="B3269">
        <v>0.57531297206878595</v>
      </c>
      <c r="C3269">
        <f>C3270*(1+G3269*3)</f>
        <v>0.55312495396315042</v>
      </c>
      <c r="D3269">
        <f t="shared" si="102"/>
        <v>0.57559012577745705</v>
      </c>
      <c r="F3269">
        <v>2724.48999023437</v>
      </c>
      <c r="G3269">
        <f t="shared" si="103"/>
        <v>-2.8438067766165531E-3</v>
      </c>
    </row>
    <row r="3270" spans="1:7" x14ac:dyDescent="0.25">
      <c r="A3270" s="1">
        <v>41277</v>
      </c>
      <c r="B3270">
        <v>0.58104199171066195</v>
      </c>
      <c r="C3270">
        <f>C3271*(1+G3270*3)</f>
        <v>0.55788450113786603</v>
      </c>
      <c r="D3270">
        <f>D3271*(1+3*G3270--0.0000947457020553289)</f>
        <v>0.58048751002503673</v>
      </c>
      <c r="F3270">
        <v>2732.26000976562</v>
      </c>
      <c r="G3270">
        <f t="shared" si="103"/>
        <v>-5.1738999840083011E-3</v>
      </c>
    </row>
    <row r="3271" spans="1:7" x14ac:dyDescent="0.25">
      <c r="A3271" s="1">
        <v>41276</v>
      </c>
      <c r="B3271">
        <v>0.589582979679107</v>
      </c>
      <c r="C3271">
        <f>C3272*(1+G3271*3)</f>
        <v>0.56668034339678131</v>
      </c>
      <c r="D3271">
        <v>0.589582979679107</v>
      </c>
      <c r="E3271" s="2">
        <v>-9.4745702055328899E-5</v>
      </c>
      <c r="F3271">
        <v>2746.46997070312</v>
      </c>
      <c r="G3271">
        <f t="shared" si="103"/>
        <v>3.2146670998495441E-2</v>
      </c>
    </row>
    <row r="3272" spans="1:7" x14ac:dyDescent="0.25">
      <c r="A3272" s="1">
        <v>41274</v>
      </c>
      <c r="B3272">
        <v>0.53927099704742398</v>
      </c>
      <c r="C3272">
        <f>C3273*(1+G3272*3)</f>
        <v>0.51683661365896738</v>
      </c>
      <c r="D3272">
        <f t="shared" ref="D3272:D3335" si="104">D3273*(1+3*G3272--0.000105456488218832)</f>
        <v>0.53927099704772719</v>
      </c>
      <c r="F3272">
        <v>2660.92993164062</v>
      </c>
      <c r="G3272">
        <f t="shared" si="103"/>
        <v>2.0937177507957205E-2</v>
      </c>
    </row>
    <row r="3273" spans="1:7" x14ac:dyDescent="0.25">
      <c r="A3273" s="1">
        <v>41271</v>
      </c>
      <c r="B3273">
        <v>0.50625002384185702</v>
      </c>
      <c r="C3273">
        <f>C3274*(1+G3273*3)</f>
        <v>0.48629187569279486</v>
      </c>
      <c r="D3273">
        <f t="shared" si="104"/>
        <v>0.50735005896268826</v>
      </c>
      <c r="F3273">
        <v>2606.36010742187</v>
      </c>
      <c r="G3273">
        <f t="shared" si="103"/>
        <v>-1.009511594487178E-2</v>
      </c>
    </row>
    <row r="3274" spans="1:7" x14ac:dyDescent="0.25">
      <c r="A3274" s="1">
        <v>41270</v>
      </c>
      <c r="B3274">
        <v>0.521354019641876</v>
      </c>
      <c r="C3274">
        <f>C3275*(1+G3274*3)</f>
        <v>0.50147935230936147</v>
      </c>
      <c r="D3274">
        <f t="shared" si="104"/>
        <v>0.52313831651422438</v>
      </c>
      <c r="F3274">
        <v>2632.93994140625</v>
      </c>
      <c r="G3274">
        <f t="shared" si="103"/>
        <v>-1.6077743439114611E-3</v>
      </c>
    </row>
    <row r="3275" spans="1:7" x14ac:dyDescent="0.25">
      <c r="A3275" s="1">
        <v>41269</v>
      </c>
      <c r="B3275">
        <v>0.52427101135253895</v>
      </c>
      <c r="C3275">
        <f>C3276*(1+G3275*3)</f>
        <v>0.50390987240284046</v>
      </c>
      <c r="D3275">
        <f t="shared" si="104"/>
        <v>0.52561811262243152</v>
      </c>
      <c r="F3275">
        <v>2637.17993164062</v>
      </c>
      <c r="G3275">
        <f t="shared" si="103"/>
        <v>-7.8516644924354617E-3</v>
      </c>
    </row>
    <row r="3276" spans="1:7" x14ac:dyDescent="0.25">
      <c r="A3276" s="1">
        <v>41267</v>
      </c>
      <c r="B3276">
        <v>0.536979019641876</v>
      </c>
      <c r="C3276">
        <f>C3277*(1+G3276*3)</f>
        <v>0.51606579893050952</v>
      </c>
      <c r="D3276">
        <f t="shared" si="104"/>
        <v>0.53823958160015539</v>
      </c>
      <c r="F3276">
        <v>2658.05004882812</v>
      </c>
      <c r="G3276">
        <f t="shared" si="103"/>
        <v>-2.4843125944176148E-3</v>
      </c>
    </row>
    <row r="3277" spans="1:7" x14ac:dyDescent="0.25">
      <c r="A3277" s="1">
        <v>41264</v>
      </c>
      <c r="B3277">
        <v>0.54156297445297197</v>
      </c>
      <c r="C3277">
        <f>C3278*(1+G3277*3)</f>
        <v>0.5199408860048732</v>
      </c>
      <c r="D3277">
        <f t="shared" si="104"/>
        <v>0.5422235590580613</v>
      </c>
      <c r="F3277">
        <v>2664.669921875</v>
      </c>
      <c r="G3277">
        <f t="shared" si="103"/>
        <v>-1.072195668526188E-2</v>
      </c>
    </row>
    <row r="3278" spans="1:7" x14ac:dyDescent="0.25">
      <c r="A3278" s="1">
        <v>41263</v>
      </c>
      <c r="B3278">
        <v>0.55895799398422197</v>
      </c>
      <c r="C3278">
        <f>C3279*(1+G3278*3)</f>
        <v>0.53722106910493272</v>
      </c>
      <c r="D3278">
        <f t="shared" si="104"/>
        <v>0.56018326624758941</v>
      </c>
      <c r="F3278">
        <v>2693.55004882812</v>
      </c>
      <c r="G3278">
        <f t="shared" si="103"/>
        <v>9.5134452489253896E-4</v>
      </c>
    </row>
    <row r="3279" spans="1:7" x14ac:dyDescent="0.25">
      <c r="A3279" s="1">
        <v>41262</v>
      </c>
      <c r="B3279">
        <v>0.55854201316833496</v>
      </c>
      <c r="C3279">
        <f>C3280*(1+G3279*3)</f>
        <v>0.53569218562147658</v>
      </c>
      <c r="D3279">
        <f t="shared" si="104"/>
        <v>0.5585303013708558</v>
      </c>
      <c r="F3279">
        <v>2690.98999023437</v>
      </c>
      <c r="G3279">
        <f t="shared" si="103"/>
        <v>-5.3226717462256934E-3</v>
      </c>
    </row>
    <row r="3280" spans="1:7" x14ac:dyDescent="0.25">
      <c r="A3280" s="1">
        <v>41261</v>
      </c>
      <c r="B3280">
        <v>0.566667020320892</v>
      </c>
      <c r="C3280">
        <f>C3281*(1+G3280*3)</f>
        <v>0.54438493251965669</v>
      </c>
      <c r="D3280">
        <f t="shared" si="104"/>
        <v>0.56753282413653505</v>
      </c>
      <c r="F3280">
        <v>2705.38989257812</v>
      </c>
      <c r="G3280">
        <f t="shared" si="103"/>
        <v>1.5437638466869519E-2</v>
      </c>
    </row>
    <row r="3281" spans="1:7" x14ac:dyDescent="0.25">
      <c r="A3281" s="1">
        <v>41260</v>
      </c>
      <c r="B3281">
        <v>0.54156297445297197</v>
      </c>
      <c r="C3281">
        <f>C3282*(1+G3281*3)</f>
        <v>0.52028883951148064</v>
      </c>
      <c r="D3281">
        <f t="shared" si="104"/>
        <v>0.54235747324668571</v>
      </c>
      <c r="F3281">
        <v>2664.26000976562</v>
      </c>
      <c r="G3281">
        <f t="shared" si="103"/>
        <v>1.3762816595085159E-2</v>
      </c>
    </row>
    <row r="3282" spans="1:7" x14ac:dyDescent="0.25">
      <c r="A3282" s="1">
        <v>41257</v>
      </c>
      <c r="B3282">
        <v>0.52125000953674305</v>
      </c>
      <c r="C3282">
        <f>C3283*(1+G3282*3)</f>
        <v>0.49965870611431401</v>
      </c>
      <c r="D3282">
        <f t="shared" si="104"/>
        <v>0.52079954566611453</v>
      </c>
      <c r="F3282">
        <v>2628.09008789062</v>
      </c>
      <c r="G3282">
        <f t="shared" si="103"/>
        <v>-9.766324083038791E-3</v>
      </c>
    </row>
    <row r="3283" spans="1:7" x14ac:dyDescent="0.25">
      <c r="A3283" s="1">
        <v>41256</v>
      </c>
      <c r="B3283">
        <v>0.53645801544189398</v>
      </c>
      <c r="C3283">
        <f>C3284*(1+G3283*3)</f>
        <v>0.51474006087335078</v>
      </c>
      <c r="D3283">
        <f t="shared" si="104"/>
        <v>0.53646072015506385</v>
      </c>
      <c r="F3283">
        <v>2654.01000976562</v>
      </c>
      <c r="G3283">
        <f t="shared" si="103"/>
        <v>-7.6872387218338556E-3</v>
      </c>
    </row>
    <row r="3284" spans="1:7" x14ac:dyDescent="0.25">
      <c r="A3284" s="1">
        <v>41255</v>
      </c>
      <c r="B3284">
        <v>0.54885399341583196</v>
      </c>
      <c r="C3284">
        <f>C3285*(1+G3284*3)</f>
        <v>0.5268910732548916</v>
      </c>
      <c r="D3284">
        <f t="shared" si="104"/>
        <v>0.54906520354745947</v>
      </c>
      <c r="F3284">
        <v>2674.57006835937</v>
      </c>
      <c r="G3284">
        <f t="shared" si="103"/>
        <v>-2.796347525919729E-3</v>
      </c>
    </row>
    <row r="3285" spans="1:7" x14ac:dyDescent="0.25">
      <c r="A3285" s="1">
        <v>41254</v>
      </c>
      <c r="B3285">
        <v>0.552604019641876</v>
      </c>
      <c r="C3285">
        <f>C3286*(1+G3285*3)</f>
        <v>0.53134857910866606</v>
      </c>
      <c r="D3285">
        <f t="shared" si="104"/>
        <v>0.55365142277158441</v>
      </c>
      <c r="F3285">
        <v>2682.07006835937</v>
      </c>
      <c r="G3285">
        <f t="shared" si="103"/>
        <v>1.3030816601344419E-2</v>
      </c>
    </row>
    <row r="3286" spans="1:7" x14ac:dyDescent="0.25">
      <c r="A3286" s="1">
        <v>41253</v>
      </c>
      <c r="B3286">
        <v>0.53208297491073597</v>
      </c>
      <c r="C3286">
        <f>C3287*(1+G3286*3)</f>
        <v>0.51135832928905922</v>
      </c>
      <c r="D3286">
        <f t="shared" si="104"/>
        <v>0.53276803140121209</v>
      </c>
      <c r="F3286">
        <v>2647.57006835937</v>
      </c>
      <c r="G3286">
        <f t="shared" si="103"/>
        <v>2.6623452751604049E-3</v>
      </c>
    </row>
    <row r="3287" spans="1:7" x14ac:dyDescent="0.25">
      <c r="A3287" s="1">
        <v>41250</v>
      </c>
      <c r="B3287">
        <v>0.52739602327346802</v>
      </c>
      <c r="C3287">
        <f>C3288*(1+G3287*3)</f>
        <v>0.50730645446276723</v>
      </c>
      <c r="D3287">
        <f t="shared" si="104"/>
        <v>0.52849122026337281</v>
      </c>
      <c r="F3287">
        <v>2640.5400390625</v>
      </c>
      <c r="G3287">
        <f t="shared" si="103"/>
        <v>-5.9330683567064835E-3</v>
      </c>
    </row>
    <row r="3288" spans="1:7" x14ac:dyDescent="0.25">
      <c r="A3288" s="1">
        <v>41249</v>
      </c>
      <c r="B3288">
        <v>0.53656297922134399</v>
      </c>
      <c r="C3288">
        <f>C3289*(1+G3288*3)</f>
        <v>0.51649973924016612</v>
      </c>
      <c r="D3288">
        <f t="shared" si="104"/>
        <v>0.5380106453567004</v>
      </c>
      <c r="F3288">
        <v>2656.30004882812</v>
      </c>
      <c r="G3288">
        <f t="shared" si="103"/>
        <v>6.9791223287212212E-3</v>
      </c>
    </row>
    <row r="3289" spans="1:7" x14ac:dyDescent="0.25">
      <c r="A3289" s="1">
        <v>41248</v>
      </c>
      <c r="B3289">
        <v>0.526875019073486</v>
      </c>
      <c r="C3289">
        <f>C3290*(1+G3289*3)</f>
        <v>0.50590737095350735</v>
      </c>
      <c r="D3289">
        <f t="shared" si="104"/>
        <v>0.52692270391360219</v>
      </c>
      <c r="F3289">
        <v>2637.88989257812</v>
      </c>
      <c r="G3289">
        <f t="shared" si="103"/>
        <v>-1.1244841881765E-2</v>
      </c>
    </row>
    <row r="3290" spans="1:7" x14ac:dyDescent="0.25">
      <c r="A3290" s="1">
        <v>41247</v>
      </c>
      <c r="B3290">
        <v>0.54364597797393799</v>
      </c>
      <c r="C3290">
        <f>C3291*(1+G3290*3)</f>
        <v>0.52356974804606804</v>
      </c>
      <c r="D3290">
        <f t="shared" si="104"/>
        <v>0.54525926546030334</v>
      </c>
      <c r="F3290">
        <v>2667.88989257812</v>
      </c>
      <c r="G3290">
        <f t="shared" si="103"/>
        <v>-1.4784549907770339E-3</v>
      </c>
    </row>
    <row r="3291" spans="1:7" x14ac:dyDescent="0.25">
      <c r="A3291" s="1">
        <v>41246</v>
      </c>
      <c r="B3291">
        <v>0.54718798398971502</v>
      </c>
      <c r="C3291">
        <f>C3292*(1+G3291*3)</f>
        <v>0.52590231676069621</v>
      </c>
      <c r="D3291">
        <f t="shared" si="104"/>
        <v>0.54763045521449483</v>
      </c>
      <c r="F3291">
        <v>2671.84008789062</v>
      </c>
      <c r="G3291">
        <f t="shared" si="103"/>
        <v>-2.255439073516885E-3</v>
      </c>
    </row>
    <row r="3292" spans="1:7" x14ac:dyDescent="0.25">
      <c r="A3292" s="1">
        <v>41243</v>
      </c>
      <c r="B3292">
        <v>0.54989600181579501</v>
      </c>
      <c r="C3292">
        <f>C3293*(1+G3292*3)</f>
        <v>0.52948498009956679</v>
      </c>
      <c r="D3292">
        <f t="shared" si="104"/>
        <v>0.55130260508836015</v>
      </c>
      <c r="F3292">
        <v>2677.8798828125</v>
      </c>
      <c r="G3292">
        <f t="shared" si="103"/>
        <v>-8.0228447475050313E-4</v>
      </c>
    </row>
    <row r="3293" spans="1:7" x14ac:dyDescent="0.25">
      <c r="A3293" s="1">
        <v>41242</v>
      </c>
      <c r="B3293">
        <v>0.55187499523162797</v>
      </c>
      <c r="C3293">
        <f>C3294*(1+G3293*3)</f>
        <v>0.53076244751382962</v>
      </c>
      <c r="D3293">
        <f t="shared" si="104"/>
        <v>0.55257429788444179</v>
      </c>
      <c r="F3293">
        <v>2680.03002929687</v>
      </c>
      <c r="G3293">
        <f t="shared" si="103"/>
        <v>5.5379040988183803E-3</v>
      </c>
    </row>
    <row r="3294" spans="1:7" x14ac:dyDescent="0.25">
      <c r="A3294" s="1">
        <v>41241</v>
      </c>
      <c r="B3294">
        <v>0.542500019073486</v>
      </c>
      <c r="C3294">
        <f>C3295*(1+G3294*3)</f>
        <v>0.52208861743058388</v>
      </c>
      <c r="D3294">
        <f t="shared" si="104"/>
        <v>0.5434876363597595</v>
      </c>
      <c r="F3294">
        <v>2665.27001953125</v>
      </c>
      <c r="G3294">
        <f t="shared" si="103"/>
        <v>9.0292715136790491E-3</v>
      </c>
    </row>
    <row r="3295" spans="1:7" x14ac:dyDescent="0.25">
      <c r="A3295" s="1">
        <v>41240</v>
      </c>
      <c r="B3295">
        <v>0.52833300828933705</v>
      </c>
      <c r="C3295">
        <f>C3296*(1+G3295*3)</f>
        <v>0.50831935696158914</v>
      </c>
      <c r="D3295">
        <f t="shared" si="104"/>
        <v>0.52909968521812889</v>
      </c>
      <c r="F3295">
        <v>2641.419921875</v>
      </c>
      <c r="G3295">
        <f t="shared" si="103"/>
        <v>-3.8654886550706369E-3</v>
      </c>
    </row>
    <row r="3296" spans="1:7" x14ac:dyDescent="0.25">
      <c r="A3296" s="1">
        <v>41239</v>
      </c>
      <c r="B3296">
        <v>0.53437501192092896</v>
      </c>
      <c r="C3296">
        <f>C3297*(1+G3296*3)</f>
        <v>0.5142832248753354</v>
      </c>
      <c r="D3296">
        <f t="shared" si="104"/>
        <v>0.5352502509240602</v>
      </c>
      <c r="F3296">
        <v>2651.669921875</v>
      </c>
      <c r="G3296">
        <f t="shared" si="103"/>
        <v>4.5764052683019418E-3</v>
      </c>
    </row>
    <row r="3297" spans="1:7" x14ac:dyDescent="0.25">
      <c r="A3297" s="1">
        <v>41236</v>
      </c>
      <c r="B3297">
        <v>0.52760398387908902</v>
      </c>
      <c r="C3297">
        <f>C3298*(1+G3297*3)</f>
        <v>0.5073181445865621</v>
      </c>
      <c r="D3297">
        <f t="shared" si="104"/>
        <v>0.52794628705429214</v>
      </c>
      <c r="F3297">
        <v>2639.59008789062</v>
      </c>
      <c r="G3297">
        <f t="shared" si="103"/>
        <v>1.5039572584911953E-2</v>
      </c>
    </row>
    <row r="3298" spans="1:7" x14ac:dyDescent="0.25">
      <c r="A3298" s="1">
        <v>41234</v>
      </c>
      <c r="B3298">
        <v>0.50447899103164595</v>
      </c>
      <c r="C3298">
        <f>C3299*(1+G3298*3)</f>
        <v>0.48541676267788114</v>
      </c>
      <c r="D3298">
        <f t="shared" si="104"/>
        <v>0.50510340275728727</v>
      </c>
      <c r="F3298">
        <v>2600.47998046875</v>
      </c>
      <c r="G3298">
        <f t="shared" si="103"/>
        <v>2.2430948781446691E-3</v>
      </c>
    </row>
    <row r="3299" spans="1:7" x14ac:dyDescent="0.25">
      <c r="A3299" s="1">
        <v>41233</v>
      </c>
      <c r="B3299">
        <v>0.50093799829482999</v>
      </c>
      <c r="C3299">
        <f>C3300*(1+G3299*3)</f>
        <v>0.48217208944522444</v>
      </c>
      <c r="D3299">
        <f t="shared" si="104"/>
        <v>0.50167458682850063</v>
      </c>
      <c r="F3299">
        <v>2594.65991210937</v>
      </c>
      <c r="G3299">
        <f t="shared" si="103"/>
        <v>-4.5078683134580633E-4</v>
      </c>
    </row>
    <row r="3300" spans="1:7" x14ac:dyDescent="0.25">
      <c r="A3300" s="1">
        <v>41232</v>
      </c>
      <c r="B3300">
        <v>0.50083297491073597</v>
      </c>
      <c r="C3300">
        <f>C3301*(1+G3300*3)</f>
        <v>0.48282504295885392</v>
      </c>
      <c r="D3300">
        <f t="shared" si="104"/>
        <v>0.50230090784261594</v>
      </c>
      <c r="F3300">
        <v>2595.830078125</v>
      </c>
      <c r="G3300">
        <f t="shared" si="103"/>
        <v>2.4335546356385018E-2</v>
      </c>
    </row>
    <row r="3301" spans="1:7" x14ac:dyDescent="0.25">
      <c r="A3301" s="1">
        <v>41229</v>
      </c>
      <c r="B3301">
        <v>0.467188000679016</v>
      </c>
      <c r="C3301">
        <f>C3302*(1+G3301*3)</f>
        <v>0.44997395671075241</v>
      </c>
      <c r="D3301">
        <f t="shared" si="104"/>
        <v>0.46807869366314536</v>
      </c>
      <c r="F3301">
        <v>2534.15991210937</v>
      </c>
      <c r="G3301">
        <f t="shared" si="103"/>
        <v>3.8820945786171013E-3</v>
      </c>
    </row>
    <row r="3302" spans="1:7" x14ac:dyDescent="0.25">
      <c r="A3302" s="1">
        <v>41228</v>
      </c>
      <c r="B3302">
        <v>0.46197900176048201</v>
      </c>
      <c r="C3302">
        <f>C3303*(1+G3302*3)</f>
        <v>0.4447937623504819</v>
      </c>
      <c r="D3302">
        <f t="shared" si="104"/>
        <v>0.46264184686203869</v>
      </c>
      <c r="F3302">
        <v>2524.36010742187</v>
      </c>
      <c r="G3302">
        <f t="shared" si="103"/>
        <v>-2.966190767310084E-3</v>
      </c>
    </row>
    <row r="3303" spans="1:7" x14ac:dyDescent="0.25">
      <c r="A3303" s="1">
        <v>41227</v>
      </c>
      <c r="B3303">
        <v>0.46614599227905201</v>
      </c>
      <c r="C3303">
        <f>C3304*(1+G3303*3)</f>
        <v>0.44878732884439387</v>
      </c>
      <c r="D3303">
        <f t="shared" si="104"/>
        <v>0.46674599848227977</v>
      </c>
      <c r="F3303">
        <v>2531.8701171875</v>
      </c>
      <c r="G3303">
        <f t="shared" si="103"/>
        <v>-1.1706334060742507E-2</v>
      </c>
    </row>
    <row r="3304" spans="1:7" x14ac:dyDescent="0.25">
      <c r="A3304" s="1">
        <v>41226</v>
      </c>
      <c r="B3304">
        <v>0.48343798518180803</v>
      </c>
      <c r="C3304">
        <f>C3305*(1+G3304*3)</f>
        <v>0.46512194753487301</v>
      </c>
      <c r="D3304">
        <f t="shared" si="104"/>
        <v>0.4836813992564889</v>
      </c>
      <c r="F3304">
        <v>2561.86010742187</v>
      </c>
      <c r="G3304">
        <f t="shared" si="103"/>
        <v>-8.0959248989481702E-3</v>
      </c>
    </row>
    <row r="3305" spans="1:7" x14ac:dyDescent="0.25">
      <c r="A3305" s="1">
        <v>41225</v>
      </c>
      <c r="B3305">
        <v>0.494167000055313</v>
      </c>
      <c r="C3305">
        <f>C3306*(1+G3305*3)</f>
        <v>0.47669992798374422</v>
      </c>
      <c r="D3305">
        <f t="shared" si="104"/>
        <v>0.49566779561583918</v>
      </c>
      <c r="F3305">
        <v>2582.77001953125</v>
      </c>
      <c r="G3305">
        <f t="shared" si="103"/>
        <v>-5.1471617767684386E-4</v>
      </c>
    </row>
    <row r="3306" spans="1:7" x14ac:dyDescent="0.25">
      <c r="A3306" s="1">
        <v>41222</v>
      </c>
      <c r="B3306">
        <v>0.49343800544738697</v>
      </c>
      <c r="C3306">
        <f>C3307*(1+G3306*3)</f>
        <v>0.47743716187687063</v>
      </c>
      <c r="D3306">
        <f t="shared" si="104"/>
        <v>0.4963819363588669</v>
      </c>
      <c r="F3306">
        <v>2584.10009765625</v>
      </c>
      <c r="G3306">
        <f t="shared" si="103"/>
        <v>4.4819106926146102E-3</v>
      </c>
    </row>
    <row r="3307" spans="1:7" x14ac:dyDescent="0.25">
      <c r="A3307" s="1">
        <v>41221</v>
      </c>
      <c r="B3307">
        <v>0.48812499642372098</v>
      </c>
      <c r="C3307">
        <f>C3308*(1+G3307*3)</f>
        <v>0.47110283931828545</v>
      </c>
      <c r="D3307">
        <f t="shared" si="104"/>
        <v>0.48974530537636779</v>
      </c>
      <c r="F3307">
        <v>2572.57006835937</v>
      </c>
      <c r="G3307">
        <f t="shared" si="103"/>
        <v>-1.5355772765476283E-2</v>
      </c>
    </row>
    <row r="3308" spans="1:7" x14ac:dyDescent="0.25">
      <c r="A3308" s="1">
        <v>41220</v>
      </c>
      <c r="B3308">
        <v>0.51208299398422197</v>
      </c>
      <c r="C3308">
        <f>C3309*(1+G3308*3)</f>
        <v>0.49385333824287386</v>
      </c>
      <c r="D3308">
        <f t="shared" si="104"/>
        <v>0.51333933704641321</v>
      </c>
      <c r="F3308">
        <v>2612.68994140625</v>
      </c>
      <c r="G3308">
        <f t="shared" si="103"/>
        <v>-2.5497512607700168E-2</v>
      </c>
    </row>
    <row r="3309" spans="1:7" x14ac:dyDescent="0.25">
      <c r="A3309" s="1">
        <v>41219</v>
      </c>
      <c r="B3309">
        <v>0.55166697502136197</v>
      </c>
      <c r="C3309">
        <f>C3310*(1+G3309*3)</f>
        <v>0.53475836251367004</v>
      </c>
      <c r="D3309">
        <f t="shared" si="104"/>
        <v>0.55579488622607576</v>
      </c>
      <c r="F3309">
        <v>2681.05004882812</v>
      </c>
      <c r="G3309">
        <f t="shared" si="103"/>
        <v>3.0454212773396439E-3</v>
      </c>
    </row>
    <row r="3310" spans="1:7" x14ac:dyDescent="0.25">
      <c r="A3310" s="1">
        <v>41218</v>
      </c>
      <c r="B3310">
        <v>0.54833298921585005</v>
      </c>
      <c r="C3310">
        <f>C3311*(1+G3310*3)</f>
        <v>0.52991690188896634</v>
      </c>
      <c r="D3310">
        <f t="shared" si="104"/>
        <v>0.55070542074867768</v>
      </c>
      <c r="F3310">
        <v>2672.90991210937</v>
      </c>
      <c r="G3310">
        <f t="shared" si="103"/>
        <v>6.2605909878041821E-3</v>
      </c>
    </row>
    <row r="3311" spans="1:7" x14ac:dyDescent="0.25">
      <c r="A3311" s="1">
        <v>41215</v>
      </c>
      <c r="B3311">
        <v>0.53520798683166504</v>
      </c>
      <c r="C3311">
        <f>C3312*(1+G3311*3)</f>
        <v>0.52014760761527412</v>
      </c>
      <c r="D3311">
        <f t="shared" si="104"/>
        <v>0.54049693119136377</v>
      </c>
      <c r="F3311">
        <v>2656.28002929687</v>
      </c>
      <c r="G3311">
        <f t="shared" si="103"/>
        <v>-1.1624095823415947E-2</v>
      </c>
    </row>
    <row r="3312" spans="1:7" x14ac:dyDescent="0.25">
      <c r="A3312" s="1">
        <v>41214</v>
      </c>
      <c r="B3312">
        <v>0.55552101135253895</v>
      </c>
      <c r="C3312">
        <f>C3313*(1+G3312*3)</f>
        <v>0.53894173886260621</v>
      </c>
      <c r="D3312">
        <f t="shared" si="104"/>
        <v>0.55996514473416392</v>
      </c>
      <c r="F3312">
        <v>2687.52001953125</v>
      </c>
      <c r="G3312">
        <f t="shared" si="103"/>
        <v>1.4955171917815813E-2</v>
      </c>
    </row>
    <row r="3313" spans="1:7" x14ac:dyDescent="0.25">
      <c r="A3313" s="1">
        <v>41213</v>
      </c>
      <c r="B3313">
        <v>0.53291702270507801</v>
      </c>
      <c r="C3313">
        <f>C3314*(1+G3313*3)</f>
        <v>0.51580010129244047</v>
      </c>
      <c r="D3313">
        <f t="shared" si="104"/>
        <v>0.53586669831883427</v>
      </c>
      <c r="F3313">
        <v>2647.919921875</v>
      </c>
      <c r="G3313">
        <f t="shared" si="103"/>
        <v>-6.7184163000355568E-3</v>
      </c>
    </row>
    <row r="3314" spans="1:7" x14ac:dyDescent="0.25">
      <c r="A3314" s="1">
        <v>41208</v>
      </c>
      <c r="B3314">
        <v>0.54343801736831598</v>
      </c>
      <c r="C3314">
        <f>C3315*(1+G3314*3)</f>
        <v>0.52641002639800394</v>
      </c>
      <c r="D3314">
        <f t="shared" si="104"/>
        <v>0.54683053707160101</v>
      </c>
      <c r="F3314">
        <v>2665.830078125</v>
      </c>
      <c r="G3314">
        <f t="shared" si="103"/>
        <v>3.0741954523239023E-3</v>
      </c>
    </row>
    <row r="3315" spans="1:7" x14ac:dyDescent="0.25">
      <c r="A3315" s="1">
        <v>41207</v>
      </c>
      <c r="B3315">
        <v>0.53781300783157304</v>
      </c>
      <c r="C3315">
        <f>C3316*(1+G3315*3)</f>
        <v>0.52159952969166667</v>
      </c>
      <c r="D3315">
        <f t="shared" si="104"/>
        <v>0.54177681968504787</v>
      </c>
      <c r="F3315">
        <v>2657.65991210937</v>
      </c>
      <c r="G3315">
        <f t="shared" si="103"/>
        <v>7.9451083295567493E-4</v>
      </c>
    </row>
    <row r="3316" spans="1:7" x14ac:dyDescent="0.25">
      <c r="A3316" s="1">
        <v>41206</v>
      </c>
      <c r="B3316">
        <v>0.53781300783157304</v>
      </c>
      <c r="C3316">
        <f>C3317*(1+G3316*3)</f>
        <v>0.52035923654028726</v>
      </c>
      <c r="D3316">
        <f t="shared" si="104"/>
        <v>0.54043169115748468</v>
      </c>
      <c r="F3316">
        <v>2655.55004882812</v>
      </c>
      <c r="G3316">
        <f t="shared" si="103"/>
        <v>-3.9271913288073668E-3</v>
      </c>
    </row>
    <row r="3317" spans="1:7" x14ac:dyDescent="0.25">
      <c r="A3317" s="1">
        <v>41205</v>
      </c>
      <c r="B3317">
        <v>0.54322898387908902</v>
      </c>
      <c r="C3317">
        <f>C3318*(1+G3317*3)</f>
        <v>0.52656297721485479</v>
      </c>
      <c r="D3317">
        <f t="shared" si="104"/>
        <v>0.54681638350118711</v>
      </c>
      <c r="F3317">
        <v>2666.02001953125</v>
      </c>
      <c r="G3317">
        <f t="shared" si="103"/>
        <v>-1.059172497249683E-2</v>
      </c>
    </row>
    <row r="3318" spans="1:7" x14ac:dyDescent="0.25">
      <c r="A3318" s="1">
        <v>41204</v>
      </c>
      <c r="B3318">
        <v>0.55979198217391901</v>
      </c>
      <c r="C3318">
        <f>C3319*(1+G3318*3)</f>
        <v>0.5438437061040885</v>
      </c>
      <c r="D3318">
        <f t="shared" si="104"/>
        <v>0.56470028244309001</v>
      </c>
      <c r="F3318">
        <v>2694.56005859375</v>
      </c>
      <c r="G3318">
        <f t="shared" si="103"/>
        <v>6.0634986931669133E-3</v>
      </c>
    </row>
    <row r="3319" spans="1:7" x14ac:dyDescent="0.25">
      <c r="A3319" s="1">
        <v>41201</v>
      </c>
      <c r="B3319">
        <v>0.55114597082137995</v>
      </c>
      <c r="C3319">
        <f>C3320*(1+G3319*3)</f>
        <v>0.53412765901679071</v>
      </c>
      <c r="D3319">
        <f t="shared" si="104"/>
        <v>0.55455418537130619</v>
      </c>
      <c r="F3319">
        <v>2678.32006835937</v>
      </c>
      <c r="G3319">
        <f t="shared" si="103"/>
        <v>-2.3996274061132805E-2</v>
      </c>
    </row>
    <row r="3320" spans="1:7" x14ac:dyDescent="0.25">
      <c r="A3320" s="1">
        <v>41200</v>
      </c>
      <c r="B3320">
        <v>0.59406298398971502</v>
      </c>
      <c r="C3320">
        <f>C3321*(1+G3320*3)</f>
        <v>0.57556166540307319</v>
      </c>
      <c r="D3320">
        <f t="shared" si="104"/>
        <v>0.59750484462190401</v>
      </c>
      <c r="F3320">
        <v>2744.169921875</v>
      </c>
      <c r="G3320">
        <f t="shared" si="103"/>
        <v>-1.1330871655580887E-2</v>
      </c>
    </row>
    <row r="3321" spans="1:7" x14ac:dyDescent="0.25">
      <c r="A3321" s="1">
        <v>41199</v>
      </c>
      <c r="B3321">
        <v>0.615104019641876</v>
      </c>
      <c r="C3321">
        <f>C3322*(1+G3321*3)</f>
        <v>0.59581497441995013</v>
      </c>
      <c r="D3321">
        <f t="shared" si="104"/>
        <v>0.6184627912417846</v>
      </c>
      <c r="F3321">
        <v>2775.6201171875</v>
      </c>
      <c r="G3321">
        <f t="shared" si="103"/>
        <v>-9.9330031939559582E-4</v>
      </c>
    </row>
    <row r="3322" spans="1:7" x14ac:dyDescent="0.25">
      <c r="A3322" s="1">
        <v>41198</v>
      </c>
      <c r="B3322">
        <v>0.61697900295257502</v>
      </c>
      <c r="C3322">
        <f>C3323*(1+G3322*3)</f>
        <v>0.59759575056968106</v>
      </c>
      <c r="D3322">
        <f t="shared" si="104"/>
        <v>0.62024565292886769</v>
      </c>
      <c r="F3322">
        <v>2778.3798828125</v>
      </c>
      <c r="G3322">
        <f t="shared" si="103"/>
        <v>1.4055325244588746E-2</v>
      </c>
    </row>
    <row r="3323" spans="1:7" x14ac:dyDescent="0.25">
      <c r="A3323" s="1">
        <v>41197</v>
      </c>
      <c r="B3323">
        <v>0.59125000238418501</v>
      </c>
      <c r="C3323">
        <f>C3324*(1+G3323*3)</f>
        <v>0.57341706070276088</v>
      </c>
      <c r="D3323">
        <f t="shared" si="104"/>
        <v>0.59509033228185659</v>
      </c>
      <c r="F3323">
        <v>2739.8701171875</v>
      </c>
      <c r="G3323">
        <f t="shared" si="103"/>
        <v>7.2533859979826421E-3</v>
      </c>
    </row>
    <row r="3324" spans="1:7" x14ac:dyDescent="0.25">
      <c r="A3324" s="1">
        <v>41194</v>
      </c>
      <c r="B3324">
        <v>0.57968801259994496</v>
      </c>
      <c r="C3324">
        <f>C3325*(1+G3324*3)</f>
        <v>0.56120514801493893</v>
      </c>
      <c r="D3324">
        <f t="shared" si="104"/>
        <v>0.58235674422161698</v>
      </c>
      <c r="F3324">
        <v>2720.13989257812</v>
      </c>
      <c r="G3324">
        <f t="shared" si="103"/>
        <v>3.4198596429813044E-4</v>
      </c>
    </row>
    <row r="3325" spans="1:7" x14ac:dyDescent="0.25">
      <c r="A3325" s="1">
        <v>41193</v>
      </c>
      <c r="B3325">
        <v>0.57979202270507801</v>
      </c>
      <c r="C3325">
        <f>C3326*(1+G3325*3)</f>
        <v>0.56062996527706976</v>
      </c>
      <c r="D3325">
        <f t="shared" si="104"/>
        <v>0.58169860205777535</v>
      </c>
      <c r="F3325">
        <v>2719.2099609375</v>
      </c>
      <c r="G3325">
        <f t="shared" si="103"/>
        <v>-3.4194396972110352E-3</v>
      </c>
    </row>
    <row r="3326" spans="1:7" x14ac:dyDescent="0.25">
      <c r="A3326" s="1">
        <v>41192</v>
      </c>
      <c r="B3326">
        <v>0.58499997854232699</v>
      </c>
      <c r="C3326">
        <f>C3327*(1+G3326*3)</f>
        <v>0.56644069466947555</v>
      </c>
      <c r="D3326">
        <f t="shared" si="104"/>
        <v>0.58766508492181024</v>
      </c>
      <c r="F3326">
        <v>2728.5400390625</v>
      </c>
      <c r="G3326">
        <f t="shared" si="103"/>
        <v>-4.8797496621821868E-3</v>
      </c>
    </row>
    <row r="3327" spans="1:7" x14ac:dyDescent="0.25">
      <c r="A3327" s="1">
        <v>41191</v>
      </c>
      <c r="B3327">
        <v>0.592188000679016</v>
      </c>
      <c r="C3327">
        <f>C3328*(1+G3327*3)</f>
        <v>0.57485615708448468</v>
      </c>
      <c r="D3327">
        <f t="shared" si="104"/>
        <v>0.59633205121426047</v>
      </c>
      <c r="F3327">
        <v>2741.919921875</v>
      </c>
      <c r="G3327">
        <f t="shared" si="103"/>
        <v>-1.6146857915359303E-2</v>
      </c>
    </row>
    <row r="3328" spans="1:7" x14ac:dyDescent="0.25">
      <c r="A3328" s="1">
        <v>41190</v>
      </c>
      <c r="B3328">
        <v>0.62427097558975198</v>
      </c>
      <c r="C3328">
        <f>C3329*(1+G3328*3)</f>
        <v>0.60412008039010823</v>
      </c>
      <c r="D3328">
        <f t="shared" si="104"/>
        <v>0.62661979235377552</v>
      </c>
      <c r="F3328">
        <v>2786.919921875</v>
      </c>
      <c r="G3328">
        <f t="shared" si="103"/>
        <v>-8.8977787764333849E-3</v>
      </c>
    </row>
    <row r="3329" spans="1:7" x14ac:dyDescent="0.25">
      <c r="A3329" s="1">
        <v>41187</v>
      </c>
      <c r="B3329">
        <v>0.64125001430511397</v>
      </c>
      <c r="C3329">
        <f>C3330*(1+G3329*3)</f>
        <v>0.62068832253931938</v>
      </c>
      <c r="D3329">
        <f t="shared" si="104"/>
        <v>0.64373535050238939</v>
      </c>
      <c r="F3329">
        <v>2811.93994140625</v>
      </c>
      <c r="G3329">
        <f t="shared" si="103"/>
        <v>-5.8898945325656094E-3</v>
      </c>
    </row>
    <row r="3330" spans="1:7" x14ac:dyDescent="0.25">
      <c r="A3330" s="1">
        <v>41186</v>
      </c>
      <c r="B3330">
        <v>0.65249997377395597</v>
      </c>
      <c r="C3330">
        <f>C3331*(1+G3330*3)</f>
        <v>0.63185296450234252</v>
      </c>
      <c r="D3330">
        <f t="shared" si="104"/>
        <v>0.6552442085943101</v>
      </c>
      <c r="F3330">
        <v>2828.60009765625</v>
      </c>
      <c r="G3330">
        <f t="shared" ref="G3330:G3393" si="105">F3330/F3331-1</f>
        <v>3.4624205209645709E-3</v>
      </c>
    </row>
    <row r="3331" spans="1:7" x14ac:dyDescent="0.25">
      <c r="A3331" s="1">
        <v>41185</v>
      </c>
      <c r="B3331">
        <v>0.64499998092651301</v>
      </c>
      <c r="C3331">
        <f>C3332*(1+G3331*3)</f>
        <v>0.62535721553434442</v>
      </c>
      <c r="D3331">
        <f t="shared" si="104"/>
        <v>0.64844030727707502</v>
      </c>
      <c r="F3331">
        <v>2818.84008789062</v>
      </c>
      <c r="G3331">
        <f t="shared" si="105"/>
        <v>6.9839311237172019E-3</v>
      </c>
    </row>
    <row r="3332" spans="1:7" x14ac:dyDescent="0.25">
      <c r="A3332" s="1">
        <v>41184</v>
      </c>
      <c r="B3332">
        <v>0.63302099704742398</v>
      </c>
      <c r="C3332">
        <f>C3333*(1+G3332*3)</f>
        <v>0.61252374460250858</v>
      </c>
      <c r="D3332">
        <f t="shared" si="104"/>
        <v>0.63506753158687657</v>
      </c>
      <c r="F3332">
        <v>2799.2900390625</v>
      </c>
      <c r="G3332">
        <f t="shared" si="105"/>
        <v>1.7929519279034078E-3</v>
      </c>
    </row>
    <row r="3333" spans="1:7" x14ac:dyDescent="0.25">
      <c r="A3333" s="1">
        <v>41183</v>
      </c>
      <c r="B3333">
        <v>0.62895798683166504</v>
      </c>
      <c r="C3333">
        <f>C3334*(1+G3333*3)</f>
        <v>0.6092466944961118</v>
      </c>
      <c r="D3333">
        <f t="shared" si="104"/>
        <v>0.63160362010215554</v>
      </c>
      <c r="F3333">
        <v>2794.28002929687</v>
      </c>
      <c r="G3333">
        <f t="shared" si="105"/>
        <v>-1.7540474966530883E-3</v>
      </c>
    </row>
    <row r="3334" spans="1:7" x14ac:dyDescent="0.25">
      <c r="A3334" s="1">
        <v>41180</v>
      </c>
      <c r="B3334">
        <v>0.63166701793670599</v>
      </c>
      <c r="C3334">
        <f>C3335*(1+G3334*3)</f>
        <v>0.61246959678516322</v>
      </c>
      <c r="D3334">
        <f t="shared" si="104"/>
        <v>0.63487748393639054</v>
      </c>
      <c r="F3334">
        <v>2799.18994140625</v>
      </c>
      <c r="G3334">
        <f t="shared" si="105"/>
        <v>-7.9423573413591741E-3</v>
      </c>
    </row>
    <row r="3335" spans="1:7" x14ac:dyDescent="0.25">
      <c r="A3335" s="1">
        <v>41179</v>
      </c>
      <c r="B3335">
        <v>0.64718800783157304</v>
      </c>
      <c r="C3335">
        <f>C3336*(1+G3335*3)</f>
        <v>0.62741915825826911</v>
      </c>
      <c r="D3335">
        <f t="shared" si="104"/>
        <v>0.65030373921969142</v>
      </c>
      <c r="F3335">
        <v>2821.60009765625</v>
      </c>
      <c r="G3335">
        <f t="shared" si="105"/>
        <v>1.4369350534635617E-2</v>
      </c>
    </row>
    <row r="3336" spans="1:7" x14ac:dyDescent="0.25">
      <c r="A3336" s="1">
        <v>41178</v>
      </c>
      <c r="B3336">
        <v>0.620832979679107</v>
      </c>
      <c r="C3336">
        <f>C3337*(1+G3336*3)</f>
        <v>0.60149009231932882</v>
      </c>
      <c r="D3336">
        <f t="shared" ref="D3336:D3399" si="106">D3337*(1+3*G3336--0.000105456488218832)</f>
        <v>0.62336591136458275</v>
      </c>
      <c r="F3336">
        <v>2781.6298828125</v>
      </c>
      <c r="G3336">
        <f t="shared" si="105"/>
        <v>-8.1654131869328683E-3</v>
      </c>
    </row>
    <row r="3337" spans="1:7" x14ac:dyDescent="0.25">
      <c r="A3337" s="1">
        <v>41177</v>
      </c>
      <c r="B3337">
        <v>0.63760399818420399</v>
      </c>
      <c r="C3337">
        <f>C3338*(1+G3337*3)</f>
        <v>0.61659433485783766</v>
      </c>
      <c r="D3337">
        <f t="shared" si="106"/>
        <v>0.63895041226425564</v>
      </c>
      <c r="F3337">
        <v>2804.53002929687</v>
      </c>
      <c r="G3337">
        <f t="shared" si="105"/>
        <v>-1.3871388491763503E-2</v>
      </c>
    </row>
    <row r="3338" spans="1:7" x14ac:dyDescent="0.25">
      <c r="A3338" s="1">
        <v>41176</v>
      </c>
      <c r="B3338">
        <v>0.66427099704742398</v>
      </c>
      <c r="C3338">
        <f>C3339*(1+G3338*3)</f>
        <v>0.64336753804757996</v>
      </c>
      <c r="D3338">
        <f t="shared" si="106"/>
        <v>0.66662098889705756</v>
      </c>
      <c r="F3338">
        <v>2843.97998046875</v>
      </c>
      <c r="G3338">
        <f t="shared" si="105"/>
        <v>-6.1712559134964318E-3</v>
      </c>
    </row>
    <row r="3339" spans="1:7" x14ac:dyDescent="0.25">
      <c r="A3339" s="1">
        <v>41173</v>
      </c>
      <c r="B3339">
        <v>0.67677098512649503</v>
      </c>
      <c r="C3339">
        <f>C3340*(1+G3339*3)</f>
        <v>0.65550337529082103</v>
      </c>
      <c r="D3339">
        <f t="shared" si="106"/>
        <v>0.67912248701647282</v>
      </c>
      <c r="F3339">
        <v>2861.63989257812</v>
      </c>
      <c r="G3339">
        <f t="shared" si="105"/>
        <v>-2.0987033852115644E-5</v>
      </c>
    </row>
    <row r="3340" spans="1:7" x14ac:dyDescent="0.25">
      <c r="A3340" s="1">
        <v>41172</v>
      </c>
      <c r="B3340">
        <v>0.67677098512649503</v>
      </c>
      <c r="C3340">
        <f>C3341*(1+G3340*3)</f>
        <v>0.65554464910404797</v>
      </c>
      <c r="D3340">
        <f t="shared" si="106"/>
        <v>0.67909362867014245</v>
      </c>
      <c r="F3340">
        <v>2861.69995117187</v>
      </c>
      <c r="G3340">
        <f t="shared" si="105"/>
        <v>-8.1356623400075101E-4</v>
      </c>
    </row>
    <row r="3341" spans="1:7" x14ac:dyDescent="0.25">
      <c r="A3341" s="1">
        <v>41171</v>
      </c>
      <c r="B3341">
        <v>0.67833298444747903</v>
      </c>
      <c r="C3341">
        <f>C3342*(1+G3341*3)</f>
        <v>0.65714855071881006</v>
      </c>
      <c r="D3341">
        <f t="shared" si="106"/>
        <v>0.68068318878681011</v>
      </c>
      <c r="F3341">
        <v>2864.03002929687</v>
      </c>
      <c r="G3341">
        <f t="shared" si="105"/>
        <v>2.327358194257334E-3</v>
      </c>
    </row>
    <row r="3342" spans="1:7" x14ac:dyDescent="0.25">
      <c r="A3342" s="1">
        <v>41170</v>
      </c>
      <c r="B3342">
        <v>0.67385399341583196</v>
      </c>
      <c r="C3342">
        <f>C3343*(1+G3342*3)</f>
        <v>0.65259210397671652</v>
      </c>
      <c r="D3342">
        <f t="shared" si="106"/>
        <v>0.67589277772403278</v>
      </c>
      <c r="F3342">
        <v>2857.3798828125</v>
      </c>
      <c r="G3342">
        <f t="shared" si="105"/>
        <v>3.2906044780589561E-4</v>
      </c>
    </row>
    <row r="3343" spans="1:7" x14ac:dyDescent="0.25">
      <c r="A3343" s="1">
        <v>41169</v>
      </c>
      <c r="B3343">
        <v>0.67260402441024703</v>
      </c>
      <c r="C3343">
        <f>C3344*(1+G3343*3)</f>
        <v>0.65194851256824027</v>
      </c>
      <c r="D3343">
        <f t="shared" si="106"/>
        <v>0.6751550777438684</v>
      </c>
      <c r="F3343">
        <v>2856.43994140625</v>
      </c>
      <c r="G3343">
        <f t="shared" si="105"/>
        <v>4.2377004506710669E-4</v>
      </c>
    </row>
    <row r="3344" spans="1:7" x14ac:dyDescent="0.25">
      <c r="A3344" s="1">
        <v>41166</v>
      </c>
      <c r="B3344">
        <v>0.67135399580001798</v>
      </c>
      <c r="C3344">
        <f>C3345*(1+G3344*3)</f>
        <v>0.65112073617709854</v>
      </c>
      <c r="D3344">
        <f t="shared" si="106"/>
        <v>0.67422682475493123</v>
      </c>
      <c r="F3344">
        <v>2855.22998046875</v>
      </c>
      <c r="G3344">
        <f t="shared" si="105"/>
        <v>8.434097511384131E-3</v>
      </c>
    </row>
    <row r="3345" spans="1:7" x14ac:dyDescent="0.25">
      <c r="A3345" s="1">
        <v>41165</v>
      </c>
      <c r="B3345">
        <v>0.65458297729492099</v>
      </c>
      <c r="C3345">
        <f>C3346*(1+G3345*3)</f>
        <v>0.63505245323091875</v>
      </c>
      <c r="D3345">
        <f t="shared" si="106"/>
        <v>0.65752070373735949</v>
      </c>
      <c r="F3345">
        <v>2831.35009765625</v>
      </c>
      <c r="G3345">
        <f t="shared" si="105"/>
        <v>1.4210141200648563E-2</v>
      </c>
    </row>
    <row r="3346" spans="1:7" x14ac:dyDescent="0.25">
      <c r="A3346" s="1">
        <v>41164</v>
      </c>
      <c r="B3346">
        <v>0.62947899103164595</v>
      </c>
      <c r="C3346">
        <f>C3347*(1+G3346*3)</f>
        <v>0.60908682391697444</v>
      </c>
      <c r="D3346">
        <f t="shared" si="106"/>
        <v>0.63057262753872456</v>
      </c>
      <c r="F3346">
        <v>2791.67993164062</v>
      </c>
      <c r="G3346">
        <f t="shared" si="105"/>
        <v>2.4381714625758555E-3</v>
      </c>
    </row>
    <row r="3347" spans="1:7" x14ac:dyDescent="0.25">
      <c r="A3347" s="1">
        <v>41163</v>
      </c>
      <c r="B3347">
        <v>0.62406301498412997</v>
      </c>
      <c r="C3347">
        <f>C3348*(1+G3347*3)</f>
        <v>0.60466400038640711</v>
      </c>
      <c r="D3347">
        <f t="shared" si="106"/>
        <v>0.62592825809324082</v>
      </c>
      <c r="F3347">
        <v>2784.88989257812</v>
      </c>
      <c r="G3347">
        <f t="shared" si="105"/>
        <v>-1.2409507260363606E-3</v>
      </c>
    </row>
    <row r="3348" spans="1:7" x14ac:dyDescent="0.25">
      <c r="A3348" s="1">
        <v>41162</v>
      </c>
      <c r="B3348">
        <v>0.62677097320556596</v>
      </c>
      <c r="C3348">
        <f>C3349*(1+G3348*3)</f>
        <v>0.60692348681122787</v>
      </c>
      <c r="D3348">
        <f t="shared" si="106"/>
        <v>0.62820070862902144</v>
      </c>
      <c r="F3348">
        <v>2788.35009765625</v>
      </c>
      <c r="G3348">
        <f t="shared" si="105"/>
        <v>-1.3011885685109248E-2</v>
      </c>
    </row>
    <row r="3349" spans="1:7" x14ac:dyDescent="0.25">
      <c r="A3349" s="1">
        <v>41159</v>
      </c>
      <c r="B3349">
        <v>0.650729000568389</v>
      </c>
      <c r="C3349">
        <f>C3350*(1+G3349*3)</f>
        <v>0.63157753070362532</v>
      </c>
      <c r="D3349">
        <f t="shared" si="106"/>
        <v>0.65364733029766486</v>
      </c>
      <c r="F3349">
        <v>2825.11010742187</v>
      </c>
      <c r="G3349">
        <f t="shared" si="105"/>
        <v>-1.6255565337537359E-3</v>
      </c>
    </row>
    <row r="3350" spans="1:7" x14ac:dyDescent="0.25">
      <c r="A3350" s="1">
        <v>41158</v>
      </c>
      <c r="B3350">
        <v>0.65354198217391901</v>
      </c>
      <c r="C3350">
        <f>C3351*(1+G3350*3)</f>
        <v>0.63467261937327579</v>
      </c>
      <c r="D3350">
        <f t="shared" si="106"/>
        <v>0.65678097228502796</v>
      </c>
      <c r="F3350">
        <v>2829.7099609375</v>
      </c>
      <c r="G3350">
        <f t="shared" si="105"/>
        <v>2.2682018422143679E-2</v>
      </c>
    </row>
    <row r="3351" spans="1:7" x14ac:dyDescent="0.25">
      <c r="A3351" s="1">
        <v>41157</v>
      </c>
      <c r="B3351">
        <v>0.61302101612090998</v>
      </c>
      <c r="C3351">
        <f>C3352*(1+G3351*3)</f>
        <v>0.5942371269888288</v>
      </c>
      <c r="D3351">
        <f t="shared" si="106"/>
        <v>0.61487622781728357</v>
      </c>
      <c r="F3351">
        <v>2766.94995117187</v>
      </c>
      <c r="G3351">
        <f t="shared" si="105"/>
        <v>-1.8326201633135364E-3</v>
      </c>
    </row>
    <row r="3352" spans="1:7" x14ac:dyDescent="0.25">
      <c r="A3352" s="1">
        <v>41156</v>
      </c>
      <c r="B3352">
        <v>0.61583298444747903</v>
      </c>
      <c r="C3352">
        <f>C3353*(1+G3352*3)</f>
        <v>0.59752222079841799</v>
      </c>
      <c r="D3352">
        <f t="shared" si="106"/>
        <v>0.61820986516812004</v>
      </c>
      <c r="F3352">
        <v>2772.03002929687</v>
      </c>
      <c r="G3352">
        <f t="shared" si="105"/>
        <v>-7.5736926903768875E-5</v>
      </c>
    </row>
    <row r="3353" spans="1:7" x14ac:dyDescent="0.25">
      <c r="A3353" s="1">
        <v>41152</v>
      </c>
      <c r="B3353">
        <v>0.61843800544738703</v>
      </c>
      <c r="C3353">
        <f>C3354*(1+G3353*3)</f>
        <v>0.59765801514263694</v>
      </c>
      <c r="D3353">
        <f t="shared" si="106"/>
        <v>0.61828514403839108</v>
      </c>
      <c r="F3353">
        <v>2772.23999023437</v>
      </c>
      <c r="G3353">
        <f t="shared" si="105"/>
        <v>6.7181360860526507E-3</v>
      </c>
    </row>
    <row r="3354" spans="1:7" x14ac:dyDescent="0.25">
      <c r="A3354" s="1">
        <v>41151</v>
      </c>
      <c r="B3354">
        <v>0.60552102327346802</v>
      </c>
      <c r="C3354">
        <f>C3355*(1+G3354*3)</f>
        <v>0.58585054409860959</v>
      </c>
      <c r="D3354">
        <f t="shared" si="106"/>
        <v>0.60600751377404094</v>
      </c>
      <c r="F3354">
        <v>2753.73999023437</v>
      </c>
      <c r="G3354">
        <f t="shared" si="105"/>
        <v>-1.0869256381332626E-2</v>
      </c>
    </row>
    <row r="3355" spans="1:7" x14ac:dyDescent="0.25">
      <c r="A3355" s="1">
        <v>41150</v>
      </c>
      <c r="B3355">
        <v>0.62458300590515103</v>
      </c>
      <c r="C3355">
        <f>C3356*(1+G3355*3)</f>
        <v>0.60559773524355953</v>
      </c>
      <c r="D3355">
        <f t="shared" si="106"/>
        <v>0.62636585255054233</v>
      </c>
      <c r="F3355">
        <v>2784</v>
      </c>
      <c r="G3355">
        <f t="shared" si="105"/>
        <v>4.7078856118898393E-4</v>
      </c>
    </row>
    <row r="3356" spans="1:7" x14ac:dyDescent="0.25">
      <c r="A3356" s="1">
        <v>41149</v>
      </c>
      <c r="B3356">
        <v>0.62437498569488503</v>
      </c>
      <c r="C3356">
        <f>C3357*(1+G3356*3)</f>
        <v>0.60474361611280558</v>
      </c>
      <c r="D3356">
        <f t="shared" si="106"/>
        <v>0.62541658139669598</v>
      </c>
      <c r="F3356">
        <v>2782.68994140625</v>
      </c>
      <c r="G3356">
        <f t="shared" si="105"/>
        <v>5.0274954870532795E-5</v>
      </c>
    </row>
    <row r="3357" spans="1:7" x14ac:dyDescent="0.25">
      <c r="A3357" s="1">
        <v>41148</v>
      </c>
      <c r="B3357">
        <v>0.62447899580001798</v>
      </c>
      <c r="C3357">
        <f>C3358*(1+G3357*3)</f>
        <v>0.60465241949349835</v>
      </c>
      <c r="D3357">
        <f t="shared" si="106"/>
        <v>0.62525633985605189</v>
      </c>
      <c r="F3357">
        <v>2782.55004882812</v>
      </c>
      <c r="G3357">
        <f t="shared" si="105"/>
        <v>1.6198412270860274E-3</v>
      </c>
    </row>
    <row r="3358" spans="1:7" x14ac:dyDescent="0.25">
      <c r="A3358" s="1">
        <v>41145</v>
      </c>
      <c r="B3358">
        <v>0.62145799398422197</v>
      </c>
      <c r="C3358">
        <f>C3359*(1+G3358*3)</f>
        <v>0.60172830653819265</v>
      </c>
      <c r="D3358">
        <f t="shared" si="106"/>
        <v>0.62216729159120443</v>
      </c>
      <c r="F3358">
        <v>2778.05004882812</v>
      </c>
      <c r="G3358">
        <f t="shared" si="105"/>
        <v>5.8037339278917965E-3</v>
      </c>
    </row>
    <row r="3359" spans="1:7" x14ac:dyDescent="0.25">
      <c r="A3359" s="1">
        <v>41144</v>
      </c>
      <c r="B3359">
        <v>0.61062502861022905</v>
      </c>
      <c r="C3359">
        <f>C3360*(1+G3359*3)</f>
        <v>0.59143078578579844</v>
      </c>
      <c r="D3359">
        <f t="shared" si="106"/>
        <v>0.61145661501784765</v>
      </c>
      <c r="F3359">
        <v>2762.02001953125</v>
      </c>
      <c r="G3359">
        <f t="shared" si="105"/>
        <v>-7.6883484865389873E-3</v>
      </c>
    </row>
    <row r="3360" spans="1:7" x14ac:dyDescent="0.25">
      <c r="A3360" s="1">
        <v>41143</v>
      </c>
      <c r="B3360">
        <v>0.62447899580001798</v>
      </c>
      <c r="C3360">
        <f>C3361*(1+G3360*3)</f>
        <v>0.605394231250583</v>
      </c>
      <c r="D3360">
        <f t="shared" si="106"/>
        <v>0.6258253068305768</v>
      </c>
      <c r="F3360">
        <v>2783.419921875</v>
      </c>
      <c r="G3360">
        <f t="shared" si="105"/>
        <v>4.0473165358749785E-3</v>
      </c>
    </row>
    <row r="3361" spans="1:7" x14ac:dyDescent="0.25">
      <c r="A3361" s="1">
        <v>41142</v>
      </c>
      <c r="B3361">
        <v>0.61781299114227295</v>
      </c>
      <c r="C3361">
        <f>C3362*(1+G3361*3)</f>
        <v>0.59813174573514616</v>
      </c>
      <c r="D3361">
        <f t="shared" si="106"/>
        <v>0.61825330750348306</v>
      </c>
      <c r="F3361">
        <v>2772.19995117187</v>
      </c>
      <c r="G3361">
        <f t="shared" si="105"/>
        <v>-4.3565693049217868E-3</v>
      </c>
    </row>
    <row r="3362" spans="1:7" x14ac:dyDescent="0.25">
      <c r="A3362" s="1">
        <v>41141</v>
      </c>
      <c r="B3362">
        <v>0.625</v>
      </c>
      <c r="C3362">
        <f>C3363*(1+G3362*3)</f>
        <v>0.6060526772072059</v>
      </c>
      <c r="D3362">
        <f t="shared" si="106"/>
        <v>0.62637377460445021</v>
      </c>
      <c r="F3362">
        <v>2784.330078125</v>
      </c>
      <c r="G3362">
        <f t="shared" si="105"/>
        <v>1.449494380499905E-3</v>
      </c>
    </row>
    <row r="3363" spans="1:7" x14ac:dyDescent="0.25">
      <c r="A3363" s="1">
        <v>41138</v>
      </c>
      <c r="B3363">
        <v>0.62260401248931796</v>
      </c>
      <c r="C3363">
        <f>C3364*(1+G3363*3)</f>
        <v>0.60342867777480469</v>
      </c>
      <c r="D3363">
        <f t="shared" si="106"/>
        <v>0.62359631426738826</v>
      </c>
      <c r="F3363">
        <v>2780.30004882812</v>
      </c>
      <c r="G3363">
        <f t="shared" si="105"/>
        <v>4.4109694951455225E-3</v>
      </c>
    </row>
    <row r="3364" spans="1:7" x14ac:dyDescent="0.25">
      <c r="A3364" s="1">
        <v>41137</v>
      </c>
      <c r="B3364">
        <v>0.61416697502136197</v>
      </c>
      <c r="C3364">
        <f>C3365*(1+G3364*3)</f>
        <v>0.59554784760870005</v>
      </c>
      <c r="D3364">
        <f t="shared" si="106"/>
        <v>0.61538804393693358</v>
      </c>
      <c r="F3364">
        <v>2768.09008789062</v>
      </c>
      <c r="G3364">
        <f t="shared" si="105"/>
        <v>1.1924867586506682E-2</v>
      </c>
    </row>
    <row r="3365" spans="1:7" x14ac:dyDescent="0.25">
      <c r="A3365" s="1">
        <v>41136</v>
      </c>
      <c r="B3365">
        <v>0.59291702508926303</v>
      </c>
      <c r="C3365">
        <f>C3366*(1+G3365*3)</f>
        <v>0.57497822984077429</v>
      </c>
      <c r="D3365">
        <f t="shared" si="106"/>
        <v>0.59407268094708898</v>
      </c>
      <c r="F3365">
        <v>2735.46997070312</v>
      </c>
      <c r="G3365">
        <f t="shared" si="105"/>
        <v>2.8154408992782098E-3</v>
      </c>
    </row>
    <row r="3366" spans="1:7" x14ac:dyDescent="0.25">
      <c r="A3366" s="1">
        <v>41135</v>
      </c>
      <c r="B3366">
        <v>0.58875000476837103</v>
      </c>
      <c r="C3366">
        <f>C3367*(1+G3366*3)</f>
        <v>0.57016245376607677</v>
      </c>
      <c r="D3366">
        <f t="shared" si="106"/>
        <v>0.5890353804407864</v>
      </c>
      <c r="F3366">
        <v>2727.7900390625</v>
      </c>
      <c r="G3366">
        <f t="shared" si="105"/>
        <v>-3.2612567263801129E-4</v>
      </c>
    </row>
    <row r="3367" spans="1:7" x14ac:dyDescent="0.25">
      <c r="A3367" s="1">
        <v>41134</v>
      </c>
      <c r="B3367">
        <v>0.58791697025298995</v>
      </c>
      <c r="C3367">
        <f>C3368*(1+G3367*3)</f>
        <v>0.5707208339136226</v>
      </c>
      <c r="D3367">
        <f t="shared" si="106"/>
        <v>0.58955001074845081</v>
      </c>
      <c r="F3367">
        <v>2728.67993164062</v>
      </c>
      <c r="G3367">
        <f t="shared" si="105"/>
        <v>2.1006444403062208E-3</v>
      </c>
    </row>
    <row r="3368" spans="1:7" x14ac:dyDescent="0.25">
      <c r="A3368" s="1">
        <v>41131</v>
      </c>
      <c r="B3368">
        <v>0.58437502384185702</v>
      </c>
      <c r="C3368">
        <f>C3369*(1+G3368*3)</f>
        <v>0.56714671314420961</v>
      </c>
      <c r="D3368">
        <f t="shared" si="106"/>
        <v>0.58579658368790144</v>
      </c>
      <c r="F3368">
        <v>2722.9599609375</v>
      </c>
      <c r="G3368">
        <f t="shared" si="105"/>
        <v>1.231740353695665E-3</v>
      </c>
    </row>
    <row r="3369" spans="1:7" x14ac:dyDescent="0.25">
      <c r="A3369" s="1">
        <v>41130</v>
      </c>
      <c r="B3369">
        <v>0.58197897672653198</v>
      </c>
      <c r="C3369">
        <f>C3370*(1+G3369*3)</f>
        <v>0.56505869634871153</v>
      </c>
      <c r="D3369">
        <f t="shared" si="106"/>
        <v>0.58357858964398601</v>
      </c>
      <c r="F3369">
        <v>2719.61010742187</v>
      </c>
      <c r="G3369">
        <f t="shared" si="105"/>
        <v>2.0597076846859963E-3</v>
      </c>
    </row>
    <row r="3370" spans="1:7" x14ac:dyDescent="0.25">
      <c r="A3370" s="1">
        <v>41129</v>
      </c>
      <c r="B3370">
        <v>0.57708299160003595</v>
      </c>
      <c r="C3370">
        <f>C3371*(1+G3370*3)</f>
        <v>0.56158857145990815</v>
      </c>
      <c r="D3370">
        <f t="shared" si="106"/>
        <v>0.57993394861465053</v>
      </c>
      <c r="F3370">
        <v>2714.02001953125</v>
      </c>
      <c r="G3370">
        <f t="shared" si="105"/>
        <v>-1.155578868997198E-3</v>
      </c>
    </row>
    <row r="3371" spans="1:7" x14ac:dyDescent="0.25">
      <c r="A3371" s="1">
        <v>41128</v>
      </c>
      <c r="B3371">
        <v>0.57802098989486606</v>
      </c>
      <c r="C3371">
        <f>C3372*(1+G3371*3)</f>
        <v>0.56354222391714714</v>
      </c>
      <c r="D3371">
        <f t="shared" si="106"/>
        <v>0.58188984337650784</v>
      </c>
      <c r="F3371">
        <v>2717.15991210937</v>
      </c>
      <c r="G3371">
        <f t="shared" si="105"/>
        <v>8.5631227858504744E-3</v>
      </c>
    </row>
    <row r="3372" spans="1:7" x14ac:dyDescent="0.25">
      <c r="A3372" s="1">
        <v>41127</v>
      </c>
      <c r="B3372">
        <v>0.56406301259994496</v>
      </c>
      <c r="C3372">
        <f>C3373*(1+G3372*3)</f>
        <v>0.54942777150898425</v>
      </c>
      <c r="D3372">
        <f t="shared" si="106"/>
        <v>0.56725753462832673</v>
      </c>
      <c r="F3372">
        <v>2694.09008789062</v>
      </c>
      <c r="G3372">
        <f t="shared" si="105"/>
        <v>6.7601225301270329E-3</v>
      </c>
    </row>
    <row r="3373" spans="1:7" x14ac:dyDescent="0.25">
      <c r="A3373" s="1">
        <v>41124</v>
      </c>
      <c r="B3373">
        <v>0.55166697502136197</v>
      </c>
      <c r="C3373">
        <f>C3374*(1+G3373*3)</f>
        <v>0.53850665852424473</v>
      </c>
      <c r="D3373">
        <f t="shared" si="106"/>
        <v>0.55592455446012856</v>
      </c>
      <c r="F3373">
        <v>2676</v>
      </c>
      <c r="G3373">
        <f t="shared" si="105"/>
        <v>1.9226659897174425E-2</v>
      </c>
    </row>
    <row r="3374" spans="1:7" x14ac:dyDescent="0.25">
      <c r="A3374" s="1">
        <v>41123</v>
      </c>
      <c r="B3374">
        <v>0.52197897434234597</v>
      </c>
      <c r="C3374">
        <f>C3375*(1+G3374*3)</f>
        <v>0.50913950236753314</v>
      </c>
      <c r="D3374">
        <f t="shared" si="106"/>
        <v>0.52555512247160885</v>
      </c>
      <c r="F3374">
        <v>2625.52001953125</v>
      </c>
      <c r="G3374">
        <f t="shared" si="105"/>
        <v>-3.6468271806752162E-3</v>
      </c>
    </row>
    <row r="3375" spans="1:7" x14ac:dyDescent="0.25">
      <c r="A3375" s="1">
        <v>41122</v>
      </c>
      <c r="B3375">
        <v>0.52749997377395597</v>
      </c>
      <c r="C3375">
        <f>C3376*(1+G3375*3)</f>
        <v>0.51477134880752551</v>
      </c>
      <c r="D3375">
        <f t="shared" si="106"/>
        <v>0.53131190022189889</v>
      </c>
      <c r="F3375">
        <v>2635.1298828125</v>
      </c>
      <c r="G3375">
        <f t="shared" si="105"/>
        <v>-2.8004020398356699E-3</v>
      </c>
    </row>
    <row r="3376" spans="1:7" x14ac:dyDescent="0.25">
      <c r="A3376" s="1">
        <v>41121</v>
      </c>
      <c r="B3376">
        <v>0.53270798921585005</v>
      </c>
      <c r="C3376">
        <f>C3377*(1+G3376*3)</f>
        <v>0.51913268953568892</v>
      </c>
      <c r="D3376">
        <f t="shared" si="106"/>
        <v>0.53575640118952716</v>
      </c>
      <c r="F3376">
        <v>2642.53002929687</v>
      </c>
      <c r="G3376">
        <f t="shared" si="105"/>
        <v>1.5514514525793999E-4</v>
      </c>
    </row>
    <row r="3377" spans="1:7" x14ac:dyDescent="0.25">
      <c r="A3377" s="1">
        <v>41120</v>
      </c>
      <c r="B3377">
        <v>0.53239601850509599</v>
      </c>
      <c r="C3377">
        <f>C3378*(1+G3377*3)</f>
        <v>0.51889117919358174</v>
      </c>
      <c r="D3377">
        <f t="shared" si="106"/>
        <v>0.53545071669966726</v>
      </c>
      <c r="F3377">
        <v>2642.1201171875</v>
      </c>
      <c r="G3377">
        <f t="shared" si="105"/>
        <v>-1.8548758627700002E-3</v>
      </c>
    </row>
    <row r="3378" spans="1:7" x14ac:dyDescent="0.25">
      <c r="A3378" s="1">
        <v>41117</v>
      </c>
      <c r="B3378">
        <v>0.53562498092651301</v>
      </c>
      <c r="C3378">
        <f>C3379*(1+G3378*3)</f>
        <v>0.52179477278163844</v>
      </c>
      <c r="D3378">
        <f t="shared" si="106"/>
        <v>0.53838987916860614</v>
      </c>
      <c r="F3378">
        <v>2647.03002929687</v>
      </c>
      <c r="G3378">
        <f t="shared" si="105"/>
        <v>2.4055527125925069E-2</v>
      </c>
    </row>
    <row r="3379" spans="1:7" x14ac:dyDescent="0.25">
      <c r="A3379" s="1">
        <v>41116</v>
      </c>
      <c r="B3379">
        <v>0.49791699647903398</v>
      </c>
      <c r="C3379">
        <f>C3380*(1+G3379*3)</f>
        <v>0.48667322955646697</v>
      </c>
      <c r="D3379">
        <f t="shared" si="106"/>
        <v>0.5021019481586918</v>
      </c>
      <c r="F3379">
        <v>2584.85009765625</v>
      </c>
      <c r="G3379">
        <f t="shared" si="105"/>
        <v>1.3984837269430894E-2</v>
      </c>
    </row>
    <row r="3380" spans="1:7" x14ac:dyDescent="0.25">
      <c r="A3380" s="1">
        <v>41115</v>
      </c>
      <c r="B3380">
        <v>0.47916701436042702</v>
      </c>
      <c r="C3380">
        <f>C3381*(1+G3380*3)</f>
        <v>0.46707723229861026</v>
      </c>
      <c r="D3380">
        <f t="shared" si="106"/>
        <v>0.48183594364486892</v>
      </c>
      <c r="F3380">
        <v>2549.19995117187</v>
      </c>
      <c r="G3380">
        <f t="shared" si="105"/>
        <v>-7.1120913445373857E-3</v>
      </c>
    </row>
    <row r="3381" spans="1:7" x14ac:dyDescent="0.25">
      <c r="A3381" s="1">
        <v>41114</v>
      </c>
      <c r="B3381">
        <v>0.490103989839553</v>
      </c>
      <c r="C3381">
        <f>C3382*(1+G3381*3)</f>
        <v>0.47726018642143075</v>
      </c>
      <c r="D3381">
        <f t="shared" si="106"/>
        <v>0.49228761211759497</v>
      </c>
      <c r="F3381">
        <v>2567.4599609375</v>
      </c>
      <c r="G3381">
        <f t="shared" si="105"/>
        <v>-8.675899076885929E-3</v>
      </c>
    </row>
    <row r="3382" spans="1:7" x14ac:dyDescent="0.25">
      <c r="A3382" s="1">
        <v>41113</v>
      </c>
      <c r="B3382">
        <v>0.50156301259994496</v>
      </c>
      <c r="C3382">
        <f>C3383*(1+G3382*3)</f>
        <v>0.4900141257245344</v>
      </c>
      <c r="D3382">
        <f t="shared" si="106"/>
        <v>0.50538841220727082</v>
      </c>
      <c r="F3382">
        <v>2589.92993164062</v>
      </c>
      <c r="G3382">
        <f t="shared" si="105"/>
        <v>-1.0737080794205878E-2</v>
      </c>
    </row>
    <row r="3383" spans="1:7" x14ac:dyDescent="0.25">
      <c r="A3383" s="1">
        <v>41110</v>
      </c>
      <c r="B3383">
        <v>0.52083301544189398</v>
      </c>
      <c r="C3383">
        <f>C3384*(1+G3383*3)</f>
        <v>0.50632343253388223</v>
      </c>
      <c r="D3383">
        <f t="shared" si="106"/>
        <v>0.52215252952439994</v>
      </c>
      <c r="F3383">
        <v>2618.0400390625</v>
      </c>
      <c r="G3383">
        <f t="shared" si="105"/>
        <v>-1.4221656932517646E-2</v>
      </c>
    </row>
    <row r="3384" spans="1:7" x14ac:dyDescent="0.25">
      <c r="A3384" s="1">
        <v>41109</v>
      </c>
      <c r="B3384">
        <v>0.54166698455810502</v>
      </c>
      <c r="C3384">
        <f>C3385*(1+G3384*3)</f>
        <v>0.52888844248778688</v>
      </c>
      <c r="D3384">
        <f t="shared" si="106"/>
        <v>0.54536291010060678</v>
      </c>
      <c r="F3384">
        <v>2655.81005859375</v>
      </c>
      <c r="G3384">
        <f t="shared" si="105"/>
        <v>1.1401912535688563E-2</v>
      </c>
    </row>
    <row r="3385" spans="1:7" x14ac:dyDescent="0.25">
      <c r="A3385" s="1">
        <v>41108</v>
      </c>
      <c r="B3385">
        <v>0.52458298206329301</v>
      </c>
      <c r="C3385">
        <f>C3386*(1+G3385*3)</f>
        <v>0.51139577286771143</v>
      </c>
      <c r="D3385">
        <f t="shared" si="106"/>
        <v>0.52727159216103969</v>
      </c>
      <c r="F3385">
        <v>2625.8701171875</v>
      </c>
      <c r="G3385">
        <f t="shared" si="105"/>
        <v>1.320402682970534E-2</v>
      </c>
    </row>
    <row r="3386" spans="1:7" x14ac:dyDescent="0.25">
      <c r="A3386" s="1">
        <v>41107</v>
      </c>
      <c r="B3386">
        <v>0.50406301021575906</v>
      </c>
      <c r="C3386">
        <f>C3387*(1+G3386*3)</f>
        <v>0.49191018694887645</v>
      </c>
      <c r="D3386">
        <f t="shared" si="106"/>
        <v>0.50712965147622957</v>
      </c>
      <c r="F3386">
        <v>2591.64990234375</v>
      </c>
      <c r="G3386">
        <f t="shared" si="105"/>
        <v>5.6653356508420405E-3</v>
      </c>
    </row>
    <row r="3387" spans="1:7" x14ac:dyDescent="0.25">
      <c r="A3387" s="1">
        <v>41106</v>
      </c>
      <c r="B3387">
        <v>0.49645799398422202</v>
      </c>
      <c r="C3387">
        <f>C3388*(1+G3387*3)</f>
        <v>0.48368939856795234</v>
      </c>
      <c r="D3387">
        <f t="shared" si="106"/>
        <v>0.49860281368651704</v>
      </c>
      <c r="F3387">
        <v>2577.05004882812</v>
      </c>
      <c r="G3387">
        <f t="shared" si="105"/>
        <v>-3.0638351566016908E-3</v>
      </c>
    </row>
    <row r="3388" spans="1:7" x14ac:dyDescent="0.25">
      <c r="A3388" s="1">
        <v>41103</v>
      </c>
      <c r="B3388">
        <v>0.500208020210266</v>
      </c>
      <c r="C3388">
        <f>C3389*(1+G3388*3)</f>
        <v>0.48817647531100361</v>
      </c>
      <c r="D3388">
        <f t="shared" si="106"/>
        <v>0.50317468350715722</v>
      </c>
      <c r="F3388">
        <v>2584.96997070312</v>
      </c>
      <c r="G3388">
        <f t="shared" si="105"/>
        <v>1.5585558132238386E-2</v>
      </c>
    </row>
    <row r="3389" spans="1:7" x14ac:dyDescent="0.25">
      <c r="A3389" s="1">
        <v>41102</v>
      </c>
      <c r="B3389">
        <v>0.47937500476837103</v>
      </c>
      <c r="C3389">
        <f>C3390*(1+G3389*3)</f>
        <v>0.46637053983186483</v>
      </c>
      <c r="D3389">
        <f t="shared" si="106"/>
        <v>0.48065038237825392</v>
      </c>
      <c r="F3389">
        <v>2545.30004882812</v>
      </c>
      <c r="G3389">
        <f t="shared" si="105"/>
        <v>-9.9922370385845394E-3</v>
      </c>
    </row>
    <row r="3390" spans="1:7" x14ac:dyDescent="0.25">
      <c r="A3390" s="1">
        <v>41101</v>
      </c>
      <c r="B3390">
        <v>0.49364599585533098</v>
      </c>
      <c r="C3390">
        <f>C3391*(1+G3390*3)</f>
        <v>0.48078282776932091</v>
      </c>
      <c r="D3390">
        <f t="shared" si="106"/>
        <v>0.49545009842349946</v>
      </c>
      <c r="F3390">
        <v>2570.98999023437</v>
      </c>
      <c r="G3390">
        <f t="shared" si="105"/>
        <v>-5.6197705634142281E-3</v>
      </c>
    </row>
    <row r="3391" spans="1:7" x14ac:dyDescent="0.25">
      <c r="A3391" s="1">
        <v>41100</v>
      </c>
      <c r="B3391">
        <v>0.50052100419998102</v>
      </c>
      <c r="C3391">
        <f>C3392*(1+G3391*3)</f>
        <v>0.48902749472803941</v>
      </c>
      <c r="D3391">
        <f t="shared" si="106"/>
        <v>0.5038922359825756</v>
      </c>
      <c r="F3391">
        <v>2585.52001953125</v>
      </c>
      <c r="G3391">
        <f t="shared" si="105"/>
        <v>-9.496971051728309E-3</v>
      </c>
    </row>
    <row r="3392" spans="1:7" x14ac:dyDescent="0.25">
      <c r="A3392" s="1">
        <v>41099</v>
      </c>
      <c r="B3392">
        <v>0.51635402441024703</v>
      </c>
      <c r="C3392">
        <f>C3393*(1+G3392*3)</f>
        <v>0.50336893535011751</v>
      </c>
      <c r="D3392">
        <f t="shared" si="106"/>
        <v>0.51861331166783475</v>
      </c>
      <c r="F3392">
        <v>2610.31005859375</v>
      </c>
      <c r="G3392">
        <f t="shared" si="105"/>
        <v>-7.5794817541030568E-4</v>
      </c>
    </row>
    <row r="3393" spans="1:7" x14ac:dyDescent="0.25">
      <c r="A3393" s="1">
        <v>41096</v>
      </c>
      <c r="B3393">
        <v>0.51812499761581399</v>
      </c>
      <c r="C3393">
        <f>C3394*(1+G3393*3)</f>
        <v>0.50451612658294331</v>
      </c>
      <c r="D3393">
        <f t="shared" si="106"/>
        <v>0.51974031033964796</v>
      </c>
      <c r="F3393">
        <v>2612.2900390625</v>
      </c>
      <c r="G3393">
        <f t="shared" si="105"/>
        <v>-1.3288132454728818E-2</v>
      </c>
    </row>
    <row r="3394" spans="1:7" x14ac:dyDescent="0.25">
      <c r="A3394" s="1">
        <v>41095</v>
      </c>
      <c r="B3394">
        <v>0.53937500715255704</v>
      </c>
      <c r="C3394">
        <f>C3395*(1+G3394*3)</f>
        <v>0.52546340870801977</v>
      </c>
      <c r="D3394">
        <f t="shared" si="106"/>
        <v>0.54126024439506304</v>
      </c>
      <c r="F3394">
        <v>2647.46997070312</v>
      </c>
      <c r="G3394">
        <f t="shared" ref="G3394:G3457" si="107">F3394/F3395-1</f>
        <v>6.1601712815506637E-4</v>
      </c>
    </row>
    <row r="3395" spans="1:7" x14ac:dyDescent="0.25">
      <c r="A3395" s="1">
        <v>41093</v>
      </c>
      <c r="B3395">
        <v>0.53750002384185702</v>
      </c>
      <c r="C3395">
        <f>C3396*(1+G3395*3)</f>
        <v>0.52449411662963852</v>
      </c>
      <c r="D3395">
        <f t="shared" si="106"/>
        <v>0.54020494977281897</v>
      </c>
      <c r="F3395">
        <v>2645.84008789062</v>
      </c>
      <c r="G3395">
        <f t="shared" si="107"/>
        <v>7.9275506799914019E-3</v>
      </c>
    </row>
    <row r="3396" spans="1:7" x14ac:dyDescent="0.25">
      <c r="A3396" s="1">
        <v>41092</v>
      </c>
      <c r="B3396">
        <v>0.52499997615814198</v>
      </c>
      <c r="C3396">
        <f>C3397*(1+G3396*3)</f>
        <v>0.51231002555526728</v>
      </c>
      <c r="D3396">
        <f t="shared" si="106"/>
        <v>0.52760154676407622</v>
      </c>
      <c r="F3396">
        <v>2625.03002929687</v>
      </c>
      <c r="G3396">
        <f t="shared" si="107"/>
        <v>3.559271901436567E-3</v>
      </c>
    </row>
    <row r="3397" spans="1:7" x14ac:dyDescent="0.25">
      <c r="A3397" s="1">
        <v>41089</v>
      </c>
      <c r="B3397">
        <v>0.52083301544189398</v>
      </c>
      <c r="C3397">
        <f>C3398*(1+G3397*3)</f>
        <v>0.50689746781297906</v>
      </c>
      <c r="D3397">
        <f t="shared" si="106"/>
        <v>0.52197297014980826</v>
      </c>
      <c r="F3397">
        <v>2615.71997070312</v>
      </c>
      <c r="G3397">
        <f t="shared" si="107"/>
        <v>3.1171060809894513E-2</v>
      </c>
    </row>
    <row r="3398" spans="1:7" x14ac:dyDescent="0.25">
      <c r="A3398" s="1">
        <v>41088</v>
      </c>
      <c r="B3398">
        <v>0.474478989839553</v>
      </c>
      <c r="C3398">
        <f>C3399*(1+G3398*3)</f>
        <v>0.46354948066259294</v>
      </c>
      <c r="D3398">
        <f t="shared" si="106"/>
        <v>0.477289753095542</v>
      </c>
      <c r="F3398">
        <v>2536.64990234375</v>
      </c>
      <c r="G3398">
        <f t="shared" si="107"/>
        <v>-1.1256982620871936E-2</v>
      </c>
    </row>
    <row r="3399" spans="1:7" x14ac:dyDescent="0.25">
      <c r="A3399" s="1">
        <v>41087</v>
      </c>
      <c r="B3399">
        <v>0.49218800663947998</v>
      </c>
      <c r="C3399">
        <f>C3400*(1+G3399*3)</f>
        <v>0.47975113109793216</v>
      </c>
      <c r="D3399">
        <f t="shared" si="106"/>
        <v>0.49391773638962871</v>
      </c>
      <c r="F3399">
        <v>2565.53002929687</v>
      </c>
      <c r="G3399">
        <f t="shared" si="107"/>
        <v>6.1533040761114766E-3</v>
      </c>
    </row>
    <row r="3400" spans="1:7" x14ac:dyDescent="0.25">
      <c r="A3400" s="1">
        <v>41086</v>
      </c>
      <c r="B3400">
        <v>0.48333299160003601</v>
      </c>
      <c r="C3400">
        <f>C3401*(1+G3400*3)</f>
        <v>0.47105548813233405</v>
      </c>
      <c r="D3400">
        <f t="shared" ref="D3400:D3463" si="108">D3401*(1+3*G3400--0.000105456488218832)</f>
        <v>0.48491510860220138</v>
      </c>
      <c r="F3400">
        <v>2549.84008789062</v>
      </c>
      <c r="G3400">
        <f t="shared" si="107"/>
        <v>6.4337048465006319E-3</v>
      </c>
    </row>
    <row r="3401" spans="1:7" x14ac:dyDescent="0.25">
      <c r="A3401" s="1">
        <v>41085</v>
      </c>
      <c r="B3401">
        <v>0.474166989326477</v>
      </c>
      <c r="C3401">
        <f>C3402*(1+G3401*3)</f>
        <v>0.4621357530302973</v>
      </c>
      <c r="D3401">
        <f t="shared" si="108"/>
        <v>0.4756837187279766</v>
      </c>
      <c r="F3401">
        <v>2533.5400390625</v>
      </c>
      <c r="G3401">
        <f t="shared" si="107"/>
        <v>-2.0108058945464524E-2</v>
      </c>
    </row>
    <row r="3402" spans="1:7" x14ac:dyDescent="0.25">
      <c r="A3402" s="1">
        <v>41082</v>
      </c>
      <c r="B3402">
        <v>0.50406301021575906</v>
      </c>
      <c r="C3402">
        <f>C3403*(1+G3402*3)</f>
        <v>0.49180338754957531</v>
      </c>
      <c r="D3402">
        <f t="shared" si="108"/>
        <v>0.50616428420899195</v>
      </c>
      <c r="F3402">
        <v>2585.53002929687</v>
      </c>
      <c r="G3402">
        <f t="shared" si="107"/>
        <v>1.117345159714378E-2</v>
      </c>
    </row>
    <row r="3403" spans="1:7" x14ac:dyDescent="0.25">
      <c r="A3403" s="1">
        <v>41081</v>
      </c>
      <c r="B3403">
        <v>0.48885399103164601</v>
      </c>
      <c r="C3403">
        <f>C3404*(1+G3403*3)</f>
        <v>0.47585263828579677</v>
      </c>
      <c r="D3403">
        <f t="shared" si="108"/>
        <v>0.48969779845411382</v>
      </c>
      <c r="F3403">
        <v>2556.9599609375</v>
      </c>
      <c r="G3403">
        <f t="shared" si="107"/>
        <v>-2.5299949000294086E-2</v>
      </c>
    </row>
    <row r="3404" spans="1:7" x14ac:dyDescent="0.25">
      <c r="A3404" s="1">
        <v>41080</v>
      </c>
      <c r="B3404">
        <v>0.52843797206878595</v>
      </c>
      <c r="C3404">
        <f>C3405*(1+G3404*3)</f>
        <v>0.51493621848394078</v>
      </c>
      <c r="D3404">
        <f t="shared" si="108"/>
        <v>0.529858067758053</v>
      </c>
      <c r="F3404">
        <v>2623.330078125</v>
      </c>
      <c r="G3404">
        <f t="shared" si="107"/>
        <v>9.5389625632980035E-4</v>
      </c>
    </row>
    <row r="3405" spans="1:7" x14ac:dyDescent="0.25">
      <c r="A3405" s="1">
        <v>41079</v>
      </c>
      <c r="B3405">
        <v>0.52656298875808705</v>
      </c>
      <c r="C3405">
        <f>C3406*(1+G3405*3)</f>
        <v>0.51346683620552291</v>
      </c>
      <c r="D3405">
        <f t="shared" si="108"/>
        <v>0.52829055294944116</v>
      </c>
      <c r="F3405">
        <v>2620.830078125</v>
      </c>
      <c r="G3405">
        <f t="shared" si="107"/>
        <v>1.0919899703944802E-2</v>
      </c>
    </row>
    <row r="3406" spans="1:7" x14ac:dyDescent="0.25">
      <c r="A3406" s="1">
        <v>41078</v>
      </c>
      <c r="B3406">
        <v>0.50979197025298995</v>
      </c>
      <c r="C3406">
        <f>C3407*(1+G3406*3)</f>
        <v>0.49717938901672915</v>
      </c>
      <c r="D3406">
        <f t="shared" si="108"/>
        <v>0.51148066142528115</v>
      </c>
      <c r="F3406">
        <v>2592.52001953125</v>
      </c>
      <c r="G3406">
        <f t="shared" si="107"/>
        <v>8.2800991059612805E-3</v>
      </c>
    </row>
    <row r="3407" spans="1:7" x14ac:dyDescent="0.25">
      <c r="A3407" s="1">
        <v>41075</v>
      </c>
      <c r="B3407">
        <v>0.49697899818420399</v>
      </c>
      <c r="C3407">
        <f>C3408*(1+G3407*3)</f>
        <v>0.48512864913479742</v>
      </c>
      <c r="D3407">
        <f t="shared" si="108"/>
        <v>0.49903193366664961</v>
      </c>
      <c r="F3407">
        <v>2571.22998046875</v>
      </c>
      <c r="G3407">
        <f t="shared" si="107"/>
        <v>1.2307235961918295E-2</v>
      </c>
    </row>
    <row r="3408" spans="1:7" x14ac:dyDescent="0.25">
      <c r="A3408" s="1">
        <v>41074</v>
      </c>
      <c r="B3408">
        <v>0.47927099466323803</v>
      </c>
      <c r="C3408">
        <f>C3409*(1+G3408*3)</f>
        <v>0.46785465618610383</v>
      </c>
      <c r="D3408">
        <f t="shared" si="108"/>
        <v>0.48121394579659077</v>
      </c>
      <c r="F3408">
        <v>2539.96997070312</v>
      </c>
      <c r="G3408">
        <f t="shared" si="107"/>
        <v>4.9575972475526253E-3</v>
      </c>
    </row>
    <row r="3409" spans="1:7" x14ac:dyDescent="0.25">
      <c r="A3409" s="1">
        <v>41073</v>
      </c>
      <c r="B3409">
        <v>0.47395798563957198</v>
      </c>
      <c r="C3409">
        <f>C3410*(1+G3409*3)</f>
        <v>0.46099832411778568</v>
      </c>
      <c r="D3409">
        <f t="shared" si="108"/>
        <v>0.4741125700332538</v>
      </c>
      <c r="F3409">
        <v>2527.43994140625</v>
      </c>
      <c r="G3409">
        <f t="shared" si="107"/>
        <v>-7.3678462514249476E-3</v>
      </c>
    </row>
    <row r="3410" spans="1:7" x14ac:dyDescent="0.25">
      <c r="A3410" s="1">
        <v>41072</v>
      </c>
      <c r="B3410">
        <v>0.48343798518180803</v>
      </c>
      <c r="C3410">
        <f>C3411*(1+G3410*3)</f>
        <v>0.47141833761268348</v>
      </c>
      <c r="D3410">
        <f t="shared" si="108"/>
        <v>0.48477672838493513</v>
      </c>
      <c r="F3410">
        <v>2546.19995117187</v>
      </c>
      <c r="G3410">
        <f t="shared" si="107"/>
        <v>1.1528782335530341E-2</v>
      </c>
    </row>
    <row r="3411" spans="1:7" x14ac:dyDescent="0.25">
      <c r="A3411" s="1">
        <v>41071</v>
      </c>
      <c r="B3411">
        <v>0.468645989894866</v>
      </c>
      <c r="C3411">
        <f>C3412*(1+G3411*3)</f>
        <v>0.45565876543476191</v>
      </c>
      <c r="D3411">
        <f t="shared" si="108"/>
        <v>0.46852282655331468</v>
      </c>
      <c r="F3411">
        <v>2517.17993164062</v>
      </c>
      <c r="G3411">
        <f t="shared" si="107"/>
        <v>-1.6423048494811021E-2</v>
      </c>
    </row>
    <row r="3412" spans="1:7" x14ac:dyDescent="0.25">
      <c r="A3412" s="1">
        <v>41068</v>
      </c>
      <c r="B3412">
        <v>0.49218800663947998</v>
      </c>
      <c r="C3412">
        <f>C3413*(1+G3412*3)</f>
        <v>0.4792720918549942</v>
      </c>
      <c r="D3412">
        <f t="shared" si="108"/>
        <v>0.49274814300970599</v>
      </c>
      <c r="F3412">
        <v>2559.2099609375</v>
      </c>
      <c r="G3412">
        <f t="shared" si="107"/>
        <v>9.387061521870077E-3</v>
      </c>
    </row>
    <row r="3413" spans="1:7" x14ac:dyDescent="0.25">
      <c r="A3413" s="1">
        <v>41067</v>
      </c>
      <c r="B3413">
        <v>0.47812500596046398</v>
      </c>
      <c r="C3413">
        <f>C3414*(1+G3413*3)</f>
        <v>0.46614489931117442</v>
      </c>
      <c r="D3413">
        <f t="shared" si="108"/>
        <v>0.4792026925085387</v>
      </c>
      <c r="F3413">
        <v>2535.40991210937</v>
      </c>
      <c r="G3413">
        <f t="shared" si="107"/>
        <v>-4.2846759076244911E-3</v>
      </c>
    </row>
    <row r="3414" spans="1:7" x14ac:dyDescent="0.25">
      <c r="A3414" s="1">
        <v>41066</v>
      </c>
      <c r="B3414">
        <v>0.48354199528694097</v>
      </c>
      <c r="C3414">
        <f>C3415*(1+G3414*3)</f>
        <v>0.47221476093944004</v>
      </c>
      <c r="D3414">
        <f t="shared" si="108"/>
        <v>0.48539073081700029</v>
      </c>
      <c r="F3414">
        <v>2546.32006835937</v>
      </c>
      <c r="G3414">
        <f t="shared" si="107"/>
        <v>2.3646258636932593E-2</v>
      </c>
    </row>
    <row r="3415" spans="1:7" x14ac:dyDescent="0.25">
      <c r="A3415" s="1">
        <v>41065</v>
      </c>
      <c r="B3415">
        <v>0.45260399580001798</v>
      </c>
      <c r="C3415">
        <f>C3416*(1+G3415*3)</f>
        <v>0.44093534715636484</v>
      </c>
      <c r="D3415">
        <f t="shared" si="108"/>
        <v>0.45319391686539462</v>
      </c>
      <c r="F3415">
        <v>2487.5</v>
      </c>
      <c r="G3415">
        <f t="shared" si="107"/>
        <v>3.7811243278602635E-3</v>
      </c>
    </row>
    <row r="3416" spans="1:7" x14ac:dyDescent="0.25">
      <c r="A3416" s="1">
        <v>41064</v>
      </c>
      <c r="B3416">
        <v>0.44645801186561501</v>
      </c>
      <c r="C3416">
        <f>C3417*(1+G3416*3)</f>
        <v>0.43598975277363433</v>
      </c>
      <c r="D3416">
        <f t="shared" si="108"/>
        <v>0.44806410730838681</v>
      </c>
      <c r="F3416">
        <v>2478.1298828125</v>
      </c>
      <c r="G3416">
        <f t="shared" si="107"/>
        <v>7.8491819582007238E-3</v>
      </c>
    </row>
    <row r="3417" spans="1:7" x14ac:dyDescent="0.25">
      <c r="A3417" s="1">
        <v>41061</v>
      </c>
      <c r="B3417">
        <v>0.43708300590515098</v>
      </c>
      <c r="C3417">
        <f>C3418*(1+G3417*3)</f>
        <v>0.42595945301308819</v>
      </c>
      <c r="D3417">
        <f t="shared" si="108"/>
        <v>0.43771092965502395</v>
      </c>
      <c r="F3417">
        <v>2458.830078125</v>
      </c>
      <c r="G3417">
        <f t="shared" si="107"/>
        <v>-2.6155816338015558E-2</v>
      </c>
    </row>
    <row r="3418" spans="1:7" x14ac:dyDescent="0.25">
      <c r="A3418" s="1">
        <v>41060</v>
      </c>
      <c r="B3418">
        <v>0.474375009536743</v>
      </c>
      <c r="C3418">
        <f>C3419*(1+G3418*3)</f>
        <v>0.46222941615828061</v>
      </c>
      <c r="D3418">
        <f t="shared" si="108"/>
        <v>0.47492716891592635</v>
      </c>
      <c r="F3418">
        <v>2524.8701171875</v>
      </c>
      <c r="G3418">
        <f t="shared" si="107"/>
        <v>-4.9380411596439133E-3</v>
      </c>
    </row>
    <row r="3419" spans="1:7" x14ac:dyDescent="0.25">
      <c r="A3419" s="1">
        <v>41059</v>
      </c>
      <c r="B3419">
        <v>0.48124998807907099</v>
      </c>
      <c r="C3419">
        <f>C3420*(1+G3419*3)</f>
        <v>0.4691799052078634</v>
      </c>
      <c r="D3419">
        <f t="shared" si="108"/>
        <v>0.4820169963998352</v>
      </c>
      <c r="F3419">
        <v>2537.39990234375</v>
      </c>
      <c r="G3419">
        <f t="shared" si="107"/>
        <v>-8.4291994850738128E-3</v>
      </c>
    </row>
    <row r="3420" spans="1:7" x14ac:dyDescent="0.25">
      <c r="A3420" s="1">
        <v>41058</v>
      </c>
      <c r="B3420">
        <v>0.49322900176048201</v>
      </c>
      <c r="C3420">
        <f>C3421*(1+G3420*3)</f>
        <v>0.4813521449653056</v>
      </c>
      <c r="D3420">
        <f t="shared" si="108"/>
        <v>0.49446877940096068</v>
      </c>
      <c r="F3420">
        <v>2558.96997070312</v>
      </c>
      <c r="G3420">
        <f t="shared" si="107"/>
        <v>1.2631297860445034E-2</v>
      </c>
    </row>
    <row r="3421" spans="1:7" x14ac:dyDescent="0.25">
      <c r="A3421" s="1">
        <v>41054</v>
      </c>
      <c r="B3421">
        <v>0.47552099823951699</v>
      </c>
      <c r="C3421">
        <f>C3422*(1+G3421*3)</f>
        <v>0.46377779842635153</v>
      </c>
      <c r="D3421">
        <f t="shared" si="108"/>
        <v>0.47636713777116285</v>
      </c>
      <c r="F3421">
        <v>2527.05004882812</v>
      </c>
      <c r="G3421">
        <f t="shared" si="107"/>
        <v>-1.6987175468582416E-3</v>
      </c>
    </row>
    <row r="3422" spans="1:7" x14ac:dyDescent="0.25">
      <c r="A3422" s="1">
        <v>41053</v>
      </c>
      <c r="B3422">
        <v>0.47822898626327498</v>
      </c>
      <c r="C3422">
        <f>C3423*(1+G3422*3)</f>
        <v>0.46615338724165595</v>
      </c>
      <c r="D3422">
        <f t="shared" si="108"/>
        <v>0.47875646582306153</v>
      </c>
      <c r="F3422">
        <v>2531.35009765625</v>
      </c>
      <c r="G3422">
        <f t="shared" si="107"/>
        <v>-6.1756913745442121E-3</v>
      </c>
    </row>
    <row r="3423" spans="1:7" x14ac:dyDescent="0.25">
      <c r="A3423" s="1">
        <v>41052</v>
      </c>
      <c r="B3423">
        <v>0.48697900772094699</v>
      </c>
      <c r="C3423">
        <f>C3424*(1+G3423*3)</f>
        <v>0.47495287434997024</v>
      </c>
      <c r="D3423">
        <f t="shared" si="108"/>
        <v>0.4877414523634423</v>
      </c>
      <c r="F3423">
        <v>2547.080078125</v>
      </c>
      <c r="G3423">
        <f t="shared" si="107"/>
        <v>3.1033896915022563E-3</v>
      </c>
    </row>
    <row r="3424" spans="1:7" x14ac:dyDescent="0.25">
      <c r="A3424" s="1">
        <v>41051</v>
      </c>
      <c r="B3424">
        <v>0.484270989894866</v>
      </c>
      <c r="C3424">
        <f>C3425*(1+G3424*3)</f>
        <v>0.47057177159473312</v>
      </c>
      <c r="D3424">
        <f t="shared" si="108"/>
        <v>0.48319189837341564</v>
      </c>
      <c r="F3424">
        <v>2539.19995117187</v>
      </c>
      <c r="G3424">
        <f t="shared" si="107"/>
        <v>-2.447515993785232E-3</v>
      </c>
    </row>
    <row r="3425" spans="1:7" x14ac:dyDescent="0.25">
      <c r="A3425" s="1">
        <v>41050</v>
      </c>
      <c r="B3425">
        <v>0.48604199290275502</v>
      </c>
      <c r="C3425">
        <f>C3426*(1+G3425*3)</f>
        <v>0.47405252500526712</v>
      </c>
      <c r="D3425">
        <f t="shared" si="108"/>
        <v>0.48671429425193447</v>
      </c>
      <c r="F3425">
        <v>2545.42993164062</v>
      </c>
      <c r="G3425">
        <f t="shared" si="107"/>
        <v>2.6991765906797971E-2</v>
      </c>
    </row>
    <row r="3426" spans="1:7" x14ac:dyDescent="0.25">
      <c r="A3426" s="1">
        <v>41047</v>
      </c>
      <c r="B3426">
        <v>0.44833299517631497</v>
      </c>
      <c r="C3426">
        <f>C3427*(1+G3426*3)</f>
        <v>0.43854149674369897</v>
      </c>
      <c r="D3426">
        <f t="shared" si="108"/>
        <v>0.45021085830745883</v>
      </c>
      <c r="F3426">
        <v>2478.53002929687</v>
      </c>
      <c r="G3426">
        <f t="shared" si="107"/>
        <v>-1.2163973989081978E-2</v>
      </c>
    </row>
    <row r="3427" spans="1:7" x14ac:dyDescent="0.25">
      <c r="A3427" s="1">
        <v>41046</v>
      </c>
      <c r="B3427">
        <v>0.46708300709724399</v>
      </c>
      <c r="C3427">
        <f>C3428*(1+G3427*3)</f>
        <v>0.45515082513796101</v>
      </c>
      <c r="D3427">
        <f t="shared" si="108"/>
        <v>0.46721101580548635</v>
      </c>
      <c r="F3427">
        <v>2509.05004882812</v>
      </c>
      <c r="G3427">
        <f t="shared" si="107"/>
        <v>-2.0499230376998079E-2</v>
      </c>
    </row>
    <row r="3428" spans="1:7" x14ac:dyDescent="0.25">
      <c r="A3428" s="1">
        <v>41045</v>
      </c>
      <c r="B3428">
        <v>0.49770799279212902</v>
      </c>
      <c r="C3428">
        <f>C3429*(1+G3428*3)</f>
        <v>0.48497571165963965</v>
      </c>
      <c r="D3428">
        <f t="shared" si="108"/>
        <v>0.49777024338560699</v>
      </c>
      <c r="F3428">
        <v>2561.56005859375</v>
      </c>
      <c r="G3428">
        <f t="shared" si="107"/>
        <v>-7.4358002155381353E-3</v>
      </c>
    </row>
    <row r="3429" spans="1:7" x14ac:dyDescent="0.25">
      <c r="A3429" s="1">
        <v>41044</v>
      </c>
      <c r="B3429">
        <v>0.50875002145767201</v>
      </c>
      <c r="C3429">
        <f>C3430*(1+G3429*3)</f>
        <v>0.49604109919660533</v>
      </c>
      <c r="D3429">
        <f t="shared" si="108"/>
        <v>0.50907264584113865</v>
      </c>
      <c r="F3429">
        <v>2580.75</v>
      </c>
      <c r="G3429">
        <f t="shared" si="107"/>
        <v>-3.679150203484749E-3</v>
      </c>
    </row>
    <row r="3430" spans="1:7" x14ac:dyDescent="0.25">
      <c r="A3430" s="1">
        <v>41043</v>
      </c>
      <c r="B3430">
        <v>0.51322901248931796</v>
      </c>
      <c r="C3430">
        <f>C3431*(1+G3430*3)</f>
        <v>0.50157723313465741</v>
      </c>
      <c r="D3430">
        <f t="shared" si="108"/>
        <v>0.51469933595653394</v>
      </c>
      <c r="F3430">
        <v>2590.28002929687</v>
      </c>
      <c r="G3430">
        <f t="shared" si="107"/>
        <v>-9.8242155382530783E-3</v>
      </c>
    </row>
    <row r="3431" spans="1:7" x14ac:dyDescent="0.25">
      <c r="A3431" s="1">
        <v>41040</v>
      </c>
      <c r="B3431">
        <v>0.52781301736831598</v>
      </c>
      <c r="C3431">
        <f>C3432*(1+G3431*3)</f>
        <v>0.51680896100984131</v>
      </c>
      <c r="D3431">
        <f t="shared" si="108"/>
        <v>0.53027193262057026</v>
      </c>
      <c r="F3431">
        <v>2615.97998046875</v>
      </c>
      <c r="G3431">
        <f t="shared" si="107"/>
        <v>-9.9382994905083955E-5</v>
      </c>
    </row>
    <row r="3432" spans="1:7" x14ac:dyDescent="0.25">
      <c r="A3432" s="1">
        <v>41039</v>
      </c>
      <c r="B3432">
        <v>0.52833300828933705</v>
      </c>
      <c r="C3432">
        <f>C3433*(1+G3432*3)</f>
        <v>0.51696309303116383</v>
      </c>
      <c r="D3432">
        <f t="shared" si="108"/>
        <v>0.5303741317360916</v>
      </c>
      <c r="F3432">
        <v>2616.23999023437</v>
      </c>
      <c r="G3432">
        <f t="shared" si="107"/>
        <v>-1.949418136268366E-3</v>
      </c>
    </row>
    <row r="3433" spans="1:7" x14ac:dyDescent="0.25">
      <c r="A3433" s="1">
        <v>41038</v>
      </c>
      <c r="B3433">
        <v>0.53380197286605802</v>
      </c>
      <c r="C3433">
        <f>C3434*(1+G3433*3)</f>
        <v>0.52000420994456942</v>
      </c>
      <c r="D3433">
        <f t="shared" si="108"/>
        <v>0.53343755582243135</v>
      </c>
      <c r="F3433">
        <v>2621.35009765625</v>
      </c>
      <c r="G3433">
        <f t="shared" si="107"/>
        <v>-3.2397111460248373E-3</v>
      </c>
    </row>
    <row r="3434" spans="1:7" x14ac:dyDescent="0.25">
      <c r="A3434" s="1">
        <v>41037</v>
      </c>
      <c r="B3434">
        <v>0.53677099943161</v>
      </c>
      <c r="C3434">
        <f>C3435*(1+G3434*3)</f>
        <v>0.52510780274885971</v>
      </c>
      <c r="D3434">
        <f t="shared" si="108"/>
        <v>0.53861563251355893</v>
      </c>
      <c r="F3434">
        <v>2629.8701171875</v>
      </c>
      <c r="G3434">
        <f t="shared" si="107"/>
        <v>-3.5653329714607773E-3</v>
      </c>
    </row>
    <row r="3435" spans="1:7" x14ac:dyDescent="0.25">
      <c r="A3435" s="1">
        <v>41036</v>
      </c>
      <c r="B3435">
        <v>0.54276001453399603</v>
      </c>
      <c r="C3435">
        <f>C3436*(1+G3435*3)</f>
        <v>0.53078507938169672</v>
      </c>
      <c r="D3435">
        <f t="shared" si="108"/>
        <v>0.5443809217614678</v>
      </c>
      <c r="F3435">
        <v>2639.28002929687</v>
      </c>
      <c r="G3435">
        <f t="shared" si="107"/>
        <v>5.1559844959325751E-4</v>
      </c>
    </row>
    <row r="3436" spans="1:7" x14ac:dyDescent="0.25">
      <c r="A3436" s="1">
        <v>41033</v>
      </c>
      <c r="B3436">
        <v>0.54197901487350397</v>
      </c>
      <c r="C3436">
        <f>C3437*(1+G3436*3)</f>
        <v>0.52996533147196134</v>
      </c>
      <c r="D3436">
        <f t="shared" si="108"/>
        <v>0.54348295105720612</v>
      </c>
      <c r="F3436">
        <v>2637.919921875</v>
      </c>
      <c r="G3436">
        <f t="shared" si="107"/>
        <v>-2.4650747007513352E-2</v>
      </c>
    </row>
    <row r="3437" spans="1:7" x14ac:dyDescent="0.25">
      <c r="A3437" s="1">
        <v>41032</v>
      </c>
      <c r="B3437">
        <v>0.58489602804183904</v>
      </c>
      <c r="C3437">
        <f>C3438*(1+G3437*3)</f>
        <v>0.57228725660666568</v>
      </c>
      <c r="D3437">
        <f t="shared" si="108"/>
        <v>0.58681753945424431</v>
      </c>
      <c r="F3437">
        <v>2704.59008789062</v>
      </c>
      <c r="G3437">
        <f t="shared" si="107"/>
        <v>-1.1035637887314209E-2</v>
      </c>
    </row>
    <row r="3438" spans="1:7" x14ac:dyDescent="0.25">
      <c r="A3438" s="1">
        <v>41031</v>
      </c>
      <c r="B3438">
        <v>0.603645980358123</v>
      </c>
      <c r="C3438">
        <f>C3439*(1+G3438*3)</f>
        <v>0.59188266489121977</v>
      </c>
      <c r="D3438">
        <f t="shared" si="108"/>
        <v>0.60684428514145927</v>
      </c>
      <c r="F3438">
        <v>2734.77001953125</v>
      </c>
      <c r="G3438">
        <f t="shared" si="107"/>
        <v>2.8787415403281891E-3</v>
      </c>
    </row>
    <row r="3439" spans="1:7" x14ac:dyDescent="0.25">
      <c r="A3439" s="1">
        <v>41030</v>
      </c>
      <c r="B3439">
        <v>0.59968799352645796</v>
      </c>
      <c r="C3439">
        <f>C3440*(1+G3439*3)</f>
        <v>0.58681480046349876</v>
      </c>
      <c r="D3439">
        <f t="shared" si="108"/>
        <v>0.60158541726379211</v>
      </c>
      <c r="F3439">
        <v>2726.919921875</v>
      </c>
      <c r="G3439">
        <f t="shared" si="107"/>
        <v>1.1895635007408423E-3</v>
      </c>
    </row>
    <row r="3440" spans="1:7" x14ac:dyDescent="0.25">
      <c r="A3440" s="1">
        <v>41029</v>
      </c>
      <c r="B3440">
        <v>0.59630197286605802</v>
      </c>
      <c r="C3440">
        <f>C3441*(1+G3440*3)</f>
        <v>0.58472808689341949</v>
      </c>
      <c r="D3440">
        <f t="shared" si="108"/>
        <v>0.59938319530065709</v>
      </c>
      <c r="F3440">
        <v>2723.67993164062</v>
      </c>
      <c r="G3440">
        <f t="shared" si="107"/>
        <v>-6.4421617470997727E-3</v>
      </c>
    </row>
    <row r="3441" spans="1:7" x14ac:dyDescent="0.25">
      <c r="A3441" s="1">
        <v>41026</v>
      </c>
      <c r="B3441">
        <v>0.60895800590515103</v>
      </c>
      <c r="C3441">
        <f>C3442*(1+G3441*3)</f>
        <v>0.59625153335286574</v>
      </c>
      <c r="D3441">
        <f t="shared" si="108"/>
        <v>0.61112973755812439</v>
      </c>
      <c r="F3441">
        <v>2741.34008789062</v>
      </c>
      <c r="G3441">
        <f t="shared" si="107"/>
        <v>5.911467119225966E-3</v>
      </c>
    </row>
    <row r="3442" spans="1:7" x14ac:dyDescent="0.25">
      <c r="A3442" s="1">
        <v>41025</v>
      </c>
      <c r="B3442">
        <v>0.59869801998138406</v>
      </c>
      <c r="C3442">
        <f>C3443*(1+G3442*3)</f>
        <v>0.58586162810007636</v>
      </c>
      <c r="D3442">
        <f t="shared" si="108"/>
        <v>0.60041835937874111</v>
      </c>
      <c r="F3442">
        <v>2725.22998046875</v>
      </c>
      <c r="G3442">
        <f t="shared" si="107"/>
        <v>5.7609047047719741E-3</v>
      </c>
    </row>
    <row r="3443" spans="1:7" x14ac:dyDescent="0.25">
      <c r="A3443" s="1">
        <v>41024</v>
      </c>
      <c r="B3443">
        <v>0.58817702531814497</v>
      </c>
      <c r="C3443">
        <f>C3444*(1+G3443*3)</f>
        <v>0.57590836841275661</v>
      </c>
      <c r="D3443">
        <f t="shared" si="108"/>
        <v>0.5901566154667901</v>
      </c>
      <c r="F3443">
        <v>2709.6201171875</v>
      </c>
      <c r="G3443">
        <f t="shared" si="107"/>
        <v>2.6865248526170449E-2</v>
      </c>
    </row>
    <row r="3444" spans="1:7" x14ac:dyDescent="0.25">
      <c r="A3444" s="1">
        <v>41023</v>
      </c>
      <c r="B3444">
        <v>0.54489600658416704</v>
      </c>
      <c r="C3444">
        <f>C3445*(1+G3444*3)</f>
        <v>0.53295450289269497</v>
      </c>
      <c r="D3444">
        <f t="shared" si="108"/>
        <v>0.54608675768859716</v>
      </c>
      <c r="F3444">
        <v>2638.72998046875</v>
      </c>
      <c r="G3444">
        <f t="shared" si="107"/>
        <v>-5.5662406373657713E-3</v>
      </c>
    </row>
    <row r="3445" spans="1:7" x14ac:dyDescent="0.25">
      <c r="A3445" s="1">
        <v>41022</v>
      </c>
      <c r="B3445">
        <v>0.55468797683715798</v>
      </c>
      <c r="C3445">
        <f>C3446*(1+G3445*3)</f>
        <v>0.54200529864973002</v>
      </c>
      <c r="D3445">
        <f t="shared" si="108"/>
        <v>0.55530101481761496</v>
      </c>
      <c r="F3445">
        <v>2653.5</v>
      </c>
      <c r="G3445">
        <f t="shared" si="107"/>
        <v>-8.4229080034230464E-3</v>
      </c>
    </row>
    <row r="3446" spans="1:7" x14ac:dyDescent="0.25">
      <c r="A3446" s="1">
        <v>41019</v>
      </c>
      <c r="B3446">
        <v>0.56901001930236805</v>
      </c>
      <c r="C3446">
        <f>C3447*(1+G3446*3)</f>
        <v>0.55605612746896227</v>
      </c>
      <c r="D3446">
        <f t="shared" si="108"/>
        <v>0.56963488994314815</v>
      </c>
      <c r="F3446">
        <v>2676.0400390625</v>
      </c>
      <c r="G3446">
        <f t="shared" si="107"/>
        <v>-4.0121887668691514E-3</v>
      </c>
    </row>
    <row r="3447" spans="1:7" x14ac:dyDescent="0.25">
      <c r="A3447" s="1">
        <v>41018</v>
      </c>
      <c r="B3447">
        <v>0.57520800828933705</v>
      </c>
      <c r="C3447">
        <f>C3448*(1+G3447*3)</f>
        <v>0.5628306762192915</v>
      </c>
      <c r="D3447">
        <f t="shared" si="108"/>
        <v>0.57651333383746928</v>
      </c>
      <c r="F3447">
        <v>2686.82006835937</v>
      </c>
      <c r="G3447">
        <f t="shared" si="107"/>
        <v>-1.0794666467241476E-2</v>
      </c>
    </row>
    <row r="3448" spans="1:7" x14ac:dyDescent="0.25">
      <c r="A3448" s="1">
        <v>41017</v>
      </c>
      <c r="B3448">
        <v>0.594426989555358</v>
      </c>
      <c r="C3448">
        <f>C3449*(1+G3448*3)</f>
        <v>0.58166739271704282</v>
      </c>
      <c r="D3448">
        <f t="shared" si="108"/>
        <v>0.59574305149042572</v>
      </c>
      <c r="F3448">
        <v>2716.13989257812</v>
      </c>
      <c r="G3448">
        <f t="shared" si="107"/>
        <v>-2.7317667678058433E-3</v>
      </c>
    </row>
    <row r="3449" spans="1:7" x14ac:dyDescent="0.25">
      <c r="A3449" s="1">
        <v>41016</v>
      </c>
      <c r="B3449">
        <v>0.598801970481872</v>
      </c>
      <c r="C3449">
        <f>C3450*(1+G3449*3)</f>
        <v>0.58647372098054107</v>
      </c>
      <c r="D3449">
        <f t="shared" si="108"/>
        <v>0.6006018264616233</v>
      </c>
      <c r="F3449">
        <v>2723.580078125</v>
      </c>
      <c r="G3449">
        <f t="shared" si="107"/>
        <v>2.0029204341699858E-2</v>
      </c>
    </row>
    <row r="3450" spans="1:7" x14ac:dyDescent="0.25">
      <c r="A3450" s="1">
        <v>41015</v>
      </c>
      <c r="B3450">
        <v>0.56546902656555098</v>
      </c>
      <c r="C3450">
        <f>C3451*(1+G3450*3)</f>
        <v>0.55323136859128186</v>
      </c>
      <c r="D3450">
        <f t="shared" si="108"/>
        <v>0.56650231333556023</v>
      </c>
      <c r="F3450">
        <v>2670.10009765625</v>
      </c>
      <c r="G3450">
        <f t="shared" si="107"/>
        <v>-1.0703964328378723E-2</v>
      </c>
    </row>
    <row r="3451" spans="1:7" x14ac:dyDescent="0.25">
      <c r="A3451" s="1">
        <v>41012</v>
      </c>
      <c r="B3451">
        <v>0.583854019641876</v>
      </c>
      <c r="C3451">
        <f>C3452*(1+G3451*3)</f>
        <v>0.57158607961156183</v>
      </c>
      <c r="D3451">
        <f t="shared" si="108"/>
        <v>0.58523355391479948</v>
      </c>
      <c r="F3451">
        <v>2698.98999023437</v>
      </c>
      <c r="G3451">
        <f t="shared" si="107"/>
        <v>-1.5060621760042414E-2</v>
      </c>
    </row>
    <row r="3452" spans="1:7" x14ac:dyDescent="0.25">
      <c r="A3452" s="1">
        <v>41011</v>
      </c>
      <c r="B3452">
        <v>0.61150997877120905</v>
      </c>
      <c r="C3452">
        <f>C3453*(1+G3452*3)</f>
        <v>0.59863345576197646</v>
      </c>
      <c r="D3452">
        <f t="shared" si="108"/>
        <v>0.61285903846443845</v>
      </c>
      <c r="F3452">
        <v>2740.26000976562</v>
      </c>
      <c r="G3452">
        <f t="shared" si="107"/>
        <v>1.1864322740588573E-2</v>
      </c>
    </row>
    <row r="3453" spans="1:7" x14ac:dyDescent="0.25">
      <c r="A3453" s="1">
        <v>41010</v>
      </c>
      <c r="B3453">
        <v>0.59166699647903398</v>
      </c>
      <c r="C3453">
        <f>C3454*(1+G3453*3)</f>
        <v>0.57805863320016559</v>
      </c>
      <c r="D3453">
        <f t="shared" si="108"/>
        <v>0.59173503004607808</v>
      </c>
      <c r="F3453">
        <v>2708.1298828125</v>
      </c>
      <c r="G3453">
        <f t="shared" si="107"/>
        <v>4.8271561412174258E-3</v>
      </c>
    </row>
    <row r="3454" spans="1:7" x14ac:dyDescent="0.25">
      <c r="A3454" s="1">
        <v>41009</v>
      </c>
      <c r="B3454">
        <v>0.58322900533676103</v>
      </c>
      <c r="C3454">
        <f>C3455*(1+G3454*3)</f>
        <v>0.56980699124881951</v>
      </c>
      <c r="D3454">
        <f t="shared" si="108"/>
        <v>0.58322753380394421</v>
      </c>
      <c r="F3454">
        <v>2695.1201171875</v>
      </c>
      <c r="G3454">
        <f t="shared" si="107"/>
        <v>-1.6372332499150377E-2</v>
      </c>
    </row>
    <row r="3455" spans="1:7" x14ac:dyDescent="0.25">
      <c r="A3455" s="1">
        <v>41008</v>
      </c>
      <c r="B3455">
        <v>0.61281299591064398</v>
      </c>
      <c r="C3455">
        <f>C3456*(1+G3455*3)</f>
        <v>0.59923985364045051</v>
      </c>
      <c r="D3455">
        <f t="shared" si="108"/>
        <v>0.61328560645508978</v>
      </c>
      <c r="F3455">
        <v>2739.97998046875</v>
      </c>
      <c r="G3455">
        <f t="shared" si="107"/>
        <v>-8.152043269230802E-3</v>
      </c>
    </row>
    <row r="3456" spans="1:7" x14ac:dyDescent="0.25">
      <c r="A3456" s="1">
        <v>41004</v>
      </c>
      <c r="B3456">
        <v>0.62724000215530396</v>
      </c>
      <c r="C3456">
        <f>C3457*(1+G3456*3)</f>
        <v>0.61426233299208077</v>
      </c>
      <c r="D3456">
        <f t="shared" si="108"/>
        <v>0.62859225101060145</v>
      </c>
      <c r="F3456">
        <v>2762.5</v>
      </c>
      <c r="G3456">
        <f t="shared" si="107"/>
        <v>6.3752276867030666E-3</v>
      </c>
    </row>
    <row r="3457" spans="1:7" x14ac:dyDescent="0.25">
      <c r="A3457" s="1">
        <v>41003</v>
      </c>
      <c r="B3457">
        <v>0.61598998308181696</v>
      </c>
      <c r="C3457">
        <f>C3458*(1+G3457*3)</f>
        <v>0.60273462164906588</v>
      </c>
      <c r="D3457">
        <f t="shared" si="108"/>
        <v>0.61673179578202642</v>
      </c>
      <c r="F3457">
        <v>2745</v>
      </c>
      <c r="G3457">
        <f t="shared" si="107"/>
        <v>-1.3576362090831906E-2</v>
      </c>
    </row>
    <row r="3458" spans="1:7" x14ac:dyDescent="0.25">
      <c r="A3458" s="1">
        <v>41002</v>
      </c>
      <c r="B3458">
        <v>0.64218801259994496</v>
      </c>
      <c r="C3458">
        <f>C3459*(1+G3458*3)</f>
        <v>0.62832575555426662</v>
      </c>
      <c r="D3458">
        <f t="shared" si="108"/>
        <v>0.64284655629296938</v>
      </c>
      <c r="F3458">
        <v>2782.78002929687</v>
      </c>
      <c r="G3458">
        <f t="shared" ref="G3458:G3521" si="109">F3458/F3459-1</f>
        <v>-5.8895304018147243E-4</v>
      </c>
    </row>
    <row r="3459" spans="1:7" x14ac:dyDescent="0.25">
      <c r="A3459" s="1">
        <v>41001</v>
      </c>
      <c r="B3459">
        <v>0.64213502407073897</v>
      </c>
      <c r="C3459">
        <f>C3460*(1+G3459*3)</f>
        <v>0.62943788361975639</v>
      </c>
      <c r="D3459">
        <f t="shared" si="108"/>
        <v>0.64391636062951685</v>
      </c>
      <c r="F3459">
        <v>2784.419921875</v>
      </c>
      <c r="G3459">
        <f t="shared" si="109"/>
        <v>1.0579689880525489E-2</v>
      </c>
    </row>
    <row r="3460" spans="1:7" x14ac:dyDescent="0.25">
      <c r="A3460" s="1">
        <v>40998</v>
      </c>
      <c r="B3460">
        <v>0.62312501668929998</v>
      </c>
      <c r="C3460">
        <f>C3461*(1+G3460*3)</f>
        <v>0.61007468083807426</v>
      </c>
      <c r="D3460">
        <f t="shared" si="108"/>
        <v>0.62404397593181482</v>
      </c>
      <c r="F3460">
        <v>2755.27001953125</v>
      </c>
      <c r="G3460">
        <f t="shared" si="109"/>
        <v>-2.4547090664582827E-3</v>
      </c>
    </row>
    <row r="3461" spans="1:7" x14ac:dyDescent="0.25">
      <c r="A3461" s="1">
        <v>40997</v>
      </c>
      <c r="B3461">
        <v>0.62749999761581399</v>
      </c>
      <c r="C3461">
        <f>C3462*(1+G3461*3)</f>
        <v>0.61460067841071286</v>
      </c>
      <c r="D3461">
        <f t="shared" si="108"/>
        <v>0.62860682588771877</v>
      </c>
      <c r="F3461">
        <v>2762.05004882812</v>
      </c>
      <c r="G3461">
        <f t="shared" si="109"/>
        <v>-3.2190611841010908E-3</v>
      </c>
    </row>
    <row r="3462" spans="1:7" x14ac:dyDescent="0.25">
      <c r="A3462" s="1">
        <v>40996</v>
      </c>
      <c r="B3462">
        <v>0.63401001691818204</v>
      </c>
      <c r="C3462">
        <f>C3463*(1+G3462*3)</f>
        <v>0.62059386729864963</v>
      </c>
      <c r="D3462">
        <f t="shared" si="108"/>
        <v>0.63466901105737117</v>
      </c>
      <c r="F3462">
        <v>2770.96997070312</v>
      </c>
      <c r="G3462">
        <f t="shared" si="109"/>
        <v>-4.0077875917348127E-3</v>
      </c>
    </row>
    <row r="3463" spans="1:7" x14ac:dyDescent="0.25">
      <c r="A3463" s="1">
        <v>40995</v>
      </c>
      <c r="B3463">
        <v>0.641510009765625</v>
      </c>
      <c r="C3463">
        <f>C3464*(1+G3463*3)</f>
        <v>0.62814629811680978</v>
      </c>
      <c r="D3463">
        <f t="shared" si="108"/>
        <v>0.64232417032517242</v>
      </c>
      <c r="F3463">
        <v>2782.1201171875</v>
      </c>
      <c r="G3463">
        <f t="shared" si="109"/>
        <v>1.4759064468303773E-3</v>
      </c>
    </row>
    <row r="3464" spans="1:7" x14ac:dyDescent="0.25">
      <c r="A3464" s="1">
        <v>40994</v>
      </c>
      <c r="B3464">
        <v>0.639063000679016</v>
      </c>
      <c r="C3464">
        <f>C3465*(1+G3464*3)</f>
        <v>0.62537730293748928</v>
      </c>
      <c r="D3464">
        <f t="shared" ref="D3464:D3519" si="110">D3465*(1+3*G3464--0.000105456488218832)</f>
        <v>0.63942554191430678</v>
      </c>
      <c r="F3464">
        <v>2778.02001953125</v>
      </c>
      <c r="G3464">
        <f t="shared" si="109"/>
        <v>1.8130497816734925E-2</v>
      </c>
    </row>
    <row r="3465" spans="1:7" x14ac:dyDescent="0.25">
      <c r="A3465" s="1">
        <v>40991</v>
      </c>
      <c r="B3465">
        <v>0.60734397172927801</v>
      </c>
      <c r="C3465">
        <f>C3466*(1+G3465*3)</f>
        <v>0.5931167946842163</v>
      </c>
      <c r="D3465">
        <f t="shared" si="110"/>
        <v>0.60637969787550872</v>
      </c>
      <c r="F3465">
        <v>2728.55004882812</v>
      </c>
      <c r="G3465">
        <f t="shared" si="109"/>
        <v>-1.079974802079442E-3</v>
      </c>
    </row>
    <row r="3466" spans="1:7" x14ac:dyDescent="0.25">
      <c r="A3466" s="1">
        <v>40990</v>
      </c>
      <c r="B3466">
        <v>0.60817700624465898</v>
      </c>
      <c r="C3466">
        <f>C3467*(1+G3466*3)</f>
        <v>0.59504469451277087</v>
      </c>
      <c r="D3466">
        <f t="shared" si="110"/>
        <v>0.60828635193060432</v>
      </c>
      <c r="F3466">
        <v>2731.5</v>
      </c>
      <c r="G3466">
        <f t="shared" si="109"/>
        <v>-1.9656992790533234E-3</v>
      </c>
    </row>
    <row r="3467" spans="1:7" x14ac:dyDescent="0.25">
      <c r="A3467" s="1">
        <v>40989</v>
      </c>
      <c r="B3467">
        <v>0.61187499761581399</v>
      </c>
      <c r="C3467">
        <f>C3468*(1+G3467*3)</f>
        <v>0.59857454718032699</v>
      </c>
      <c r="D3467">
        <f t="shared" si="110"/>
        <v>0.61182985099413845</v>
      </c>
      <c r="F3467">
        <v>2736.8798828125</v>
      </c>
      <c r="G3467">
        <f t="shared" si="109"/>
        <v>-2.7395960451359613E-4</v>
      </c>
    </row>
    <row r="3468" spans="1:7" x14ac:dyDescent="0.25">
      <c r="A3468" s="1">
        <v>40988</v>
      </c>
      <c r="B3468">
        <v>0.61208301782607999</v>
      </c>
      <c r="C3468">
        <f>C3469*(1+G3468*3)</f>
        <v>0.59906690757956005</v>
      </c>
      <c r="D3468">
        <f t="shared" si="110"/>
        <v>0.61226849381219672</v>
      </c>
      <c r="F3468">
        <v>2737.6298828125</v>
      </c>
      <c r="G3468">
        <f t="shared" si="109"/>
        <v>1.5987769298446697E-3</v>
      </c>
    </row>
    <row r="3469" spans="1:7" x14ac:dyDescent="0.25">
      <c r="A3469" s="1">
        <v>40987</v>
      </c>
      <c r="B3469">
        <v>0.60874998569488503</v>
      </c>
      <c r="C3469">
        <f>C3470*(1+G3469*3)</f>
        <v>0.59620730014891088</v>
      </c>
      <c r="D3469">
        <f t="shared" si="110"/>
        <v>0.60928192343135612</v>
      </c>
      <c r="F3469">
        <v>2733.26000976562</v>
      </c>
      <c r="G3469">
        <f t="shared" si="109"/>
        <v>7.5494438353183035E-3</v>
      </c>
    </row>
    <row r="3470" spans="1:7" x14ac:dyDescent="0.25">
      <c r="A3470" s="1">
        <v>40984</v>
      </c>
      <c r="B3470">
        <v>0.59578102827072099</v>
      </c>
      <c r="C3470">
        <f>C3471*(1+G3470*3)</f>
        <v>0.5830032492899434</v>
      </c>
      <c r="D3470">
        <f t="shared" si="110"/>
        <v>0.5957268802947</v>
      </c>
      <c r="F3470">
        <v>2712.78002929687</v>
      </c>
      <c r="G3470">
        <f t="shared" si="109"/>
        <v>-7.4039234589362568E-4</v>
      </c>
    </row>
    <row r="3471" spans="1:7" x14ac:dyDescent="0.25">
      <c r="A3471" s="1">
        <v>40983</v>
      </c>
      <c r="B3471">
        <v>0.59708297252654996</v>
      </c>
      <c r="C3471">
        <f>C3472*(1+G3471*3)</f>
        <v>0.5843010854440237</v>
      </c>
      <c r="D3471">
        <f t="shared" si="110"/>
        <v>0.59698994418743956</v>
      </c>
      <c r="F3471">
        <v>2714.7900390625</v>
      </c>
      <c r="G3471">
        <f t="shared" si="109"/>
        <v>2.3556725754858565E-3</v>
      </c>
    </row>
    <row r="3472" spans="1:7" x14ac:dyDescent="0.25">
      <c r="A3472" s="1">
        <v>40982</v>
      </c>
      <c r="B3472">
        <v>0.59255200624465898</v>
      </c>
      <c r="C3472">
        <f>C3473*(1+G3472*3)</f>
        <v>0.58020079613284803</v>
      </c>
      <c r="D3472">
        <f t="shared" si="110"/>
        <v>0.59273854227691358</v>
      </c>
      <c r="F3472">
        <v>2708.40991210937</v>
      </c>
      <c r="G3472">
        <f t="shared" si="109"/>
        <v>4.0705340813327329E-3</v>
      </c>
    </row>
    <row r="3473" spans="1:7" x14ac:dyDescent="0.25">
      <c r="A3473" s="1">
        <v>40981</v>
      </c>
      <c r="B3473">
        <v>0.58599001169204701</v>
      </c>
      <c r="C3473">
        <f>C3474*(1+G3473*3)</f>
        <v>0.57320109238679517</v>
      </c>
      <c r="D3473">
        <f t="shared" si="110"/>
        <v>0.58552657703825939</v>
      </c>
      <c r="F3473">
        <v>2697.42993164062</v>
      </c>
      <c r="G3473">
        <f t="shared" si="109"/>
        <v>1.9109444100804174E-2</v>
      </c>
    </row>
    <row r="3474" spans="1:7" x14ac:dyDescent="0.25">
      <c r="A3474" s="1">
        <v>40980</v>
      </c>
      <c r="B3474">
        <v>0.55474001169204701</v>
      </c>
      <c r="C3474">
        <f>C3475*(1+G3474*3)</f>
        <v>0.5421221345110524</v>
      </c>
      <c r="D3474">
        <f t="shared" si="110"/>
        <v>0.55372410381165893</v>
      </c>
      <c r="F3474">
        <v>2646.85009765625</v>
      </c>
      <c r="G3474">
        <f t="shared" si="109"/>
        <v>0</v>
      </c>
    </row>
    <row r="3475" spans="1:7" x14ac:dyDescent="0.25">
      <c r="A3475" s="1">
        <v>40977</v>
      </c>
      <c r="B3475">
        <v>0.55385398864746005</v>
      </c>
      <c r="C3475">
        <f>C3476*(1+G3475*3)</f>
        <v>0.5421221345110524</v>
      </c>
      <c r="D3475">
        <f t="shared" si="110"/>
        <v>0.55366571616958449</v>
      </c>
      <c r="F3475">
        <v>2646.85009765625</v>
      </c>
      <c r="G3475">
        <f t="shared" si="109"/>
        <v>3.6668586392640812E-3</v>
      </c>
    </row>
    <row r="3476" spans="1:7" x14ac:dyDescent="0.25">
      <c r="A3476" s="1">
        <v>40976</v>
      </c>
      <c r="B3476">
        <v>0.54724001884460405</v>
      </c>
      <c r="C3476">
        <f>C3477*(1+G3476*3)</f>
        <v>0.53622336863548348</v>
      </c>
      <c r="D3476">
        <f t="shared" si="110"/>
        <v>0.54758422798852335</v>
      </c>
      <c r="F3476">
        <v>2637.17993164062</v>
      </c>
      <c r="G3476">
        <f t="shared" si="109"/>
        <v>1.1246748427269582E-2</v>
      </c>
    </row>
    <row r="3477" spans="1:7" x14ac:dyDescent="0.25">
      <c r="A3477" s="1">
        <v>40975</v>
      </c>
      <c r="B3477">
        <v>0.53041702508926303</v>
      </c>
      <c r="C3477">
        <f>C3478*(1+G3477*3)</f>
        <v>0.51872157544693753</v>
      </c>
      <c r="D3477">
        <f t="shared" si="110"/>
        <v>0.52965759498831866</v>
      </c>
      <c r="F3477">
        <v>2607.85009765625</v>
      </c>
      <c r="G3477">
        <f t="shared" si="109"/>
        <v>7.3003135791886997E-3</v>
      </c>
    </row>
    <row r="3478" spans="1:7" x14ac:dyDescent="0.25">
      <c r="A3478" s="1">
        <v>40974</v>
      </c>
      <c r="B3478">
        <v>0.51864600181579501</v>
      </c>
      <c r="C3478">
        <f>C3479*(1+G3478*3)</f>
        <v>0.50760455810183092</v>
      </c>
      <c r="D3478">
        <f t="shared" si="110"/>
        <v>0.51825271977363663</v>
      </c>
      <c r="F3478">
        <v>2588.94995117187</v>
      </c>
      <c r="G3478">
        <f t="shared" si="109"/>
        <v>-9.931459271803833E-3</v>
      </c>
    </row>
    <row r="3479" spans="1:7" x14ac:dyDescent="0.25">
      <c r="A3479" s="1">
        <v>40973</v>
      </c>
      <c r="B3479">
        <v>0.53395801782607999</v>
      </c>
      <c r="C3479">
        <f>C3480*(1+G3479*3)</f>
        <v>0.52319276089007816</v>
      </c>
      <c r="D3479">
        <f t="shared" si="110"/>
        <v>0.53410986555209006</v>
      </c>
      <c r="F3479">
        <v>2614.919921875</v>
      </c>
      <c r="G3479">
        <f t="shared" si="109"/>
        <v>-1.0092503524982477E-2</v>
      </c>
    </row>
    <row r="3480" spans="1:7" x14ac:dyDescent="0.25">
      <c r="A3480" s="1">
        <v>40970</v>
      </c>
      <c r="B3480">
        <v>0.55114597082137995</v>
      </c>
      <c r="C3480">
        <f>C3481*(1+G3480*3)</f>
        <v>0.53952833578220771</v>
      </c>
      <c r="D3480">
        <f t="shared" si="110"/>
        <v>0.55072641266191535</v>
      </c>
      <c r="F3480">
        <v>2641.580078125</v>
      </c>
      <c r="G3480">
        <f t="shared" si="109"/>
        <v>-7.4141526458404439E-4</v>
      </c>
    </row>
    <row r="3481" spans="1:7" x14ac:dyDescent="0.25">
      <c r="A3481" s="1">
        <v>40969</v>
      </c>
      <c r="B3481">
        <v>0.55281299352645796</v>
      </c>
      <c r="C3481">
        <f>C3482*(1+G3481*3)</f>
        <v>0.54073105455585468</v>
      </c>
      <c r="D3481">
        <f t="shared" si="110"/>
        <v>0.55189576350339553</v>
      </c>
      <c r="F3481">
        <v>2643.5400390625</v>
      </c>
      <c r="G3481">
        <f t="shared" si="109"/>
        <v>7.7922841848518942E-3</v>
      </c>
    </row>
    <row r="3482" spans="1:7" x14ac:dyDescent="0.25">
      <c r="A3482" s="1">
        <v>40968</v>
      </c>
      <c r="B3482">
        <v>0.53968799114227295</v>
      </c>
      <c r="C3482">
        <f>C3483*(1+G3482*3)</f>
        <v>0.52837921163262636</v>
      </c>
      <c r="D3482">
        <f t="shared" si="110"/>
        <v>0.53923332003614544</v>
      </c>
      <c r="F3482">
        <v>2623.10009765625</v>
      </c>
      <c r="G3482">
        <f t="shared" si="109"/>
        <v>-3.9339361277253015E-3</v>
      </c>
    </row>
    <row r="3483" spans="1:7" x14ac:dyDescent="0.25">
      <c r="A3483" s="1">
        <v>40967</v>
      </c>
      <c r="B3483">
        <v>0.546875</v>
      </c>
      <c r="C3483">
        <f>C3484*(1+G3483*3)</f>
        <v>0.53468951483115701</v>
      </c>
      <c r="D3483">
        <f t="shared" si="110"/>
        <v>0.54561502537207318</v>
      </c>
      <c r="F3483">
        <v>2633.4599609375</v>
      </c>
      <c r="G3483">
        <f t="shared" si="109"/>
        <v>1.0242581239490622E-2</v>
      </c>
    </row>
    <row r="3484" spans="1:7" x14ac:dyDescent="0.25">
      <c r="A3484" s="1">
        <v>40966</v>
      </c>
      <c r="B3484">
        <v>0.53099000453948897</v>
      </c>
      <c r="C3484">
        <f>C3485*(1+G3484*3)</f>
        <v>0.51874951274931391</v>
      </c>
      <c r="D3484">
        <f t="shared" si="110"/>
        <v>0.52929516168345447</v>
      </c>
      <c r="F3484">
        <v>2606.76000976562</v>
      </c>
      <c r="G3484">
        <f t="shared" si="109"/>
        <v>9.7920247075711231E-4</v>
      </c>
    </row>
    <row r="3485" spans="1:7" x14ac:dyDescent="0.25">
      <c r="A3485" s="1">
        <v>40963</v>
      </c>
      <c r="B3485">
        <v>0.52843797206878595</v>
      </c>
      <c r="C3485">
        <f>C3486*(1+G3485*3)</f>
        <v>0.51723009379194096</v>
      </c>
      <c r="D3485">
        <f t="shared" si="110"/>
        <v>0.52768936921332898</v>
      </c>
      <c r="F3485">
        <v>2604.2099609375</v>
      </c>
      <c r="G3485">
        <f t="shared" si="109"/>
        <v>3.5762157520040638E-3</v>
      </c>
    </row>
    <row r="3486" spans="1:7" x14ac:dyDescent="0.25">
      <c r="A3486" s="1">
        <v>40962</v>
      </c>
      <c r="B3486">
        <v>0.52333301305770796</v>
      </c>
      <c r="C3486">
        <f>C3487*(1+G3486*3)</f>
        <v>0.51173981779990974</v>
      </c>
      <c r="D3486">
        <f t="shared" si="110"/>
        <v>0.52203360300044743</v>
      </c>
      <c r="F3486">
        <v>2594.92993164062</v>
      </c>
      <c r="G3486">
        <f t="shared" si="109"/>
        <v>5.8725558658887511E-3</v>
      </c>
    </row>
    <row r="3487" spans="1:7" x14ac:dyDescent="0.25">
      <c r="A3487" s="1">
        <v>40961</v>
      </c>
      <c r="B3487">
        <v>0.51359397172927801</v>
      </c>
      <c r="C3487">
        <f>C3488*(1+G3487*3)</f>
        <v>0.50288024087474414</v>
      </c>
      <c r="D3487">
        <f t="shared" si="110"/>
        <v>0.51294265664773608</v>
      </c>
      <c r="F3487">
        <v>2579.78002929687</v>
      </c>
      <c r="G3487">
        <f t="shared" si="109"/>
        <v>-4.0382207737259534E-3</v>
      </c>
    </row>
    <row r="3488" spans="1:7" x14ac:dyDescent="0.25">
      <c r="A3488" s="1">
        <v>40960</v>
      </c>
      <c r="B3488">
        <v>0.520469009876251</v>
      </c>
      <c r="C3488">
        <f>C3489*(1+G3488*3)</f>
        <v>0.50904717551161671</v>
      </c>
      <c r="D3488">
        <f t="shared" si="110"/>
        <v>0.51917756691264494</v>
      </c>
      <c r="F3488">
        <v>2590.23999023437</v>
      </c>
      <c r="G3488">
        <f t="shared" si="109"/>
        <v>2.321765789041752E-3</v>
      </c>
    </row>
    <row r="3489" spans="1:7" x14ac:dyDescent="0.25">
      <c r="A3489" s="1">
        <v>40956</v>
      </c>
      <c r="B3489">
        <v>0.51609402894973699</v>
      </c>
      <c r="C3489">
        <f>C3490*(1+G3489*3)</f>
        <v>0.50552603634167281</v>
      </c>
      <c r="D3489">
        <f t="shared" si="110"/>
        <v>0.51553236445909123</v>
      </c>
      <c r="F3489">
        <v>2584.23999023437</v>
      </c>
      <c r="G3489">
        <f t="shared" si="109"/>
        <v>-3.1053812292706207E-3</v>
      </c>
    </row>
    <row r="3490" spans="1:7" x14ac:dyDescent="0.25">
      <c r="A3490" s="1">
        <v>40955</v>
      </c>
      <c r="B3490">
        <v>0.52052098512649503</v>
      </c>
      <c r="C3490">
        <f>C3491*(1+G3490*3)</f>
        <v>0.51027987699677368</v>
      </c>
      <c r="D3490">
        <f t="shared" si="110"/>
        <v>0.52032491448860074</v>
      </c>
      <c r="F3490">
        <v>2592.2900390625</v>
      </c>
      <c r="G3490">
        <f t="shared" si="109"/>
        <v>1.4194009083793313E-2</v>
      </c>
    </row>
    <row r="3491" spans="1:7" x14ac:dyDescent="0.25">
      <c r="A3491" s="1">
        <v>40954</v>
      </c>
      <c r="B3491">
        <v>0.49963501095771701</v>
      </c>
      <c r="C3491">
        <f>C3492*(1+G3491*3)</f>
        <v>0.48943858963505676</v>
      </c>
      <c r="D3491">
        <f t="shared" si="110"/>
        <v>0.49902288327318878</v>
      </c>
      <c r="F3491">
        <v>2556.01000976562</v>
      </c>
      <c r="G3491">
        <f t="shared" si="109"/>
        <v>-7.4672576310061967E-3</v>
      </c>
    </row>
    <row r="3492" spans="1:7" x14ac:dyDescent="0.25">
      <c r="A3492" s="1">
        <v>40953</v>
      </c>
      <c r="B3492">
        <v>0.51104199886321999</v>
      </c>
      <c r="C3492">
        <f>C3493*(1+G3492*3)</f>
        <v>0.5006541297476147</v>
      </c>
      <c r="D3492">
        <f t="shared" si="110"/>
        <v>0.51040298982835763</v>
      </c>
      <c r="F3492">
        <v>2575.23999023437</v>
      </c>
      <c r="G3492">
        <f t="shared" si="109"/>
        <v>2.237798170786176E-3</v>
      </c>
    </row>
    <row r="3493" spans="1:7" x14ac:dyDescent="0.25">
      <c r="A3493" s="1">
        <v>40952</v>
      </c>
      <c r="B3493">
        <v>0.50661498308181696</v>
      </c>
      <c r="C3493">
        <f>C3494*(1+G3493*3)</f>
        <v>0.4973154549017661</v>
      </c>
      <c r="D3493">
        <f t="shared" si="110"/>
        <v>0.50694619923049589</v>
      </c>
      <c r="F3493">
        <v>2569.48999023437</v>
      </c>
      <c r="G3493">
        <f t="shared" si="109"/>
        <v>8.7032337044627983E-3</v>
      </c>
    </row>
    <row r="3494" spans="1:7" x14ac:dyDescent="0.25">
      <c r="A3494" s="1">
        <v>40949</v>
      </c>
      <c r="B3494">
        <v>0.49333301186561501</v>
      </c>
      <c r="C3494">
        <f>C3495*(1+G3494*3)</f>
        <v>0.48466109847918798</v>
      </c>
      <c r="D3494">
        <f t="shared" si="110"/>
        <v>0.49399601582117769</v>
      </c>
      <c r="F3494">
        <v>2547.32006835937</v>
      </c>
      <c r="G3494">
        <f t="shared" si="109"/>
        <v>-6.478282840834737E-3</v>
      </c>
    </row>
    <row r="3495" spans="1:7" x14ac:dyDescent="0.25">
      <c r="A3495" s="1">
        <v>40948</v>
      </c>
      <c r="B3495">
        <v>0.50411498546600297</v>
      </c>
      <c r="C3495">
        <f>C3496*(1+G3495*3)</f>
        <v>0.49426710479044705</v>
      </c>
      <c r="D3495">
        <f t="shared" si="110"/>
        <v>0.50373286586605681</v>
      </c>
      <c r="F3495">
        <v>2563.92993164062</v>
      </c>
      <c r="G3495">
        <f t="shared" si="109"/>
        <v>7.1531673346107993E-3</v>
      </c>
    </row>
    <row r="3496" spans="1:7" x14ac:dyDescent="0.25">
      <c r="A3496" s="1">
        <v>40947</v>
      </c>
      <c r="B3496">
        <v>0.49317699670791598</v>
      </c>
      <c r="C3496">
        <f>C3497*(1+G3496*3)</f>
        <v>0.48388321203222073</v>
      </c>
      <c r="D3496">
        <f t="shared" si="110"/>
        <v>0.49309920204156688</v>
      </c>
      <c r="F3496">
        <v>2545.71997070312</v>
      </c>
      <c r="G3496">
        <f t="shared" si="109"/>
        <v>5.3947820325226381E-3</v>
      </c>
    </row>
    <row r="3497" spans="1:7" x14ac:dyDescent="0.25">
      <c r="A3497" s="1">
        <v>40946</v>
      </c>
      <c r="B3497">
        <v>0.48510399460792503</v>
      </c>
      <c r="C3497">
        <f>C3498*(1+G3497*3)</f>
        <v>0.47617660505248638</v>
      </c>
      <c r="D3497">
        <f t="shared" si="110"/>
        <v>0.485195463722016</v>
      </c>
      <c r="F3497">
        <v>2532.06005859375</v>
      </c>
      <c r="G3497">
        <f t="shared" si="109"/>
        <v>1.487169122736276E-3</v>
      </c>
    </row>
    <row r="3498" spans="1:7" x14ac:dyDescent="0.25">
      <c r="A3498" s="1">
        <v>40945</v>
      </c>
      <c r="B3498">
        <v>0.48302099108695901</v>
      </c>
      <c r="C3498">
        <f>C3499*(1+G3498*3)</f>
        <v>0.47406157583889647</v>
      </c>
      <c r="D3498">
        <f t="shared" si="110"/>
        <v>0.48298966736811783</v>
      </c>
      <c r="F3498">
        <v>2528.30004882812</v>
      </c>
      <c r="G3498">
        <f t="shared" si="109"/>
        <v>-3.4393618212691379E-4</v>
      </c>
    </row>
    <row r="3499" spans="1:7" x14ac:dyDescent="0.25">
      <c r="A3499" s="1">
        <v>40942</v>
      </c>
      <c r="B3499">
        <v>0.483489990234375</v>
      </c>
      <c r="C3499">
        <f>C3500*(1+G3499*3)</f>
        <v>0.47455122184529186</v>
      </c>
      <c r="D3499">
        <f t="shared" si="110"/>
        <v>0.48343750069187641</v>
      </c>
      <c r="F3499">
        <v>2529.169921875</v>
      </c>
      <c r="G3499">
        <f t="shared" si="109"/>
        <v>1.3358218591165816E-2</v>
      </c>
    </row>
    <row r="3500" spans="1:7" x14ac:dyDescent="0.25">
      <c r="A3500" s="1">
        <v>40941</v>
      </c>
      <c r="B3500">
        <v>0.46500000357627802</v>
      </c>
      <c r="C3500">
        <f>C3501*(1+G3500*3)</f>
        <v>0.45626649895854915</v>
      </c>
      <c r="D3500">
        <f t="shared" si="110"/>
        <v>0.46476326070175844</v>
      </c>
      <c r="F3500">
        <v>2495.830078125</v>
      </c>
      <c r="G3500">
        <f t="shared" si="109"/>
        <v>3.0745953647073332E-3</v>
      </c>
    </row>
    <row r="3501" spans="1:7" x14ac:dyDescent="0.25">
      <c r="A3501" s="1">
        <v>40940</v>
      </c>
      <c r="B3501">
        <v>0.46026000380516002</v>
      </c>
      <c r="C3501">
        <f>C3502*(1+G3501*3)</f>
        <v>0.45209645793663145</v>
      </c>
      <c r="D3501">
        <f t="shared" si="110"/>
        <v>0.46046744817644891</v>
      </c>
      <c r="F3501">
        <v>2488.17993164062</v>
      </c>
      <c r="G3501">
        <f t="shared" si="109"/>
        <v>8.197078899085497E-3</v>
      </c>
    </row>
    <row r="3502" spans="1:7" x14ac:dyDescent="0.25">
      <c r="A3502" s="1">
        <v>40939</v>
      </c>
      <c r="B3502">
        <v>0.44921898841857899</v>
      </c>
      <c r="C3502">
        <f>C3503*(1+G3502*3)</f>
        <v>0.4412456809546339</v>
      </c>
      <c r="D3502">
        <f t="shared" si="110"/>
        <v>0.44936950732708375</v>
      </c>
      <c r="F3502">
        <v>2467.94995117187</v>
      </c>
      <c r="G3502">
        <f t="shared" si="109"/>
        <v>1.0667510666273472E-3</v>
      </c>
    </row>
    <row r="3503" spans="1:7" x14ac:dyDescent="0.25">
      <c r="A3503" s="1">
        <v>40938</v>
      </c>
      <c r="B3503">
        <v>0.44765600562095598</v>
      </c>
      <c r="C3503">
        <f>C3504*(1+G3503*3)</f>
        <v>0.43983808770701949</v>
      </c>
      <c r="D3503">
        <f t="shared" si="110"/>
        <v>0.44788891659629837</v>
      </c>
      <c r="F3503">
        <v>2465.32006835937</v>
      </c>
      <c r="G3503">
        <f t="shared" si="109"/>
        <v>1.4420716801140099E-3</v>
      </c>
    </row>
    <row r="3504" spans="1:7" x14ac:dyDescent="0.25">
      <c r="A3504" s="1">
        <v>40935</v>
      </c>
      <c r="B3504">
        <v>0.44692701101303101</v>
      </c>
      <c r="C3504">
        <f>C3505*(1+G3504*3)</f>
        <v>0.43794345016609165</v>
      </c>
      <c r="D3504">
        <f t="shared" si="110"/>
        <v>0.44591277763542997</v>
      </c>
      <c r="F3504">
        <v>2461.77001953125</v>
      </c>
      <c r="G3504">
        <f t="shared" si="109"/>
        <v>2.908844534463606E-3</v>
      </c>
    </row>
    <row r="3505" spans="1:7" x14ac:dyDescent="0.25">
      <c r="A3505" s="1">
        <v>40934</v>
      </c>
      <c r="B3505">
        <v>0.442552000284194</v>
      </c>
      <c r="C3505">
        <f>C3506*(1+G3505*3)</f>
        <v>0.434154783855702</v>
      </c>
      <c r="D3505">
        <f t="shared" si="110"/>
        <v>0.44200895889010983</v>
      </c>
      <c r="F3505">
        <v>2454.6298828125</v>
      </c>
      <c r="G3505">
        <f t="shared" si="109"/>
        <v>-4.4734593131433575E-3</v>
      </c>
    </row>
    <row r="3506" spans="1:7" x14ac:dyDescent="0.25">
      <c r="A3506" s="1">
        <v>40933</v>
      </c>
      <c r="B3506">
        <v>0.447292000055313</v>
      </c>
      <c r="C3506">
        <f>C3507*(1+G3506*3)</f>
        <v>0.44006056292641282</v>
      </c>
      <c r="D3506">
        <f t="shared" si="110"/>
        <v>0.44797369343034388</v>
      </c>
      <c r="F3506">
        <v>2465.65991210937</v>
      </c>
      <c r="G3506">
        <f t="shared" si="109"/>
        <v>1.3024023270974405E-2</v>
      </c>
    </row>
    <row r="3507" spans="1:7" x14ac:dyDescent="0.25">
      <c r="A3507" s="1">
        <v>40932</v>
      </c>
      <c r="B3507">
        <v>0.43083301186561501</v>
      </c>
      <c r="C3507">
        <f>C3508*(1+G3507*3)</f>
        <v>0.42351303216690472</v>
      </c>
      <c r="D3507">
        <f t="shared" si="110"/>
        <v>0.43108485517856177</v>
      </c>
      <c r="F3507">
        <v>2433.9599609375</v>
      </c>
      <c r="G3507">
        <f t="shared" si="109"/>
        <v>-1.3375935716953835E-3</v>
      </c>
    </row>
    <row r="3508" spans="1:7" x14ac:dyDescent="0.25">
      <c r="A3508" s="1">
        <v>40931</v>
      </c>
      <c r="B3508">
        <v>0.433228999376297</v>
      </c>
      <c r="C3508">
        <f>C3509*(1+G3508*3)</f>
        <v>0.4252193441507946</v>
      </c>
      <c r="D3508">
        <f t="shared" si="110"/>
        <v>0.43277585074498076</v>
      </c>
      <c r="F3508">
        <v>2437.21997070312</v>
      </c>
      <c r="G3508">
        <f t="shared" si="109"/>
        <v>8.2047406368301878E-5</v>
      </c>
    </row>
    <row r="3509" spans="1:7" x14ac:dyDescent="0.25">
      <c r="A3509" s="1">
        <v>40928</v>
      </c>
      <c r="B3509">
        <v>0.43328100442886303</v>
      </c>
      <c r="C3509">
        <f>C3510*(1+G3509*3)</f>
        <v>0.42511470547381514</v>
      </c>
      <c r="D3509">
        <f t="shared" si="110"/>
        <v>0.43262374079695898</v>
      </c>
      <c r="F3509">
        <v>2437.02001953125</v>
      </c>
      <c r="G3509">
        <f t="shared" si="109"/>
        <v>-1.9166694246661731E-3</v>
      </c>
    </row>
    <row r="3510" spans="1:7" x14ac:dyDescent="0.25">
      <c r="A3510" s="1">
        <v>40927</v>
      </c>
      <c r="B3510">
        <v>0.43520799279212902</v>
      </c>
      <c r="C3510">
        <f>C3511*(1+G3510*3)</f>
        <v>0.42757325522912309</v>
      </c>
      <c r="D3510">
        <f t="shared" si="110"/>
        <v>0.43507956996053598</v>
      </c>
      <c r="F3510">
        <v>2441.69995117187</v>
      </c>
      <c r="G3510">
        <f t="shared" si="109"/>
        <v>6.4881492224988513E-3</v>
      </c>
    </row>
    <row r="3511" spans="1:7" x14ac:dyDescent="0.25">
      <c r="A3511" s="1">
        <v>40926</v>
      </c>
      <c r="B3511">
        <v>0.42666700482368403</v>
      </c>
      <c r="C3511">
        <f>C3512*(1+G3511*3)</f>
        <v>0.41940967750998831</v>
      </c>
      <c r="D3511">
        <f t="shared" si="110"/>
        <v>0.42672853346021067</v>
      </c>
      <c r="F3511">
        <v>2425.9599609375</v>
      </c>
      <c r="G3511">
        <f t="shared" si="109"/>
        <v>1.3671830170247867E-2</v>
      </c>
    </row>
    <row r="3512" spans="1:7" x14ac:dyDescent="0.25">
      <c r="A3512" s="1">
        <v>40925</v>
      </c>
      <c r="B3512">
        <v>0.41036498546600297</v>
      </c>
      <c r="C3512">
        <f>C3513*(1+G3512*3)</f>
        <v>0.40288514564198974</v>
      </c>
      <c r="D3512">
        <f t="shared" si="110"/>
        <v>0.40987412143637902</v>
      </c>
      <c r="F3512">
        <v>2393.23999023437</v>
      </c>
      <c r="G3512">
        <f t="shared" si="109"/>
        <v>8.9629802699340289E-3</v>
      </c>
    </row>
    <row r="3513" spans="1:7" x14ac:dyDescent="0.25">
      <c r="A3513" s="1">
        <v>40921</v>
      </c>
      <c r="B3513">
        <v>0.39963498711585999</v>
      </c>
      <c r="C3513">
        <f>C3514*(1+G3513*3)</f>
        <v>0.39233565542567389</v>
      </c>
      <c r="D3513">
        <f t="shared" si="110"/>
        <v>0.3991006401931117</v>
      </c>
      <c r="F3513">
        <v>2371.97998046875</v>
      </c>
      <c r="G3513">
        <f t="shared" si="109"/>
        <v>-4.2023727247632037E-3</v>
      </c>
    </row>
    <row r="3514" spans="1:7" x14ac:dyDescent="0.25">
      <c r="A3514" s="1">
        <v>40920</v>
      </c>
      <c r="B3514">
        <v>0.40427100658416698</v>
      </c>
      <c r="C3514">
        <f>C3515*(1+G3514*3)</f>
        <v>0.39734503118985115</v>
      </c>
      <c r="D3514">
        <f t="shared" si="110"/>
        <v>0.40415322710774648</v>
      </c>
      <c r="F3514">
        <v>2381.98999023437</v>
      </c>
      <c r="G3514">
        <f t="shared" si="109"/>
        <v>4.1058026069638043E-3</v>
      </c>
    </row>
    <row r="3515" spans="1:7" x14ac:dyDescent="0.25">
      <c r="A3515" s="1">
        <v>40919</v>
      </c>
      <c r="B3515">
        <v>0.39953100681304898</v>
      </c>
      <c r="C3515">
        <f>C3516*(1+G3515*3)</f>
        <v>0.39251032148619647</v>
      </c>
      <c r="D3515">
        <f t="shared" si="110"/>
        <v>0.39919409305670472</v>
      </c>
      <c r="F3515">
        <v>2372.25</v>
      </c>
      <c r="G3515">
        <f t="shared" si="109"/>
        <v>2.057176046336151E-3</v>
      </c>
    </row>
    <row r="3516" spans="1:7" x14ac:dyDescent="0.25">
      <c r="A3516" s="1">
        <v>40918</v>
      </c>
      <c r="B3516">
        <v>0.39677101373672402</v>
      </c>
      <c r="C3516">
        <f>C3517*(1+G3516*3)</f>
        <v>0.39010279113360968</v>
      </c>
      <c r="D3516">
        <f t="shared" si="110"/>
        <v>0.39670398822108127</v>
      </c>
      <c r="F3516">
        <v>2367.3798828125</v>
      </c>
      <c r="G3516">
        <f t="shared" si="109"/>
        <v>7.1171723411764809E-3</v>
      </c>
    </row>
    <row r="3517" spans="1:7" x14ac:dyDescent="0.25">
      <c r="A3517" s="1">
        <v>40917</v>
      </c>
      <c r="B3517">
        <v>0.38880199193954401</v>
      </c>
      <c r="C3517">
        <f>C3518*(1+G3517*3)</f>
        <v>0.38194762981354896</v>
      </c>
      <c r="D3517">
        <f t="shared" si="110"/>
        <v>0.38837072780189758</v>
      </c>
      <c r="F3517">
        <v>2350.64990234375</v>
      </c>
      <c r="G3517">
        <f t="shared" si="109"/>
        <v>-2.3427934802160433E-3</v>
      </c>
    </row>
    <row r="3518" spans="1:7" x14ac:dyDescent="0.25">
      <c r="A3518" s="1">
        <v>40914</v>
      </c>
      <c r="B3518">
        <v>0.39208298921585</v>
      </c>
      <c r="C3518">
        <f>C3519*(1+G3518*3)</f>
        <v>0.38465110411015047</v>
      </c>
      <c r="D3518">
        <f t="shared" si="110"/>
        <v>0.39107813196897695</v>
      </c>
      <c r="F3518">
        <v>2356.169921875</v>
      </c>
      <c r="G3518">
        <f t="shared" si="109"/>
        <v>3.0608781113643513E-3</v>
      </c>
    </row>
    <row r="3519" spans="1:7" x14ac:dyDescent="0.25">
      <c r="A3519" s="1">
        <v>40913</v>
      </c>
      <c r="B3519">
        <v>0.38807299733161899</v>
      </c>
      <c r="C3519">
        <f>C3520*(1+G3519*3)</f>
        <v>0.38115113263315481</v>
      </c>
      <c r="D3519">
        <f t="shared" si="110"/>
        <v>0.38747919005994436</v>
      </c>
      <c r="F3519">
        <v>2348.97998046875</v>
      </c>
      <c r="G3519">
        <f t="shared" si="109"/>
        <v>8.2714242778512137E-3</v>
      </c>
    </row>
    <row r="3520" spans="1:7" x14ac:dyDescent="0.25">
      <c r="A3520" s="1">
        <v>40912</v>
      </c>
      <c r="B3520">
        <v>0.37874999642372098</v>
      </c>
      <c r="C3520">
        <f>C3521*(1+G3520*3)</f>
        <v>0.37192215481083557</v>
      </c>
      <c r="D3520">
        <f>D3521*(1+3*G3520--0.000105456488218832)</f>
        <v>0.37805808491593168</v>
      </c>
      <c r="F3520">
        <v>2329.7099609375</v>
      </c>
      <c r="G3520">
        <f t="shared" si="109"/>
        <v>3.3376975186389934E-3</v>
      </c>
    </row>
    <row r="3521" spans="1:7" x14ac:dyDescent="0.25">
      <c r="A3521" s="1">
        <v>40911</v>
      </c>
      <c r="B3521">
        <v>0.37427100539207397</v>
      </c>
      <c r="C3521">
        <f>C3522*(1+G3521*3)</f>
        <v>0.36823498383536546</v>
      </c>
      <c r="D3521">
        <v>0.37427100539207397</v>
      </c>
      <c r="E3521">
        <v>-1.0545648821883199E-4</v>
      </c>
      <c r="F3521">
        <v>2321.9599609375</v>
      </c>
      <c r="G3521">
        <f t="shared" si="109"/>
        <v>1.9373650052433078E-2</v>
      </c>
    </row>
    <row r="3522" spans="1:7" x14ac:dyDescent="0.25">
      <c r="A3522" s="1">
        <v>40907</v>
      </c>
      <c r="B3522">
        <v>0.354115009307861</v>
      </c>
      <c r="C3522">
        <f>C3523*(1+G3522*3)</f>
        <v>0.34800840469194377</v>
      </c>
      <c r="D3522">
        <f t="shared" ref="D3522:D3585" si="111">D3523*(1+3*G3522--0.0000480890792104776)</f>
        <v>0.35411500930791406</v>
      </c>
      <c r="F3522">
        <v>2277.830078125</v>
      </c>
      <c r="G3522">
        <f t="shared" ref="G3522:G3585" si="112">F3522/F3523-1</f>
        <v>-3.1683887223502571E-3</v>
      </c>
    </row>
    <row r="3523" spans="1:7" x14ac:dyDescent="0.25">
      <c r="A3523" s="1">
        <v>40906</v>
      </c>
      <c r="B3523">
        <v>0.35703098773956299</v>
      </c>
      <c r="C3523">
        <f>C3524*(1+G3523*3)</f>
        <v>0.35134802606212961</v>
      </c>
      <c r="D3523">
        <f t="shared" si="111"/>
        <v>0.35749587535977639</v>
      </c>
      <c r="F3523">
        <v>2285.07006835937</v>
      </c>
      <c r="G3523">
        <f t="shared" si="112"/>
        <v>7.9353130963282226E-3</v>
      </c>
    </row>
    <row r="3524" spans="1:7" x14ac:dyDescent="0.25">
      <c r="A3524" s="1">
        <v>40905</v>
      </c>
      <c r="B3524">
        <v>0.35020801424980103</v>
      </c>
      <c r="C3524">
        <f>C3525*(1+G3524*3)</f>
        <v>0.3431783432572531</v>
      </c>
      <c r="D3524">
        <f t="shared" si="111"/>
        <v>0.34916683966126355</v>
      </c>
      <c r="F3524">
        <v>2267.080078125</v>
      </c>
      <c r="G3524">
        <f t="shared" si="112"/>
        <v>-1.1355723962004238E-2</v>
      </c>
    </row>
    <row r="3525" spans="1:7" x14ac:dyDescent="0.25">
      <c r="A3525" s="1">
        <v>40904</v>
      </c>
      <c r="B3525">
        <v>0.36182299256324701</v>
      </c>
      <c r="C3525">
        <f>C3526*(1+G3525*3)</f>
        <v>0.35528178903218255</v>
      </c>
      <c r="D3525">
        <f t="shared" si="111"/>
        <v>0.36146349627259727</v>
      </c>
      <c r="F3525">
        <v>2293.1201171875</v>
      </c>
      <c r="G3525">
        <f t="shared" si="112"/>
        <v>2.4261765376700772E-3</v>
      </c>
    </row>
    <row r="3526" spans="1:7" x14ac:dyDescent="0.25">
      <c r="A3526" s="1">
        <v>40900</v>
      </c>
      <c r="B3526">
        <v>0.359062999486923</v>
      </c>
      <c r="C3526">
        <f>C3527*(1+G3526*3)</f>
        <v>0.35271454576588607</v>
      </c>
      <c r="D3526">
        <f t="shared" si="111"/>
        <v>0.35883445306138495</v>
      </c>
      <c r="F3526">
        <v>2287.57006835937</v>
      </c>
      <c r="G3526">
        <f t="shared" si="112"/>
        <v>9.1760737299768635E-3</v>
      </c>
    </row>
    <row r="3527" spans="1:7" x14ac:dyDescent="0.25">
      <c r="A3527" s="1">
        <v>40899</v>
      </c>
      <c r="B3527">
        <v>0.34999999403953502</v>
      </c>
      <c r="C3527">
        <f>C3528*(1+G3527*3)</f>
        <v>0.3432650690191501</v>
      </c>
      <c r="D3527">
        <f t="shared" si="111"/>
        <v>0.34920467655331566</v>
      </c>
      <c r="F3527">
        <v>2266.77001953125</v>
      </c>
      <c r="G3527">
        <f t="shared" si="112"/>
        <v>7.8878405371609617E-3</v>
      </c>
    </row>
    <row r="3528" spans="1:7" x14ac:dyDescent="0.25">
      <c r="A3528" s="1">
        <v>40898</v>
      </c>
      <c r="B3528">
        <v>0.34166699647903398</v>
      </c>
      <c r="C3528">
        <f>C3529*(1+G3528*3)</f>
        <v>0.33532998077216974</v>
      </c>
      <c r="D3528">
        <f t="shared" si="111"/>
        <v>0.34111626058212713</v>
      </c>
      <c r="F3528">
        <v>2249.03002929687</v>
      </c>
      <c r="G3528">
        <f t="shared" si="112"/>
        <v>-1.4421901081717037E-2</v>
      </c>
    </row>
    <row r="3529" spans="1:7" x14ac:dyDescent="0.25">
      <c r="A3529" s="1">
        <v>40897</v>
      </c>
      <c r="B3529">
        <v>0.35651001334190302</v>
      </c>
      <c r="C3529">
        <f>C3530*(1+G3529*3)</f>
        <v>0.35049436600065131</v>
      </c>
      <c r="D3529">
        <f t="shared" si="111"/>
        <v>0.35652439429553734</v>
      </c>
      <c r="F3529">
        <v>2281.93994140625</v>
      </c>
      <c r="G3529">
        <f t="shared" si="112"/>
        <v>3.0095618722410844E-2</v>
      </c>
    </row>
    <row r="3530" spans="1:7" x14ac:dyDescent="0.25">
      <c r="A3530" s="1">
        <v>40896</v>
      </c>
      <c r="B3530">
        <v>0.327448010444641</v>
      </c>
      <c r="C3530">
        <f>C3531*(1+G3530*3)</f>
        <v>0.32146986274123357</v>
      </c>
      <c r="D3530">
        <f t="shared" si="111"/>
        <v>0.32698612096208096</v>
      </c>
      <c r="F3530">
        <v>2215.27001953125</v>
      </c>
      <c r="G3530">
        <f t="shared" si="112"/>
        <v>-1.0235956361460463E-2</v>
      </c>
    </row>
    <row r="3531" spans="1:7" x14ac:dyDescent="0.25">
      <c r="A3531" s="1">
        <v>40893</v>
      </c>
      <c r="B3531">
        <v>0.33677101135253901</v>
      </c>
      <c r="C3531">
        <f>C3532*(1+G3531*3)</f>
        <v>0.33165425828595635</v>
      </c>
      <c r="D3531">
        <f t="shared" si="111"/>
        <v>0.33732853978123928</v>
      </c>
      <c r="F3531">
        <v>2238.17993164062</v>
      </c>
      <c r="G3531">
        <f t="shared" si="112"/>
        <v>5.1510842922222189E-3</v>
      </c>
    </row>
    <row r="3532" spans="1:7" x14ac:dyDescent="0.25">
      <c r="A3532" s="1">
        <v>40892</v>
      </c>
      <c r="B3532">
        <v>0.33260399103164601</v>
      </c>
      <c r="C3532">
        <f>C3533*(1+G3532*3)</f>
        <v>0.32660711593213826</v>
      </c>
      <c r="D3532">
        <f t="shared" si="111"/>
        <v>0.33217931463442218</v>
      </c>
      <c r="F3532">
        <v>2226.7099609375</v>
      </c>
      <c r="G3532">
        <f t="shared" si="112"/>
        <v>-2.8302657270399267E-3</v>
      </c>
    </row>
    <row r="3533" spans="1:7" x14ac:dyDescent="0.25">
      <c r="A3533" s="1">
        <v>40891</v>
      </c>
      <c r="B3533">
        <v>0.33520799875259399</v>
      </c>
      <c r="C3533">
        <f>C3534*(1+G3533*3)</f>
        <v>0.32940401864509961</v>
      </c>
      <c r="D3533">
        <f t="shared" si="111"/>
        <v>0.3350076867455104</v>
      </c>
      <c r="F3533">
        <v>2233.03002929687</v>
      </c>
      <c r="G3533">
        <f t="shared" si="112"/>
        <v>-1.5579506899185969E-2</v>
      </c>
    </row>
    <row r="3534" spans="1:7" x14ac:dyDescent="0.25">
      <c r="A3534" s="1">
        <v>40890</v>
      </c>
      <c r="B3534">
        <v>0.35156300663947998</v>
      </c>
      <c r="C3534">
        <f>C3535*(1+G3534*3)</f>
        <v>0.34555473581723251</v>
      </c>
      <c r="D3534">
        <f t="shared" si="111"/>
        <v>0.35141542459730329</v>
      </c>
      <c r="F3534">
        <v>2268.3701171875</v>
      </c>
      <c r="G3534">
        <f t="shared" si="112"/>
        <v>-1.0413339418456569E-2</v>
      </c>
    </row>
    <row r="3535" spans="1:7" x14ac:dyDescent="0.25">
      <c r="A3535" s="1">
        <v>40889</v>
      </c>
      <c r="B3535">
        <v>0.36385399103164601</v>
      </c>
      <c r="C3535">
        <f>C3536*(1+G3535*3)</f>
        <v>0.35669798745704417</v>
      </c>
      <c r="D3535">
        <f t="shared" si="111"/>
        <v>0.36272966254138633</v>
      </c>
      <c r="F3535">
        <v>2292.23999023437</v>
      </c>
      <c r="G3535">
        <f t="shared" si="112"/>
        <v>-1.1403014726375837E-2</v>
      </c>
    </row>
    <row r="3536" spans="1:7" x14ac:dyDescent="0.25">
      <c r="A3536" s="1">
        <v>40886</v>
      </c>
      <c r="B3536">
        <v>0.37619799375534002</v>
      </c>
      <c r="C3536">
        <f>C3537*(1+G3536*3)</f>
        <v>0.36933249924034472</v>
      </c>
      <c r="D3536">
        <f t="shared" si="111"/>
        <v>0.37555912080455506</v>
      </c>
      <c r="F3536">
        <v>2318.67993164062</v>
      </c>
      <c r="G3536">
        <f t="shared" si="112"/>
        <v>1.5810917580629358E-2</v>
      </c>
    </row>
    <row r="3537" spans="1:7" x14ac:dyDescent="0.25">
      <c r="A3537" s="1">
        <v>40885</v>
      </c>
      <c r="B3537">
        <v>0.359167009592056</v>
      </c>
      <c r="C3537">
        <f>C3538*(1+G3537*3)</f>
        <v>0.35260736144973009</v>
      </c>
      <c r="D3537">
        <f t="shared" si="111"/>
        <v>0.35853555101936418</v>
      </c>
      <c r="F3537">
        <v>2282.59008789062</v>
      </c>
      <c r="G3537">
        <f t="shared" si="112"/>
        <v>-1.6353930780359183E-2</v>
      </c>
    </row>
    <row r="3538" spans="1:7" x14ac:dyDescent="0.25">
      <c r="A3538" s="1">
        <v>40884</v>
      </c>
      <c r="B3538">
        <v>0.37843799591064398</v>
      </c>
      <c r="C3538">
        <f>C3539*(1+G3538*3)</f>
        <v>0.3707994469144324</v>
      </c>
      <c r="D3538">
        <f t="shared" si="111"/>
        <v>0.3770144241290701</v>
      </c>
      <c r="F3538">
        <v>2320.5400390625</v>
      </c>
      <c r="G3538">
        <f t="shared" si="112"/>
        <v>-4.0919890926349733E-4</v>
      </c>
    </row>
    <row r="3539" spans="1:7" x14ac:dyDescent="0.25">
      <c r="A3539" s="1">
        <v>40883</v>
      </c>
      <c r="B3539">
        <v>0.37786498665809598</v>
      </c>
      <c r="C3539">
        <f>C3540*(1+G3539*3)</f>
        <v>0.37125519858138611</v>
      </c>
      <c r="D3539">
        <f t="shared" si="111"/>
        <v>0.37745964066226151</v>
      </c>
      <c r="F3539">
        <v>2321.48999023437</v>
      </c>
      <c r="G3539">
        <f t="shared" si="112"/>
        <v>-2.3464023945810597E-3</v>
      </c>
    </row>
    <row r="3540" spans="1:7" x14ac:dyDescent="0.25">
      <c r="A3540" s="1">
        <v>40882</v>
      </c>
      <c r="B3540">
        <v>0.38078099489211997</v>
      </c>
      <c r="C3540">
        <f>C3541*(1+G3540*3)</f>
        <v>0.37388706711009617</v>
      </c>
      <c r="D3540">
        <f t="shared" si="111"/>
        <v>0.38011708409069012</v>
      </c>
      <c r="F3540">
        <v>2326.94995117187</v>
      </c>
      <c r="G3540">
        <f t="shared" si="112"/>
        <v>1.0820798807441356E-2</v>
      </c>
    </row>
    <row r="3541" spans="1:7" x14ac:dyDescent="0.25">
      <c r="A3541" s="1">
        <v>40879</v>
      </c>
      <c r="B3541">
        <v>0.36869800090789701</v>
      </c>
      <c r="C3541">
        <f>C3542*(1+G3541*3)</f>
        <v>0.36213141360468432</v>
      </c>
      <c r="D3541">
        <f t="shared" si="111"/>
        <v>0.36814840084268102</v>
      </c>
      <c r="F3541">
        <v>2302.0400390625</v>
      </c>
      <c r="G3541">
        <f t="shared" si="112"/>
        <v>-3.100602919091755E-3</v>
      </c>
    </row>
    <row r="3542" spans="1:7" x14ac:dyDescent="0.25">
      <c r="A3542" s="1">
        <v>40878</v>
      </c>
      <c r="B3542">
        <v>0.37224000692367498</v>
      </c>
      <c r="C3542">
        <f>C3543*(1+G3542*3)</f>
        <v>0.36553151787874899</v>
      </c>
      <c r="D3542">
        <f t="shared" si="111"/>
        <v>0.37158696242902278</v>
      </c>
      <c r="F3542">
        <v>2309.19995117187</v>
      </c>
      <c r="G3542">
        <f t="shared" si="112"/>
        <v>6.0996864316120725E-3</v>
      </c>
    </row>
    <row r="3543" spans="1:7" x14ac:dyDescent="0.25">
      <c r="A3543" s="1">
        <v>40877</v>
      </c>
      <c r="B3543">
        <v>0.364427000284194</v>
      </c>
      <c r="C3543">
        <f>C3544*(1+G3543*3)</f>
        <v>0.35896283566428566</v>
      </c>
      <c r="D3543">
        <f t="shared" si="111"/>
        <v>0.3648922305348628</v>
      </c>
      <c r="F3543">
        <v>2295.19995117187</v>
      </c>
      <c r="G3543">
        <f t="shared" si="112"/>
        <v>3.7899268181985413E-2</v>
      </c>
    </row>
    <row r="3544" spans="1:7" x14ac:dyDescent="0.25">
      <c r="A3544" s="1">
        <v>40876</v>
      </c>
      <c r="B3544">
        <v>0.32838499546050998</v>
      </c>
      <c r="C3544">
        <f>C3545*(1+G3544*3)</f>
        <v>0.32231619223729308</v>
      </c>
      <c r="D3544">
        <f t="shared" si="111"/>
        <v>0.32762610629895439</v>
      </c>
      <c r="F3544">
        <v>2211.38989257812</v>
      </c>
      <c r="G3544">
        <f t="shared" si="112"/>
        <v>-5.768349486109603E-3</v>
      </c>
    </row>
    <row r="3545" spans="1:7" x14ac:dyDescent="0.25">
      <c r="A3545" s="1">
        <v>40875</v>
      </c>
      <c r="B3545">
        <v>0.334426999092102</v>
      </c>
      <c r="C3545">
        <f>C3546*(1+G3545*3)</f>
        <v>0.32799211162287656</v>
      </c>
      <c r="D3545">
        <f t="shared" si="111"/>
        <v>0.33337921792044983</v>
      </c>
      <c r="F3545">
        <v>2224.21997070312</v>
      </c>
      <c r="G3545">
        <f t="shared" si="112"/>
        <v>3.4097714371069454E-2</v>
      </c>
    </row>
    <row r="3546" spans="1:7" x14ac:dyDescent="0.25">
      <c r="A3546" s="1">
        <v>40872</v>
      </c>
      <c r="B3546">
        <v>0.30312499403953502</v>
      </c>
      <c r="C3546">
        <f>C3547*(1+G3546*3)</f>
        <v>0.29755434266471792</v>
      </c>
      <c r="D3546">
        <f t="shared" si="111"/>
        <v>0.30242832998036395</v>
      </c>
      <c r="F3546">
        <v>2150.8798828125</v>
      </c>
      <c r="G3546">
        <f t="shared" si="112"/>
        <v>-7.2281868636854263E-3</v>
      </c>
    </row>
    <row r="3547" spans="1:7" x14ac:dyDescent="0.25">
      <c r="A3547" s="1">
        <v>40870</v>
      </c>
      <c r="B3547">
        <v>0.31015598773956299</v>
      </c>
      <c r="C3547">
        <f>C3548*(1+G3547*3)</f>
        <v>0.30414969515812557</v>
      </c>
      <c r="D3547">
        <f t="shared" si="111"/>
        <v>0.30911652077597418</v>
      </c>
      <c r="F3547">
        <v>2166.5400390625</v>
      </c>
      <c r="G3547">
        <f t="shared" si="112"/>
        <v>-2.2465082955794191E-2</v>
      </c>
    </row>
    <row r="3548" spans="1:7" x14ac:dyDescent="0.25">
      <c r="A3548" s="1">
        <v>40869</v>
      </c>
      <c r="B3548">
        <v>0.33223998546600297</v>
      </c>
      <c r="C3548">
        <f>C3549*(1+G3548*3)</f>
        <v>0.32612925763968698</v>
      </c>
      <c r="D3548">
        <f t="shared" si="111"/>
        <v>0.3314379235748281</v>
      </c>
      <c r="F3548">
        <v>2216.330078125</v>
      </c>
      <c r="G3548">
        <f t="shared" si="112"/>
        <v>2.3472895425120655E-3</v>
      </c>
    </row>
    <row r="3549" spans="1:7" x14ac:dyDescent="0.25">
      <c r="A3549" s="1">
        <v>40868</v>
      </c>
      <c r="B3549">
        <v>0.32937499880790699</v>
      </c>
      <c r="C3549">
        <f>C3550*(1+G3549*3)</f>
        <v>0.3238487572360399</v>
      </c>
      <c r="D3549">
        <f t="shared" si="111"/>
        <v>0.32910458597913961</v>
      </c>
      <c r="F3549">
        <v>2211.13989257812</v>
      </c>
      <c r="G3549">
        <f t="shared" si="112"/>
        <v>-1.8993349240737256E-2</v>
      </c>
    </row>
    <row r="3550" spans="1:7" x14ac:dyDescent="0.25">
      <c r="A3550" s="1">
        <v>40865</v>
      </c>
      <c r="B3550">
        <v>0.34968799352645802</v>
      </c>
      <c r="C3550">
        <f>C3551*(1+G3550*3)</f>
        <v>0.3434166546039768</v>
      </c>
      <c r="D3550">
        <f t="shared" si="111"/>
        <v>0.34897226026828848</v>
      </c>
      <c r="F3550">
        <v>2253.94995117187</v>
      </c>
      <c r="G3550">
        <f t="shared" si="112"/>
        <v>-7.9838985326462497E-3</v>
      </c>
    </row>
    <row r="3551" spans="1:7" x14ac:dyDescent="0.25">
      <c r="A3551" s="1">
        <v>40864</v>
      </c>
      <c r="B3551">
        <v>0.35828098654746998</v>
      </c>
      <c r="C3551">
        <f>C3552*(1+G3551*3)</f>
        <v>0.35184391290383721</v>
      </c>
      <c r="D3551">
        <f t="shared" si="111"/>
        <v>0.35751823549277789</v>
      </c>
      <c r="F3551">
        <v>2272.09008789062</v>
      </c>
      <c r="G3551">
        <f t="shared" si="112"/>
        <v>-2.2492127613539914E-2</v>
      </c>
    </row>
    <row r="3552" spans="1:7" x14ac:dyDescent="0.25">
      <c r="A3552" s="1">
        <v>40863</v>
      </c>
      <c r="B3552">
        <v>0.38473999500274603</v>
      </c>
      <c r="C3552">
        <f>C3553*(1+G3552*3)</f>
        <v>0.37730295129211999</v>
      </c>
      <c r="D3552">
        <f t="shared" si="111"/>
        <v>0.383368091805811</v>
      </c>
      <c r="F3552">
        <v>2324.3701171875</v>
      </c>
      <c r="G3552">
        <f t="shared" si="112"/>
        <v>-1.7694685754475303E-2</v>
      </c>
    </row>
    <row r="3553" spans="1:7" x14ac:dyDescent="0.25">
      <c r="A3553" s="1">
        <v>40862</v>
      </c>
      <c r="B3553">
        <v>0.404688000679016</v>
      </c>
      <c r="C3553">
        <f>C3554*(1+G3553*3)</f>
        <v>0.39845453462502661</v>
      </c>
      <c r="D3553">
        <f t="shared" si="111"/>
        <v>0.40483912685755374</v>
      </c>
      <c r="F3553">
        <v>2366.23999023437</v>
      </c>
      <c r="G3553">
        <f t="shared" si="112"/>
        <v>1.0643534906554786E-2</v>
      </c>
    </row>
    <row r="3554" spans="1:7" x14ac:dyDescent="0.25">
      <c r="A3554" s="1">
        <v>40861</v>
      </c>
      <c r="B3554">
        <v>0.39208298921585</v>
      </c>
      <c r="C3554">
        <f>C3555*(1+G3554*3)</f>
        <v>0.38612531967037772</v>
      </c>
      <c r="D3554">
        <f t="shared" si="111"/>
        <v>0.39229407476163841</v>
      </c>
      <c r="F3554">
        <v>2341.32006835937</v>
      </c>
      <c r="G3554">
        <f t="shared" si="112"/>
        <v>-6.1380777312285417E-3</v>
      </c>
    </row>
    <row r="3555" spans="1:7" x14ac:dyDescent="0.25">
      <c r="A3555" s="1">
        <v>40858</v>
      </c>
      <c r="B3555">
        <v>0.39885398745536799</v>
      </c>
      <c r="C3555">
        <f>C3556*(1+G3555*3)</f>
        <v>0.39336890644479733</v>
      </c>
      <c r="D3555">
        <f t="shared" si="111"/>
        <v>0.39963380685128541</v>
      </c>
      <c r="F3555">
        <v>2355.78002929687</v>
      </c>
      <c r="G3555">
        <f t="shared" si="112"/>
        <v>1.890511950120799E-2</v>
      </c>
    </row>
    <row r="3556" spans="1:7" x14ac:dyDescent="0.25">
      <c r="A3556" s="1">
        <v>40857</v>
      </c>
      <c r="B3556">
        <v>0.37765601277351302</v>
      </c>
      <c r="C3556">
        <f>C3557*(1+G3556*3)</f>
        <v>0.3722562592464187</v>
      </c>
      <c r="D3556">
        <f t="shared" si="111"/>
        <v>0.37816770419660078</v>
      </c>
      <c r="F3556">
        <v>2312.07006835937</v>
      </c>
      <c r="G3556">
        <f t="shared" si="112"/>
        <v>-8.7724351203999351E-4</v>
      </c>
    </row>
    <row r="3557" spans="1:7" x14ac:dyDescent="0.25">
      <c r="A3557" s="1">
        <v>40856</v>
      </c>
      <c r="B3557">
        <v>0.37921899557113598</v>
      </c>
      <c r="C3557">
        <f>C3558*(1+G3557*3)</f>
        <v>0.37323852246324152</v>
      </c>
      <c r="D3557">
        <f t="shared" si="111"/>
        <v>0.37914728483998805</v>
      </c>
      <c r="F3557">
        <v>2314.10009765625</v>
      </c>
      <c r="G3557">
        <f t="shared" si="112"/>
        <v>-3.5795647418053855E-2</v>
      </c>
    </row>
    <row r="3558" spans="1:7" x14ac:dyDescent="0.25">
      <c r="A3558" s="1">
        <v>40855</v>
      </c>
      <c r="B3558">
        <v>0.42296901345252902</v>
      </c>
      <c r="C3558">
        <f>C3559*(1+G3558*3)</f>
        <v>0.41814145471476732</v>
      </c>
      <c r="D3558">
        <f t="shared" si="111"/>
        <v>0.42473819566193849</v>
      </c>
      <c r="F3558">
        <v>2400.01000976562</v>
      </c>
      <c r="G3558">
        <f t="shared" si="112"/>
        <v>1.2218254532122774E-2</v>
      </c>
    </row>
    <row r="3559" spans="1:7" x14ac:dyDescent="0.25">
      <c r="A3559" s="1">
        <v>40854</v>
      </c>
      <c r="B3559">
        <v>0.40932300686836198</v>
      </c>
      <c r="C3559">
        <f>C3560*(1+G3559*3)</f>
        <v>0.40335651694123192</v>
      </c>
      <c r="D3559">
        <f t="shared" si="111"/>
        <v>0.40970100021018674</v>
      </c>
      <c r="F3559">
        <v>2371.0400390625</v>
      </c>
      <c r="G3559">
        <f t="shared" si="112"/>
        <v>6.2470166514259073E-3</v>
      </c>
    </row>
    <row r="3560" spans="1:7" x14ac:dyDescent="0.25">
      <c r="A3560" s="1">
        <v>40851</v>
      </c>
      <c r="B3560">
        <v>0.400417000055313</v>
      </c>
      <c r="C3560">
        <f>C3561*(1+G3560*3)</f>
        <v>0.39593625579271102</v>
      </c>
      <c r="D3560">
        <f t="shared" si="111"/>
        <v>0.40214504112093763</v>
      </c>
      <c r="F3560">
        <v>2356.32006835937</v>
      </c>
      <c r="G3560">
        <f t="shared" si="112"/>
        <v>-4.8105100565696279E-3</v>
      </c>
    </row>
    <row r="3561" spans="1:7" x14ac:dyDescent="0.25">
      <c r="A3561" s="1">
        <v>40850</v>
      </c>
      <c r="B3561">
        <v>0.40671899914741499</v>
      </c>
      <c r="C3561">
        <f>C3562*(1+G3561*3)</f>
        <v>0.40173389055444197</v>
      </c>
      <c r="D3561">
        <f t="shared" si="111"/>
        <v>0.40801368187835224</v>
      </c>
      <c r="F3561">
        <v>2367.7099609375</v>
      </c>
      <c r="G3561">
        <f t="shared" si="112"/>
        <v>2.130417333318535E-2</v>
      </c>
    </row>
    <row r="3562" spans="1:7" x14ac:dyDescent="0.25">
      <c r="A3562" s="1">
        <v>40849</v>
      </c>
      <c r="B3562">
        <v>0.38338500261306702</v>
      </c>
      <c r="C3562">
        <f>C3563*(1+G3562*3)</f>
        <v>0.3776004915842231</v>
      </c>
      <c r="D3562">
        <f t="shared" si="111"/>
        <v>0.38348570275701477</v>
      </c>
      <c r="F3562">
        <v>2318.32006835937</v>
      </c>
      <c r="G3562">
        <f t="shared" si="112"/>
        <v>8.6800428802487062E-3</v>
      </c>
    </row>
    <row r="3563" spans="1:7" x14ac:dyDescent="0.25">
      <c r="A3563" s="1">
        <v>40848</v>
      </c>
      <c r="B3563">
        <v>0.37416699528694097</v>
      </c>
      <c r="C3563">
        <f>C3564*(1+G3563*3)</f>
        <v>0.3680172744164032</v>
      </c>
      <c r="D3563">
        <f t="shared" si="111"/>
        <v>0.37373560687515561</v>
      </c>
      <c r="F3563">
        <v>2298.3701171875</v>
      </c>
      <c r="G3563">
        <f t="shared" si="112"/>
        <v>-2.6147401314673302E-2</v>
      </c>
    </row>
    <row r="3564" spans="1:7" x14ac:dyDescent="0.25">
      <c r="A3564" s="1">
        <v>40847</v>
      </c>
      <c r="B3564">
        <v>0.405573010444641</v>
      </c>
      <c r="C3564">
        <f>C3565*(1+G3564*3)</f>
        <v>0.39934258707529607</v>
      </c>
      <c r="D3564">
        <f t="shared" si="111"/>
        <v>0.40552649771798305</v>
      </c>
      <c r="F3564">
        <v>2360.080078125</v>
      </c>
      <c r="G3564">
        <f t="shared" si="112"/>
        <v>-1.7161592422042071E-2</v>
      </c>
    </row>
    <row r="3565" spans="1:7" x14ac:dyDescent="0.25">
      <c r="A3565" s="1">
        <v>40844</v>
      </c>
      <c r="B3565">
        <v>0.426719009876251</v>
      </c>
      <c r="C3565">
        <f>C3566*(1+G3565*3)</f>
        <v>0.42101863787097088</v>
      </c>
      <c r="D3565">
        <f t="shared" si="111"/>
        <v>0.42751653228381725</v>
      </c>
      <c r="F3565">
        <v>2401.2900390625</v>
      </c>
      <c r="G3565">
        <f t="shared" si="112"/>
        <v>6.0836012966403175E-4</v>
      </c>
    </row>
    <row r="3566" spans="1:7" x14ac:dyDescent="0.25">
      <c r="A3566" s="1">
        <v>40843</v>
      </c>
      <c r="B3566">
        <v>0.42531299591064398</v>
      </c>
      <c r="C3566">
        <f>C3567*(1+G3566*3)</f>
        <v>0.42025164483553984</v>
      </c>
      <c r="D3566">
        <f t="shared" si="111"/>
        <v>0.42671721861834505</v>
      </c>
      <c r="F3566">
        <v>2399.830078125</v>
      </c>
      <c r="G3566">
        <f t="shared" si="112"/>
        <v>2.7856911317223121E-2</v>
      </c>
    </row>
    <row r="3567" spans="1:7" x14ac:dyDescent="0.25">
      <c r="A3567" s="1">
        <v>40842</v>
      </c>
      <c r="B3567">
        <v>0.39359399676322898</v>
      </c>
      <c r="C3567">
        <f>C3568*(1+G3567*3)</f>
        <v>0.38783960443719806</v>
      </c>
      <c r="D3567">
        <f t="shared" si="111"/>
        <v>0.39378904237268392</v>
      </c>
      <c r="F3567">
        <v>2334.7900390625</v>
      </c>
      <c r="G3567">
        <f t="shared" si="112"/>
        <v>-4.6238792005293128E-4</v>
      </c>
    </row>
    <row r="3568" spans="1:7" x14ac:dyDescent="0.25">
      <c r="A3568" s="1">
        <v>40841</v>
      </c>
      <c r="B3568">
        <v>0.39515599608421298</v>
      </c>
      <c r="C3568">
        <f>C3569*(1+G3568*3)</f>
        <v>0.38837834880789468</v>
      </c>
      <c r="D3568">
        <f t="shared" si="111"/>
        <v>0.39431706236716568</v>
      </c>
      <c r="F3568">
        <v>2335.8701171875</v>
      </c>
      <c r="G3568">
        <f t="shared" si="112"/>
        <v>-2.0361264491248976E-2</v>
      </c>
    </row>
    <row r="3569" spans="1:7" x14ac:dyDescent="0.25">
      <c r="A3569" s="1">
        <v>40840</v>
      </c>
      <c r="B3569">
        <v>0.41890600323677002</v>
      </c>
      <c r="C3569">
        <f>C3570*(1+G3569*3)</f>
        <v>0.41364537762618248</v>
      </c>
      <c r="D3569">
        <f t="shared" si="111"/>
        <v>0.41994894184224746</v>
      </c>
      <c r="F3569">
        <v>2384.419921875</v>
      </c>
      <c r="G3569">
        <f t="shared" si="112"/>
        <v>2.0758323945240686E-2</v>
      </c>
    </row>
    <row r="3570" spans="1:7" x14ac:dyDescent="0.25">
      <c r="A3570" s="1">
        <v>40837</v>
      </c>
      <c r="B3570">
        <v>0.39427098631858798</v>
      </c>
      <c r="C3570">
        <f>C3571*(1+G3570*3)</f>
        <v>0.3893957671913893</v>
      </c>
      <c r="D3570">
        <f t="shared" si="111"/>
        <v>0.39531189455735222</v>
      </c>
      <c r="F3570">
        <v>2335.92993164062</v>
      </c>
      <c r="G3570">
        <f t="shared" si="112"/>
        <v>1.2851762820849988E-2</v>
      </c>
    </row>
    <row r="3571" spans="1:7" x14ac:dyDescent="0.25">
      <c r="A3571" s="1">
        <v>40836</v>
      </c>
      <c r="B3571">
        <v>0.380728989839553</v>
      </c>
      <c r="C3571">
        <f>C3572*(1+G3571*3)</f>
        <v>0.37493985300276172</v>
      </c>
      <c r="D3571">
        <f t="shared" si="111"/>
        <v>0.38061872617149023</v>
      </c>
      <c r="F3571">
        <v>2306.2900390625</v>
      </c>
      <c r="G3571">
        <f t="shared" si="112"/>
        <v>-4.5407345726198312E-3</v>
      </c>
    </row>
    <row r="3572" spans="1:7" x14ac:dyDescent="0.25">
      <c r="A3572" s="1">
        <v>40835</v>
      </c>
      <c r="B3572">
        <v>0.38562500476837103</v>
      </c>
      <c r="C3572">
        <f>C3573*(1+G3572*3)</f>
        <v>0.3801178964246627</v>
      </c>
      <c r="D3572">
        <f t="shared" si="111"/>
        <v>0.38585638497519825</v>
      </c>
      <c r="F3572">
        <v>2316.81005859375</v>
      </c>
      <c r="G3572">
        <f t="shared" si="112"/>
        <v>-2.0322493926603902E-2</v>
      </c>
    </row>
    <row r="3573" spans="1:7" x14ac:dyDescent="0.25">
      <c r="A3573" s="1">
        <v>40834</v>
      </c>
      <c r="B3573">
        <v>0.40921899676322898</v>
      </c>
      <c r="C3573">
        <f>C3574*(1+G3573*3)</f>
        <v>0.4047973728802553</v>
      </c>
      <c r="D3573">
        <f t="shared" si="111"/>
        <v>0.41088739558241039</v>
      </c>
      <c r="F3573">
        <v>2364.8701171875</v>
      </c>
      <c r="G3573">
        <f t="shared" si="112"/>
        <v>1.3061384995429748E-2</v>
      </c>
    </row>
    <row r="3574" spans="1:7" x14ac:dyDescent="0.25">
      <c r="A3574" s="1">
        <v>40833</v>
      </c>
      <c r="B3574">
        <v>0.394896000623703</v>
      </c>
      <c r="C3574">
        <f>C3575*(1+G3574*3)</f>
        <v>0.38953381933118109</v>
      </c>
      <c r="D3574">
        <f t="shared" si="111"/>
        <v>0.39537591133143613</v>
      </c>
      <c r="F3574">
        <v>2334.3798828125</v>
      </c>
      <c r="G3574">
        <f t="shared" si="112"/>
        <v>-1.5835164262836154E-2</v>
      </c>
    </row>
    <row r="3575" spans="1:7" x14ac:dyDescent="0.25">
      <c r="A3575" s="1">
        <v>40830</v>
      </c>
      <c r="B3575">
        <v>0.41406300663947998</v>
      </c>
      <c r="C3575">
        <f>C3576*(1+G3575*3)</f>
        <v>0.4089617487365616</v>
      </c>
      <c r="D3575">
        <f t="shared" si="111"/>
        <v>0.41507425796082004</v>
      </c>
      <c r="F3575">
        <v>2371.93994140625</v>
      </c>
      <c r="G3575">
        <f t="shared" si="112"/>
        <v>1.9365012748009169E-2</v>
      </c>
    </row>
    <row r="3576" spans="1:7" x14ac:dyDescent="0.25">
      <c r="A3576" s="1">
        <v>40829</v>
      </c>
      <c r="B3576">
        <v>0.39244800806045499</v>
      </c>
      <c r="C3576">
        <f>C3577*(1+G3576*3)</f>
        <v>0.3865075763092683</v>
      </c>
      <c r="D3576">
        <f t="shared" si="111"/>
        <v>0.39226664828492958</v>
      </c>
      <c r="F3576">
        <v>2326.8798828125</v>
      </c>
      <c r="G3576">
        <f t="shared" si="112"/>
        <v>8.5385413169190016E-3</v>
      </c>
    </row>
    <row r="3577" spans="1:7" x14ac:dyDescent="0.25">
      <c r="A3577" s="1">
        <v>40828</v>
      </c>
      <c r="B3577">
        <v>0.38218799233436501</v>
      </c>
      <c r="C3577">
        <f>C3578*(1+G3577*3)</f>
        <v>0.37685422031736299</v>
      </c>
      <c r="D3577">
        <f t="shared" si="111"/>
        <v>0.38245152217203227</v>
      </c>
      <c r="F3577">
        <v>2307.17993164062</v>
      </c>
      <c r="G3577">
        <f t="shared" si="112"/>
        <v>5.3422385891370716E-3</v>
      </c>
    </row>
    <row r="3578" spans="1:7" x14ac:dyDescent="0.25">
      <c r="A3578" s="1">
        <v>40827</v>
      </c>
      <c r="B3578">
        <v>0.37614598870277399</v>
      </c>
      <c r="C3578">
        <f>C3579*(1+G3578*3)</f>
        <v>0.37090975509706225</v>
      </c>
      <c r="D3578">
        <f t="shared" si="111"/>
        <v>0.37640095035105609</v>
      </c>
      <c r="F3578">
        <v>2294.919921875</v>
      </c>
      <c r="G3578">
        <f t="shared" si="112"/>
        <v>7.1402015353543291E-3</v>
      </c>
    </row>
    <row r="3579" spans="1:7" x14ac:dyDescent="0.25">
      <c r="A3579" s="1">
        <v>40826</v>
      </c>
      <c r="B3579">
        <v>0.36828100681304898</v>
      </c>
      <c r="C3579">
        <f>C3580*(1+G3579*3)</f>
        <v>0.36313126387352751</v>
      </c>
      <c r="D3579">
        <f t="shared" si="111"/>
        <v>0.36848995243610438</v>
      </c>
      <c r="F3579">
        <v>2278.64990234375</v>
      </c>
      <c r="G3579">
        <f t="shared" si="112"/>
        <v>3.4452183733898911E-2</v>
      </c>
    </row>
    <row r="3580" spans="1:7" x14ac:dyDescent="0.25">
      <c r="A3580" s="1">
        <v>40823</v>
      </c>
      <c r="B3580">
        <v>0.33401000499725297</v>
      </c>
      <c r="C3580">
        <f>C3581*(1+G3580*3)</f>
        <v>0.32911506573104676</v>
      </c>
      <c r="D3580">
        <f t="shared" si="111"/>
        <v>0.33395722564869168</v>
      </c>
      <c r="F3580">
        <v>2202.76000976562</v>
      </c>
      <c r="G3580">
        <f t="shared" si="112"/>
        <v>-6.8665686210516164E-3</v>
      </c>
    </row>
    <row r="3581" spans="1:7" x14ac:dyDescent="0.25">
      <c r="A3581" s="1">
        <v>40822</v>
      </c>
      <c r="B3581">
        <v>0.34104201197624201</v>
      </c>
      <c r="C3581">
        <f>C3582*(1+G3581*3)</f>
        <v>0.33603733601193064</v>
      </c>
      <c r="D3581">
        <f t="shared" si="111"/>
        <v>0.34096459943313251</v>
      </c>
      <c r="F3581">
        <v>2217.98999023437</v>
      </c>
      <c r="G3581">
        <f t="shared" si="112"/>
        <v>1.6135447338920139E-2</v>
      </c>
    </row>
    <row r="3582" spans="1:7" x14ac:dyDescent="0.25">
      <c r="A3582" s="1">
        <v>40821</v>
      </c>
      <c r="B3582">
        <v>0.32437500357627802</v>
      </c>
      <c r="C3582">
        <f>C3583*(1+G3582*3)</f>
        <v>0.3205220366804673</v>
      </c>
      <c r="D3582">
        <f t="shared" si="111"/>
        <v>0.32520688483973043</v>
      </c>
      <c r="F3582">
        <v>2182.77001953125</v>
      </c>
      <c r="G3582">
        <f t="shared" si="112"/>
        <v>2.5154897626989969E-2</v>
      </c>
    </row>
    <row r="3583" spans="1:7" x14ac:dyDescent="0.25">
      <c r="A3583" s="1">
        <v>40820</v>
      </c>
      <c r="B3583">
        <v>0.30145800113677901</v>
      </c>
      <c r="C3583">
        <f>C3584*(1+G3583*3)</f>
        <v>0.29803120344364664</v>
      </c>
      <c r="D3583">
        <f t="shared" si="111"/>
        <v>0.30237379814958892</v>
      </c>
      <c r="F3583">
        <v>2129.2099609375</v>
      </c>
      <c r="G3583">
        <f t="shared" si="112"/>
        <v>2.1184207999602744E-2</v>
      </c>
    </row>
    <row r="3584" spans="1:7" x14ac:dyDescent="0.25">
      <c r="A3584" s="1">
        <v>40819</v>
      </c>
      <c r="B3584">
        <v>0.28416699171066201</v>
      </c>
      <c r="C3584">
        <f>C3585*(1+G3584*3)</f>
        <v>0.28022233852716311</v>
      </c>
      <c r="D3584">
        <f t="shared" si="111"/>
        <v>0.28429258689995707</v>
      </c>
      <c r="F3584">
        <v>2085.0400390625</v>
      </c>
      <c r="G3584">
        <f t="shared" si="112"/>
        <v>-2.5308713763314894E-2</v>
      </c>
    </row>
    <row r="3585" spans="1:7" x14ac:dyDescent="0.25">
      <c r="A3585" s="1">
        <v>40816</v>
      </c>
      <c r="B3585">
        <v>0.30833300948143</v>
      </c>
      <c r="C3585">
        <f>C3586*(1+G3585*3)</f>
        <v>0.30324668952147893</v>
      </c>
      <c r="D3585">
        <f t="shared" si="111"/>
        <v>0.30763535871002423</v>
      </c>
      <c r="F3585">
        <v>2139.17993164062</v>
      </c>
      <c r="G3585">
        <f t="shared" si="112"/>
        <v>-2.661898084327885E-2</v>
      </c>
    </row>
    <row r="3586" spans="1:7" x14ac:dyDescent="0.25">
      <c r="A3586" s="1">
        <v>40815</v>
      </c>
      <c r="B3586">
        <v>0.33432298898696899</v>
      </c>
      <c r="C3586">
        <f>C3587*(1+G3586*3)</f>
        <v>0.32956472046338514</v>
      </c>
      <c r="D3586">
        <f t="shared" ref="D3586:D3649" si="113">D3587*(1+3*G3586--0.0000480890792104776)</f>
        <v>0.33431679913855561</v>
      </c>
      <c r="F3586">
        <v>2197.67993164062</v>
      </c>
      <c r="G3586">
        <f t="shared" ref="G3586:G3649" si="114">F3586/F3587-1</f>
        <v>-1.0428556462161898E-2</v>
      </c>
    </row>
    <row r="3587" spans="1:7" x14ac:dyDescent="0.25">
      <c r="A3587" s="1">
        <v>40814</v>
      </c>
      <c r="B3587">
        <v>0.344530999660491</v>
      </c>
      <c r="C3587">
        <f>C3588*(1+G3587*3)</f>
        <v>0.3402083669544379</v>
      </c>
      <c r="D3587">
        <f t="shared" si="113"/>
        <v>0.34509678775999103</v>
      </c>
      <c r="F3587">
        <v>2220.84008789062</v>
      </c>
      <c r="G3587">
        <f t="shared" si="114"/>
        <v>-1.4514858879885795E-2</v>
      </c>
    </row>
    <row r="3588" spans="1:7" x14ac:dyDescent="0.25">
      <c r="A3588" s="1">
        <v>40813</v>
      </c>
      <c r="B3588">
        <v>0.36156299710273698</v>
      </c>
      <c r="C3588">
        <f>C3589*(1+G3588*3)</f>
        <v>0.35569704415410597</v>
      </c>
      <c r="D3588">
        <f t="shared" si="113"/>
        <v>0.36078988030041309</v>
      </c>
      <c r="F3588">
        <v>2253.55004882812</v>
      </c>
      <c r="G3588">
        <f t="shared" si="114"/>
        <v>8.6247109935071453E-3</v>
      </c>
    </row>
    <row r="3589" spans="1:7" x14ac:dyDescent="0.25">
      <c r="A3589" s="1">
        <v>40812</v>
      </c>
      <c r="B3589">
        <v>0.35083299875259399</v>
      </c>
      <c r="C3589">
        <f>C3590*(1+G3589*3)</f>
        <v>0.34672581432644395</v>
      </c>
      <c r="D3589">
        <f t="shared" si="113"/>
        <v>0.35167371613810988</v>
      </c>
      <c r="F3589">
        <v>2234.28002929687</v>
      </c>
      <c r="G3589">
        <f t="shared" si="114"/>
        <v>1.242485728152154E-2</v>
      </c>
    </row>
    <row r="3590" spans="1:7" x14ac:dyDescent="0.25">
      <c r="A3590" s="1">
        <v>40809</v>
      </c>
      <c r="B3590">
        <v>0.33932301402091902</v>
      </c>
      <c r="C3590">
        <f>C3591*(1+G3590*3)</f>
        <v>0.3342661853841345</v>
      </c>
      <c r="D3590">
        <f t="shared" si="113"/>
        <v>0.33902056648885998</v>
      </c>
      <c r="F3590">
        <v>2206.86010742187</v>
      </c>
      <c r="G3590">
        <f t="shared" si="114"/>
        <v>1.019414106778882E-2</v>
      </c>
    </row>
    <row r="3591" spans="1:7" x14ac:dyDescent="0.25">
      <c r="A3591" s="1">
        <v>40808</v>
      </c>
      <c r="B3591">
        <v>0.32906299829482999</v>
      </c>
      <c r="C3591">
        <f>C3592*(1+G3591*3)</f>
        <v>0.32434687207757007</v>
      </c>
      <c r="D3591">
        <f t="shared" si="113"/>
        <v>0.3289448181948525</v>
      </c>
      <c r="F3591">
        <v>2184.59008789062</v>
      </c>
      <c r="G3591">
        <f t="shared" si="114"/>
        <v>-3.2639578153376814E-2</v>
      </c>
    </row>
    <row r="3592" spans="1:7" x14ac:dyDescent="0.25">
      <c r="A3592" s="1">
        <v>40807</v>
      </c>
      <c r="B3592">
        <v>0.364531010389328</v>
      </c>
      <c r="C3592">
        <f>C3593*(1+G3592*3)</f>
        <v>0.35955393872796798</v>
      </c>
      <c r="D3592">
        <f t="shared" si="113"/>
        <v>0.36463154259485098</v>
      </c>
      <c r="F3592">
        <v>2258.30004882812</v>
      </c>
      <c r="G3592">
        <f t="shared" si="114"/>
        <v>-1.6372668337238605E-2</v>
      </c>
    </row>
    <row r="3593" spans="1:7" x14ac:dyDescent="0.25">
      <c r="A3593" s="1">
        <v>40806</v>
      </c>
      <c r="B3593">
        <v>0.38406300544738697</v>
      </c>
      <c r="C3593">
        <f>C3594*(1+G3593*3)</f>
        <v>0.37812677137965794</v>
      </c>
      <c r="D3593">
        <f t="shared" si="113"/>
        <v>0.38344726778984767</v>
      </c>
      <c r="F3593">
        <v>2295.88989257812</v>
      </c>
      <c r="G3593">
        <f t="shared" si="114"/>
        <v>-5.5744716354501067E-3</v>
      </c>
    </row>
    <row r="3594" spans="1:7" x14ac:dyDescent="0.25">
      <c r="A3594" s="1">
        <v>40805</v>
      </c>
      <c r="B3594">
        <v>0.38958299160003601</v>
      </c>
      <c r="C3594">
        <f>C3595*(1+G3594*3)</f>
        <v>0.38455789257266226</v>
      </c>
      <c r="D3594">
        <f t="shared" si="113"/>
        <v>0.38994980789268885</v>
      </c>
      <c r="F3594">
        <v>2308.76000976562</v>
      </c>
      <c r="G3594">
        <f t="shared" si="114"/>
        <v>1.1577699800280339E-3</v>
      </c>
    </row>
    <row r="3595" spans="1:7" x14ac:dyDescent="0.25">
      <c r="A3595" s="1">
        <v>40802</v>
      </c>
      <c r="B3595">
        <v>0.38859400153160001</v>
      </c>
      <c r="C3595">
        <f>C3596*(1+G3595*3)</f>
        <v>0.38322682702504929</v>
      </c>
      <c r="D3595">
        <f t="shared" si="113"/>
        <v>0.38858145752922935</v>
      </c>
      <c r="F3595">
        <v>2306.09008789062</v>
      </c>
      <c r="G3595">
        <f t="shared" si="114"/>
        <v>8.5412273443108422E-3</v>
      </c>
    </row>
    <row r="3596" spans="1:7" x14ac:dyDescent="0.25">
      <c r="A3596" s="1">
        <v>40801</v>
      </c>
      <c r="B3596">
        <v>0.37869799137115401</v>
      </c>
      <c r="C3596">
        <f>C3597*(1+G3596*3)</f>
        <v>0.37365247481945718</v>
      </c>
      <c r="D3596">
        <f t="shared" si="113"/>
        <v>0.37885556420051197</v>
      </c>
      <c r="F3596">
        <v>2286.56005859375</v>
      </c>
      <c r="G3596">
        <f t="shared" si="114"/>
        <v>1.5008349170458235E-2</v>
      </c>
    </row>
    <row r="3597" spans="1:7" x14ac:dyDescent="0.25">
      <c r="A3597" s="1">
        <v>40800</v>
      </c>
      <c r="B3597">
        <v>0.36223998665809598</v>
      </c>
      <c r="C3597">
        <f>C3598*(1+G3597*3)</f>
        <v>0.35755360669036035</v>
      </c>
      <c r="D3597">
        <f t="shared" si="113"/>
        <v>0.36251583830436868</v>
      </c>
      <c r="F3597">
        <v>2252.75</v>
      </c>
      <c r="G3597">
        <f t="shared" si="114"/>
        <v>1.4487170353326473E-2</v>
      </c>
    </row>
    <row r="3598" spans="1:7" x14ac:dyDescent="0.25">
      <c r="A3598" s="1">
        <v>40799</v>
      </c>
      <c r="B3598">
        <v>0.347240000963211</v>
      </c>
      <c r="C3598">
        <f>C3599*(1+G3598*3)</f>
        <v>0.34266104010597065</v>
      </c>
      <c r="D3598">
        <f t="shared" si="113"/>
        <v>0.34740057806465224</v>
      </c>
      <c r="F3598">
        <v>2220.580078125</v>
      </c>
      <c r="G3598">
        <f t="shared" si="114"/>
        <v>1.3112265987451188E-2</v>
      </c>
    </row>
    <row r="3599" spans="1:7" x14ac:dyDescent="0.25">
      <c r="A3599" s="1">
        <v>40798</v>
      </c>
      <c r="B3599">
        <v>0.33427101373672402</v>
      </c>
      <c r="C3599">
        <f>C3600*(1+G3599*3)</f>
        <v>0.32969201203860615</v>
      </c>
      <c r="D3599">
        <f t="shared" si="113"/>
        <v>0.3342367032615513</v>
      </c>
      <c r="F3599">
        <v>2191.84008789062</v>
      </c>
      <c r="G3599">
        <f t="shared" si="114"/>
        <v>1.3024309238033993E-2</v>
      </c>
    </row>
    <row r="3600" spans="1:7" x14ac:dyDescent="0.25">
      <c r="A3600" s="1">
        <v>40795</v>
      </c>
      <c r="B3600">
        <v>0.32218798995018</v>
      </c>
      <c r="C3600">
        <f>C3601*(1+G3600*3)</f>
        <v>0.31729439122613728</v>
      </c>
      <c r="D3600">
        <f t="shared" si="113"/>
        <v>0.32165329914411023</v>
      </c>
      <c r="F3600">
        <v>2163.65991210937</v>
      </c>
      <c r="G3600">
        <f t="shared" si="114"/>
        <v>-2.2865173965451291E-2</v>
      </c>
    </row>
    <row r="3601" spans="1:7" x14ac:dyDescent="0.25">
      <c r="A3601" s="1">
        <v>40794</v>
      </c>
      <c r="B3601">
        <v>0.34489598870277399</v>
      </c>
      <c r="C3601">
        <f>C3602*(1+G3601*3)</f>
        <v>0.34066229944712478</v>
      </c>
      <c r="D3601">
        <f t="shared" si="113"/>
        <v>0.34532440027186634</v>
      </c>
      <c r="F3601">
        <v>2214.2900390625</v>
      </c>
      <c r="G3601">
        <f t="shared" si="114"/>
        <v>-4.254057757166918E-3</v>
      </c>
    </row>
    <row r="3602" spans="1:7" x14ac:dyDescent="0.25">
      <c r="A3602" s="1">
        <v>40793</v>
      </c>
      <c r="B3602">
        <v>0.34973999857902499</v>
      </c>
      <c r="C3602">
        <f>C3603*(1+G3602*3)</f>
        <v>0.34506609271244071</v>
      </c>
      <c r="D3602">
        <f t="shared" si="113"/>
        <v>0.34977142359956848</v>
      </c>
      <c r="F3602">
        <v>2223.75</v>
      </c>
      <c r="G3602">
        <f t="shared" si="114"/>
        <v>2.5904179652170622E-2</v>
      </c>
    </row>
    <row r="3603" spans="1:7" x14ac:dyDescent="0.25">
      <c r="A3603" s="1">
        <v>40792</v>
      </c>
      <c r="B3603">
        <v>0.32515600323677002</v>
      </c>
      <c r="C3603">
        <f>C3604*(1+G3603*3)</f>
        <v>0.32018379692097554</v>
      </c>
      <c r="D3603">
        <f t="shared" si="113"/>
        <v>0.32453535089423891</v>
      </c>
      <c r="F3603">
        <v>2167.60009765625</v>
      </c>
      <c r="G3603">
        <f t="shared" si="114"/>
        <v>-1.0608786688159899E-4</v>
      </c>
    </row>
    <row r="3604" spans="1:7" x14ac:dyDescent="0.25">
      <c r="A3604" s="1">
        <v>40788</v>
      </c>
      <c r="B3604">
        <v>0.32520800828933699</v>
      </c>
      <c r="C3604">
        <f>C3605*(1+G3604*3)</f>
        <v>0.32028573221134427</v>
      </c>
      <c r="D3604">
        <f t="shared" si="113"/>
        <v>0.3246230557729789</v>
      </c>
      <c r="F3604">
        <v>2167.830078125</v>
      </c>
      <c r="G3604">
        <f t="shared" si="114"/>
        <v>-2.3081935772547912E-2</v>
      </c>
    </row>
    <row r="3605" spans="1:7" x14ac:dyDescent="0.25">
      <c r="A3605" s="1">
        <v>40787</v>
      </c>
      <c r="B3605">
        <v>0.34968799352645802</v>
      </c>
      <c r="C3605">
        <f>C3606*(1+G3605*3)</f>
        <v>0.34411419763612067</v>
      </c>
      <c r="D3605">
        <f t="shared" si="113"/>
        <v>0.34875618821928711</v>
      </c>
      <c r="F3605">
        <v>2219.05004882812</v>
      </c>
      <c r="G3605">
        <f t="shared" si="114"/>
        <v>-9.7991355869921914E-3</v>
      </c>
    </row>
    <row r="3606" spans="1:7" x14ac:dyDescent="0.25">
      <c r="A3606" s="1">
        <v>40786</v>
      </c>
      <c r="B3606">
        <v>0.35984399914741499</v>
      </c>
      <c r="C3606">
        <f>C3607*(1+G3606*3)</f>
        <v>0.35453665592193417</v>
      </c>
      <c r="D3606">
        <f t="shared" si="113"/>
        <v>0.35930144033520106</v>
      </c>
      <c r="F3606">
        <v>2241.01000976562</v>
      </c>
      <c r="G3606">
        <f t="shared" si="114"/>
        <v>1.4837034827459572E-3</v>
      </c>
    </row>
    <row r="3607" spans="1:7" x14ac:dyDescent="0.25">
      <c r="A3607" s="1">
        <v>40785</v>
      </c>
      <c r="B3607">
        <v>0.35776001214981001</v>
      </c>
      <c r="C3607">
        <f>C3608*(1+G3607*3)</f>
        <v>0.35296556719791133</v>
      </c>
      <c r="D3607">
        <f t="shared" si="113"/>
        <v>0.35769211215322927</v>
      </c>
      <c r="F3607">
        <v>2237.68994140625</v>
      </c>
      <c r="G3607">
        <f t="shared" si="114"/>
        <v>6.1736635145905883E-3</v>
      </c>
    </row>
    <row r="3608" spans="1:7" x14ac:dyDescent="0.25">
      <c r="A3608" s="1">
        <v>40784</v>
      </c>
      <c r="B3608">
        <v>0.35062500834464999</v>
      </c>
      <c r="C3608">
        <f>C3609*(1+G3608*3)</f>
        <v>0.34654717033319926</v>
      </c>
      <c r="D3608">
        <f t="shared" si="113"/>
        <v>0.35117118643109313</v>
      </c>
      <c r="F3608">
        <v>2223.9599609375</v>
      </c>
      <c r="G3608">
        <f t="shared" si="114"/>
        <v>2.8672919177605172E-2</v>
      </c>
    </row>
    <row r="3609" spans="1:7" x14ac:dyDescent="0.25">
      <c r="A3609" s="1">
        <v>40781</v>
      </c>
      <c r="B3609">
        <v>0.32312500476837103</v>
      </c>
      <c r="C3609">
        <f>C3610*(1+G3609*3)</f>
        <v>0.31909869689587556</v>
      </c>
      <c r="D3609">
        <f t="shared" si="113"/>
        <v>0.32334214742542589</v>
      </c>
      <c r="F3609">
        <v>2161.96997070312</v>
      </c>
      <c r="G3609">
        <f t="shared" si="114"/>
        <v>2.5500311051425584E-2</v>
      </c>
    </row>
    <row r="3610" spans="1:7" x14ac:dyDescent="0.25">
      <c r="A3610" s="1">
        <v>40780</v>
      </c>
      <c r="B3610">
        <v>0.30135399103164601</v>
      </c>
      <c r="C3610">
        <f>C3611*(1+G3610*3)</f>
        <v>0.29642212753209429</v>
      </c>
      <c r="D3610">
        <f t="shared" si="113"/>
        <v>0.3003506024784609</v>
      </c>
      <c r="F3610">
        <v>2108.2099609375</v>
      </c>
      <c r="G3610">
        <f t="shared" si="114"/>
        <v>-1.7169879095169094E-2</v>
      </c>
    </row>
    <row r="3611" spans="1:7" x14ac:dyDescent="0.25">
      <c r="A3611" s="1">
        <v>40779</v>
      </c>
      <c r="B3611">
        <v>0.316563010215759</v>
      </c>
      <c r="C3611">
        <f>C3612*(1+G3611*3)</f>
        <v>0.31251991499814635</v>
      </c>
      <c r="D3611">
        <f t="shared" si="113"/>
        <v>0.31664567937176669</v>
      </c>
      <c r="F3611">
        <v>2145.0400390625</v>
      </c>
      <c r="G3611">
        <f t="shared" si="114"/>
        <v>7.4063032807467621E-3</v>
      </c>
    </row>
    <row r="3612" spans="1:7" x14ac:dyDescent="0.25">
      <c r="A3612" s="1">
        <v>40778</v>
      </c>
      <c r="B3612">
        <v>0.30927100777625999</v>
      </c>
      <c r="C3612">
        <f>C3613*(1+G3612*3)</f>
        <v>0.30572699447164187</v>
      </c>
      <c r="D3612">
        <f t="shared" si="113"/>
        <v>0.30974850964165496</v>
      </c>
      <c r="F3612">
        <v>2129.27001953125</v>
      </c>
      <c r="G3612">
        <f t="shared" si="114"/>
        <v>4.134533159391518E-2</v>
      </c>
    </row>
    <row r="3613" spans="1:7" x14ac:dyDescent="0.25">
      <c r="A3613" s="1">
        <v>40777</v>
      </c>
      <c r="B3613">
        <v>0.27520799636840798</v>
      </c>
      <c r="C3613">
        <f>C3614*(1+G3613*3)</f>
        <v>0.27199039522840635</v>
      </c>
      <c r="D3613">
        <f t="shared" si="113"/>
        <v>0.27555635213492569</v>
      </c>
      <c r="F3613">
        <v>2044.72998046875</v>
      </c>
      <c r="G3613">
        <f t="shared" si="114"/>
        <v>3.1939681973502942E-3</v>
      </c>
    </row>
    <row r="3614" spans="1:7" x14ac:dyDescent="0.25">
      <c r="A3614" s="1">
        <v>40774</v>
      </c>
      <c r="B3614">
        <v>0.27276000380516002</v>
      </c>
      <c r="C3614">
        <f>C3615*(1+G3614*3)</f>
        <v>0.26940894442666491</v>
      </c>
      <c r="D3614">
        <f t="shared" si="113"/>
        <v>0.27292805667642206</v>
      </c>
      <c r="F3614">
        <v>2038.21997070312</v>
      </c>
      <c r="G3614">
        <f t="shared" si="114"/>
        <v>-1.6791873779829825E-2</v>
      </c>
    </row>
    <row r="3615" spans="1:7" x14ac:dyDescent="0.25">
      <c r="A3615" s="1">
        <v>40773</v>
      </c>
      <c r="B3615">
        <v>0.28895801305770802</v>
      </c>
      <c r="C3615">
        <f>C3616*(1+G3615*3)</f>
        <v>0.28370053515967941</v>
      </c>
      <c r="D3615">
        <f t="shared" si="113"/>
        <v>0.2873917755307866</v>
      </c>
      <c r="F3615">
        <v>2073.03002929687</v>
      </c>
      <c r="G3615">
        <f t="shared" si="114"/>
        <v>-4.9774975503353081E-2</v>
      </c>
    </row>
    <row r="3616" spans="1:7" x14ac:dyDescent="0.25">
      <c r="A3616" s="1">
        <v>40772</v>
      </c>
      <c r="B3616">
        <v>0.33796900510787897</v>
      </c>
      <c r="C3616">
        <f>C3617*(1+G3616*3)</f>
        <v>0.33350046804096717</v>
      </c>
      <c r="D3616">
        <f t="shared" si="113"/>
        <v>0.33782056040754138</v>
      </c>
      <c r="F3616">
        <v>2181.6201171875</v>
      </c>
      <c r="G3616">
        <f t="shared" si="114"/>
        <v>-5.7649706878154516E-3</v>
      </c>
    </row>
    <row r="3617" spans="1:7" x14ac:dyDescent="0.25">
      <c r="A3617" s="1">
        <v>40771</v>
      </c>
      <c r="B3617">
        <v>0.343542009592056</v>
      </c>
      <c r="C3617">
        <f>C3618*(1+G3617*3)</f>
        <v>0.33936983957337458</v>
      </c>
      <c r="D3617">
        <f t="shared" si="113"/>
        <v>0.34374914099323484</v>
      </c>
      <c r="F3617">
        <v>2194.27001953125</v>
      </c>
      <c r="G3617">
        <f t="shared" si="114"/>
        <v>-8.9652307036822698E-3</v>
      </c>
    </row>
    <row r="3618" spans="1:7" x14ac:dyDescent="0.25">
      <c r="A3618" s="1">
        <v>40770</v>
      </c>
      <c r="B3618">
        <v>0.35260400176048201</v>
      </c>
      <c r="C3618">
        <f>C3619*(1+G3618*3)</f>
        <v>0.34874970424249946</v>
      </c>
      <c r="D3618">
        <f t="shared" si="113"/>
        <v>0.35323258932945983</v>
      </c>
      <c r="F3618">
        <v>2214.1201171875</v>
      </c>
      <c r="G3618">
        <f t="shared" si="114"/>
        <v>1.4697219422901586E-2</v>
      </c>
    </row>
    <row r="3619" spans="1:7" x14ac:dyDescent="0.25">
      <c r="A3619" s="1">
        <v>40767</v>
      </c>
      <c r="B3619">
        <v>0.338021010160446</v>
      </c>
      <c r="C3619">
        <f>C3620*(1+G3619*3)</f>
        <v>0.33402211528132536</v>
      </c>
      <c r="D3619">
        <f t="shared" si="113"/>
        <v>0.33830010803310612</v>
      </c>
      <c r="F3619">
        <v>2182.05004882812</v>
      </c>
      <c r="G3619">
        <f t="shared" si="114"/>
        <v>6.9125501235365316E-3</v>
      </c>
    </row>
    <row r="3620" spans="1:7" x14ac:dyDescent="0.25">
      <c r="A3620" s="1">
        <v>40766</v>
      </c>
      <c r="B3620">
        <v>0.32963499426841703</v>
      </c>
      <c r="C3620">
        <f>C3621*(1+G3620*3)</f>
        <v>0.32723600933114261</v>
      </c>
      <c r="D3620">
        <f t="shared" si="113"/>
        <v>0.33141147545364619</v>
      </c>
      <c r="F3620">
        <v>2167.07006835937</v>
      </c>
      <c r="G3620">
        <f t="shared" si="114"/>
        <v>4.5333283400324831E-2</v>
      </c>
    </row>
    <row r="3621" spans="1:7" x14ac:dyDescent="0.25">
      <c r="A3621" s="1">
        <v>40765</v>
      </c>
      <c r="B3621">
        <v>0.292135000228881</v>
      </c>
      <c r="C3621">
        <f>C3622*(1+G3621*3)</f>
        <v>0.28805990535408071</v>
      </c>
      <c r="D3621">
        <f t="shared" si="113"/>
        <v>0.29172314300718055</v>
      </c>
      <c r="F3621">
        <v>2073.09008789062</v>
      </c>
      <c r="G3621">
        <f t="shared" si="114"/>
        <v>-4.0586984198580534E-2</v>
      </c>
    </row>
    <row r="3622" spans="1:7" x14ac:dyDescent="0.25">
      <c r="A3622" s="1">
        <v>40764</v>
      </c>
      <c r="B3622">
        <v>0.33119800686836198</v>
      </c>
      <c r="C3622">
        <f>C3623*(1+G3622*3)</f>
        <v>0.32799715089584841</v>
      </c>
      <c r="D3622">
        <f t="shared" si="113"/>
        <v>0.33215008041128402</v>
      </c>
      <c r="F3622">
        <v>2160.7900390625</v>
      </c>
      <c r="G3622">
        <f t="shared" si="114"/>
        <v>4.8779539819418183E-2</v>
      </c>
    </row>
    <row r="3623" spans="1:7" x14ac:dyDescent="0.25">
      <c r="A3623" s="1">
        <v>40763</v>
      </c>
      <c r="B3623">
        <v>0.29130199551582298</v>
      </c>
      <c r="C3623">
        <f>C3624*(1+G3623*3)</f>
        <v>0.28612588403490741</v>
      </c>
      <c r="D3623">
        <f t="shared" si="113"/>
        <v>0.28973650683287649</v>
      </c>
      <c r="F3623">
        <v>2060.2900390625</v>
      </c>
      <c r="G3623">
        <f t="shared" si="114"/>
        <v>-6.1106030364322939E-2</v>
      </c>
    </row>
    <row r="3624" spans="1:7" x14ac:dyDescent="0.25">
      <c r="A3624" s="1">
        <v>40760</v>
      </c>
      <c r="B3624">
        <v>0.35338500142097401</v>
      </c>
      <c r="C3624">
        <f>C3625*(1+G3624*3)</f>
        <v>0.35035168639627501</v>
      </c>
      <c r="D3624">
        <f t="shared" si="113"/>
        <v>0.35475188562592419</v>
      </c>
      <c r="F3624">
        <v>2194.3798828125</v>
      </c>
      <c r="G3624">
        <f t="shared" si="114"/>
        <v>-5.8082949632920489E-3</v>
      </c>
    </row>
    <row r="3625" spans="1:7" x14ac:dyDescent="0.25">
      <c r="A3625" s="1">
        <v>40759</v>
      </c>
      <c r="B3625">
        <v>0.36135399341583202</v>
      </c>
      <c r="C3625">
        <f>C3626*(1+G3625*3)</f>
        <v>0.35656478676137521</v>
      </c>
      <c r="D3625">
        <f t="shared" si="113"/>
        <v>0.36102534940500924</v>
      </c>
      <c r="F3625">
        <v>2207.19995117187</v>
      </c>
      <c r="G3625">
        <f t="shared" si="114"/>
        <v>-4.5650721982885001E-2</v>
      </c>
    </row>
    <row r="3626" spans="1:7" x14ac:dyDescent="0.25">
      <c r="A3626" s="1">
        <v>40758</v>
      </c>
      <c r="B3626">
        <v>0.418280988931655</v>
      </c>
      <c r="C3626">
        <f>C3627*(1+G3626*3)</f>
        <v>0.41314603049008086</v>
      </c>
      <c r="D3626">
        <f t="shared" si="113"/>
        <v>0.41829110731461427</v>
      </c>
      <c r="F3626">
        <v>2312.78002929687</v>
      </c>
      <c r="G3626">
        <f t="shared" si="114"/>
        <v>8.6922087322640618E-3</v>
      </c>
    </row>
    <row r="3627" spans="1:7" x14ac:dyDescent="0.25">
      <c r="A3627" s="1">
        <v>40757</v>
      </c>
      <c r="B3627">
        <v>0.40770798921585</v>
      </c>
      <c r="C3627">
        <f>C3628*(1+G3627*3)</f>
        <v>0.40264637156917676</v>
      </c>
      <c r="D3627">
        <f t="shared" si="113"/>
        <v>0.40764158692162883</v>
      </c>
      <c r="F3627">
        <v>2292.85009765625</v>
      </c>
      <c r="G3627">
        <f t="shared" si="114"/>
        <v>-2.5997727279560734E-2</v>
      </c>
    </row>
    <row r="3628" spans="1:7" x14ac:dyDescent="0.25">
      <c r="A3628" s="1">
        <v>40756</v>
      </c>
      <c r="B3628">
        <v>0.44119799137115401</v>
      </c>
      <c r="C3628">
        <f>C3629*(1+G3628*3)</f>
        <v>0.43670650112126203</v>
      </c>
      <c r="D3628">
        <f t="shared" si="113"/>
        <v>0.44210120646892342</v>
      </c>
      <c r="F3628">
        <v>2354.05004882812</v>
      </c>
      <c r="G3628">
        <f t="shared" si="114"/>
        <v>-3.7074540688402102E-3</v>
      </c>
    </row>
    <row r="3629" spans="1:7" x14ac:dyDescent="0.25">
      <c r="A3629" s="1">
        <v>40753</v>
      </c>
      <c r="B3629">
        <v>0.44723999500274603</v>
      </c>
      <c r="C3629">
        <f>C3630*(1+G3629*3)</f>
        <v>0.44161834025866131</v>
      </c>
      <c r="D3629">
        <f t="shared" si="113"/>
        <v>0.44705198222215697</v>
      </c>
      <c r="F3629">
        <v>2362.81005859375</v>
      </c>
      <c r="G3629">
        <f t="shared" si="114"/>
        <v>-3.777752844380311E-3</v>
      </c>
    </row>
    <row r="3630" spans="1:7" x14ac:dyDescent="0.25">
      <c r="A3630" s="1">
        <v>40752</v>
      </c>
      <c r="B3630">
        <v>0.45161500573158198</v>
      </c>
      <c r="C3630">
        <f>C3631*(1+G3630*3)</f>
        <v>0.44668068797726895</v>
      </c>
      <c r="D3630">
        <f t="shared" si="113"/>
        <v>0.45215462377078847</v>
      </c>
      <c r="F3630">
        <v>2371.77001953125</v>
      </c>
      <c r="G3630">
        <f t="shared" si="114"/>
        <v>1.9475268224578013E-3</v>
      </c>
    </row>
    <row r="3631" spans="1:7" x14ac:dyDescent="0.25">
      <c r="A3631" s="1">
        <v>40751</v>
      </c>
      <c r="B3631">
        <v>0.44921898841857899</v>
      </c>
      <c r="C3631">
        <f>C3632*(1+G3631*3)</f>
        <v>0.44408607932437594</v>
      </c>
      <c r="D3631">
        <f t="shared" si="113"/>
        <v>0.44950672817613674</v>
      </c>
      <c r="F3631">
        <v>2367.15991210937</v>
      </c>
      <c r="G3631">
        <f t="shared" si="114"/>
        <v>-2.5639564639911128E-2</v>
      </c>
    </row>
    <row r="3632" spans="1:7" x14ac:dyDescent="0.25">
      <c r="A3632" s="1">
        <v>40750</v>
      </c>
      <c r="B3632">
        <v>0.48609399795532199</v>
      </c>
      <c r="C3632">
        <f>C3633*(1+G3632*3)</f>
        <v>0.48109096825947462</v>
      </c>
      <c r="D3632">
        <f t="shared" si="113"/>
        <v>0.48693794232224757</v>
      </c>
      <c r="F3632">
        <v>2429.44995117187</v>
      </c>
      <c r="G3632">
        <f t="shared" si="114"/>
        <v>2.1863535844033333E-3</v>
      </c>
    </row>
    <row r="3633" spans="1:7" x14ac:dyDescent="0.25">
      <c r="A3633" s="1">
        <v>40749</v>
      </c>
      <c r="B3633">
        <v>0.48343798518180803</v>
      </c>
      <c r="C3633">
        <f>C3634*(1+G3633*3)</f>
        <v>0.47795602564987427</v>
      </c>
      <c r="D3633">
        <f t="shared" si="113"/>
        <v>0.48374178784972149</v>
      </c>
      <c r="F3633">
        <v>2424.14990234375</v>
      </c>
      <c r="G3633">
        <f t="shared" si="114"/>
        <v>-2.2021393933937539E-3</v>
      </c>
    </row>
    <row r="3634" spans="1:7" x14ac:dyDescent="0.25">
      <c r="A3634" s="1">
        <v>40746</v>
      </c>
      <c r="B3634">
        <v>0.48630198836326599</v>
      </c>
      <c r="C3634">
        <f>C3635*(1+G3634*3)</f>
        <v>0.48113460203185177</v>
      </c>
      <c r="D3634">
        <f t="shared" si="113"/>
        <v>0.48693526959861916</v>
      </c>
      <c r="F3634">
        <v>2429.5</v>
      </c>
      <c r="G3634">
        <f t="shared" si="114"/>
        <v>1.0506442729607768E-2</v>
      </c>
    </row>
    <row r="3635" spans="1:7" x14ac:dyDescent="0.25">
      <c r="A3635" s="1">
        <v>40745</v>
      </c>
      <c r="B3635">
        <v>0.47166699171066201</v>
      </c>
      <c r="C3635">
        <f>C3636*(1+G3635*3)</f>
        <v>0.46643294883930508</v>
      </c>
      <c r="D3635">
        <f t="shared" si="113"/>
        <v>0.47203436386949976</v>
      </c>
      <c r="F3635">
        <v>2404.23999023437</v>
      </c>
      <c r="G3635">
        <f t="shared" si="114"/>
        <v>6.8849740640211099E-3</v>
      </c>
    </row>
    <row r="3636" spans="1:7" x14ac:dyDescent="0.25">
      <c r="A3636" s="1">
        <v>40744</v>
      </c>
      <c r="B3636">
        <v>0.46229198575019798</v>
      </c>
      <c r="C3636">
        <f>C3637*(1+G3636*3)</f>
        <v>0.45699377791422963</v>
      </c>
      <c r="D3636">
        <f t="shared" si="113"/>
        <v>0.46246004827749693</v>
      </c>
      <c r="F3636">
        <v>2387.80004882812</v>
      </c>
      <c r="G3636">
        <f t="shared" si="114"/>
        <v>-4.3240776861934727E-3</v>
      </c>
    </row>
    <row r="3637" spans="1:7" x14ac:dyDescent="0.25">
      <c r="A3637" s="1">
        <v>40743</v>
      </c>
      <c r="B3637">
        <v>0.468854010105133</v>
      </c>
      <c r="C3637">
        <f>C3638*(1+G3637*3)</f>
        <v>0.46299992079285884</v>
      </c>
      <c r="D3637">
        <f t="shared" si="113"/>
        <v>0.46851520625972176</v>
      </c>
      <c r="F3637">
        <v>2398.169921875</v>
      </c>
      <c r="G3637">
        <f t="shared" si="114"/>
        <v>2.3105665881860027E-2</v>
      </c>
    </row>
    <row r="3638" spans="1:7" x14ac:dyDescent="0.25">
      <c r="A3638" s="1">
        <v>40742</v>
      </c>
      <c r="B3638">
        <v>0.43796899914741499</v>
      </c>
      <c r="C3638">
        <f>C3639*(1+G3638*3)</f>
        <v>0.43298659033036141</v>
      </c>
      <c r="D3638">
        <f t="shared" si="113"/>
        <v>0.4381246517919074</v>
      </c>
      <c r="F3638">
        <v>2344.01000976562</v>
      </c>
      <c r="G3638">
        <f t="shared" si="114"/>
        <v>-5.3719496276795065E-3</v>
      </c>
    </row>
    <row r="3639" spans="1:7" x14ac:dyDescent="0.25">
      <c r="A3639" s="1">
        <v>40739</v>
      </c>
      <c r="B3639">
        <v>0.44531300663947998</v>
      </c>
      <c r="C3639">
        <f>C3640*(1+G3639*3)</f>
        <v>0.44007883432090078</v>
      </c>
      <c r="D3639">
        <f t="shared" si="113"/>
        <v>0.44527929250956966</v>
      </c>
      <c r="F3639">
        <v>2356.669921875</v>
      </c>
      <c r="G3639">
        <f t="shared" si="114"/>
        <v>1.3595288932178651E-2</v>
      </c>
    </row>
    <row r="3640" spans="1:7" x14ac:dyDescent="0.25">
      <c r="A3640" s="1">
        <v>40738</v>
      </c>
      <c r="B3640">
        <v>0.428281009197235</v>
      </c>
      <c r="C3640">
        <f>C3641*(1+G3640*3)</f>
        <v>0.42283321513140043</v>
      </c>
      <c r="D3640">
        <f t="shared" si="113"/>
        <v>0.42781011322302265</v>
      </c>
      <c r="F3640">
        <v>2325.06005859375</v>
      </c>
      <c r="G3640">
        <f t="shared" si="114"/>
        <v>-1.1634724026735155E-2</v>
      </c>
    </row>
    <row r="3641" spans="1:7" x14ac:dyDescent="0.25">
      <c r="A3641" s="1">
        <v>40737</v>
      </c>
      <c r="B3641">
        <v>0.44354200363159102</v>
      </c>
      <c r="C3641">
        <f>C3642*(1+G3641*3)</f>
        <v>0.43812562742374689</v>
      </c>
      <c r="D3641">
        <f t="shared" si="113"/>
        <v>0.44326043576303625</v>
      </c>
      <c r="F3641">
        <v>2352.42993164062</v>
      </c>
      <c r="G3641">
        <f t="shared" si="114"/>
        <v>3.6862911925232833E-3</v>
      </c>
    </row>
    <row r="3642" spans="1:7" x14ac:dyDescent="0.25">
      <c r="A3642" s="1">
        <v>40736</v>
      </c>
      <c r="B3642">
        <v>0.437707990407943</v>
      </c>
      <c r="C3642">
        <f>C3643*(1+G3642*3)</f>
        <v>0.43333344760969872</v>
      </c>
      <c r="D3642">
        <f t="shared" si="113"/>
        <v>0.43839124062436186</v>
      </c>
      <c r="F3642">
        <v>2343.7900390625</v>
      </c>
      <c r="G3642">
        <f t="shared" si="114"/>
        <v>-7.7095516246824536E-3</v>
      </c>
    </row>
    <row r="3643" spans="1:7" x14ac:dyDescent="0.25">
      <c r="A3643" s="1">
        <v>40735</v>
      </c>
      <c r="B3643">
        <v>0.44864600896835299</v>
      </c>
      <c r="C3643">
        <f>C3644*(1+G3643*3)</f>
        <v>0.44359316072868016</v>
      </c>
      <c r="D3643">
        <f t="shared" si="113"/>
        <v>0.44874861250052189</v>
      </c>
      <c r="F3643">
        <v>2362</v>
      </c>
      <c r="G3643">
        <f t="shared" si="114"/>
        <v>-1.8242685466826614E-2</v>
      </c>
    </row>
    <row r="3644" spans="1:7" x14ac:dyDescent="0.25">
      <c r="A3644" s="1">
        <v>40732</v>
      </c>
      <c r="B3644">
        <v>0.47406300902366599</v>
      </c>
      <c r="C3644">
        <f>C3645*(1+G3644*3)</f>
        <v>0.46927570815178621</v>
      </c>
      <c r="D3644">
        <f t="shared" si="113"/>
        <v>0.47470549336494405</v>
      </c>
      <c r="F3644">
        <v>2405.88989257812</v>
      </c>
      <c r="G3644">
        <f t="shared" si="114"/>
        <v>-2.9010855495443799E-3</v>
      </c>
    </row>
    <row r="3645" spans="1:7" x14ac:dyDescent="0.25">
      <c r="A3645" s="1">
        <v>40731</v>
      </c>
      <c r="B3645">
        <v>0.47802099585533098</v>
      </c>
      <c r="C3645">
        <f>C3646*(1+G3645*3)</f>
        <v>0.47339579323670855</v>
      </c>
      <c r="D3645">
        <f t="shared" si="113"/>
        <v>0.47885002053328107</v>
      </c>
      <c r="F3645">
        <v>2412.88989257812</v>
      </c>
      <c r="G3645">
        <f t="shared" si="114"/>
        <v>1.4424494162990742E-2</v>
      </c>
    </row>
    <row r="3646" spans="1:7" x14ac:dyDescent="0.25">
      <c r="A3646" s="1">
        <v>40730</v>
      </c>
      <c r="B3646">
        <v>0.459426999092102</v>
      </c>
      <c r="C3646">
        <f>C3647*(1+G3646*3)</f>
        <v>0.45376001708326036</v>
      </c>
      <c r="D3646">
        <f t="shared" si="113"/>
        <v>0.4589668550737786</v>
      </c>
      <c r="F3646">
        <v>2378.580078125</v>
      </c>
      <c r="G3646">
        <f t="shared" si="114"/>
        <v>3.1081672685728812E-3</v>
      </c>
    </row>
    <row r="3647" spans="1:7" x14ac:dyDescent="0.25">
      <c r="A3647" s="1">
        <v>40729</v>
      </c>
      <c r="B3647">
        <v>0.45458298921585</v>
      </c>
      <c r="C3647">
        <f>C3648*(1+G3647*3)</f>
        <v>0.44956801927573048</v>
      </c>
      <c r="D3647">
        <f t="shared" si="113"/>
        <v>0.45470509028920314</v>
      </c>
      <c r="F3647">
        <v>2371.2099609375</v>
      </c>
      <c r="G3647">
        <f t="shared" si="114"/>
        <v>4.1585967612738362E-3</v>
      </c>
    </row>
    <row r="3648" spans="1:7" x14ac:dyDescent="0.25">
      <c r="A3648" s="1">
        <v>40725</v>
      </c>
      <c r="B3648">
        <v>0.44812500476837103</v>
      </c>
      <c r="C3648">
        <f>C3649*(1+G3648*3)</f>
        <v>0.44402841390380865</v>
      </c>
      <c r="D3648">
        <f t="shared" si="113"/>
        <v>0.44908085582658386</v>
      </c>
      <c r="F3648">
        <v>2361.38989257812</v>
      </c>
      <c r="G3648">
        <f t="shared" si="114"/>
        <v>1.5620959003776802E-2</v>
      </c>
    </row>
    <row r="3649" spans="1:7" x14ac:dyDescent="0.25">
      <c r="A3649" s="1">
        <v>40724</v>
      </c>
      <c r="B3649">
        <v>0.428281009197235</v>
      </c>
      <c r="C3649">
        <f>C3650*(1+G3649*3)</f>
        <v>0.42415145636977519</v>
      </c>
      <c r="D3649">
        <f t="shared" si="113"/>
        <v>0.42895802066490685</v>
      </c>
      <c r="F3649">
        <v>2325.07006835937</v>
      </c>
      <c r="G3649">
        <f t="shared" si="114"/>
        <v>1.3354139211756655E-2</v>
      </c>
    </row>
    <row r="3650" spans="1:7" x14ac:dyDescent="0.25">
      <c r="A3650" s="1">
        <v>40723</v>
      </c>
      <c r="B3650">
        <v>0.41260400414466802</v>
      </c>
      <c r="C3650">
        <f>C3651*(1+G3650*3)</f>
        <v>0.40781346309401695</v>
      </c>
      <c r="D3650">
        <f t="shared" ref="D3650:D3713" si="115">D3651*(1+3*G3650--0.0000480890792104776)</f>
        <v>0.41241581341189126</v>
      </c>
      <c r="F3650">
        <v>2294.42993164062</v>
      </c>
      <c r="G3650">
        <f t="shared" ref="G3650:G3713" si="116">F3650/F3651-1</f>
        <v>3.797410758228148E-3</v>
      </c>
    </row>
    <row r="3651" spans="1:7" x14ac:dyDescent="0.25">
      <c r="A3651" s="1">
        <v>40722</v>
      </c>
      <c r="B3651">
        <v>0.40749999880790699</v>
      </c>
      <c r="C3651">
        <f>C3652*(1+G3651*3)</f>
        <v>0.40321988846683043</v>
      </c>
      <c r="D3651">
        <f t="shared" si="115"/>
        <v>0.40775101081578319</v>
      </c>
      <c r="F3651">
        <v>2285.75</v>
      </c>
      <c r="G3651">
        <f t="shared" si="116"/>
        <v>1.4878525339629967E-2</v>
      </c>
    </row>
    <row r="3652" spans="1:7" x14ac:dyDescent="0.25">
      <c r="A3652" s="1">
        <v>40721</v>
      </c>
      <c r="B3652">
        <v>0.38999998569488498</v>
      </c>
      <c r="C3652">
        <f>C3653*(1+G3652*3)</f>
        <v>0.38599095964499214</v>
      </c>
      <c r="D3652">
        <f t="shared" si="115"/>
        <v>0.39031050684370905</v>
      </c>
      <c r="F3652">
        <v>2252.23999023437</v>
      </c>
      <c r="G3652">
        <f t="shared" si="116"/>
        <v>1.5867829788487553E-2</v>
      </c>
    </row>
    <row r="3653" spans="1:7" x14ac:dyDescent="0.25">
      <c r="A3653" s="1">
        <v>40718</v>
      </c>
      <c r="B3653">
        <v>0.37192699313163702</v>
      </c>
      <c r="C3653">
        <f>C3654*(1+G3653*3)</f>
        <v>0.36845138791852278</v>
      </c>
      <c r="D3653">
        <f t="shared" si="115"/>
        <v>0.37255755145537778</v>
      </c>
      <c r="F3653">
        <v>2217.06005859375</v>
      </c>
      <c r="G3653">
        <f t="shared" si="116"/>
        <v>-1.6846628417011011E-2</v>
      </c>
    </row>
    <row r="3654" spans="1:7" x14ac:dyDescent="0.25">
      <c r="A3654" s="1">
        <v>40717</v>
      </c>
      <c r="B3654">
        <v>0.39260399341583202</v>
      </c>
      <c r="C3654">
        <f>C3655*(1+G3654*3)</f>
        <v>0.38806410316239526</v>
      </c>
      <c r="D3654">
        <f t="shared" si="115"/>
        <v>0.392368965274149</v>
      </c>
      <c r="F3654">
        <v>2255.05004882812</v>
      </c>
      <c r="G3654">
        <f t="shared" si="116"/>
        <v>8.6324718005681422E-3</v>
      </c>
    </row>
    <row r="3655" spans="1:7" x14ac:dyDescent="0.25">
      <c r="A3655" s="1">
        <v>40716</v>
      </c>
      <c r="B3655">
        <v>0.38203099370002702</v>
      </c>
      <c r="C3655">
        <f>C3656*(1+G3655*3)</f>
        <v>0.37826794115710227</v>
      </c>
      <c r="D3655">
        <f t="shared" si="115"/>
        <v>0.38244620553473851</v>
      </c>
      <c r="F3655">
        <v>2235.75</v>
      </c>
      <c r="G3655">
        <f t="shared" si="116"/>
        <v>-7.1364797681541248E-3</v>
      </c>
    </row>
    <row r="3656" spans="1:7" x14ac:dyDescent="0.25">
      <c r="A3656" s="1">
        <v>40715</v>
      </c>
      <c r="B3656">
        <v>0.390832990407943</v>
      </c>
      <c r="C3656">
        <f>C3657*(1+G3656*3)</f>
        <v>0.38654362340082926</v>
      </c>
      <c r="D3656">
        <f t="shared" si="115"/>
        <v>0.3907940950653907</v>
      </c>
      <c r="F3656">
        <v>2251.82006835937</v>
      </c>
      <c r="G3656">
        <f t="shared" si="116"/>
        <v>2.1530039841361148E-2</v>
      </c>
    </row>
    <row r="3657" spans="1:7" x14ac:dyDescent="0.25">
      <c r="A3657" s="1">
        <v>40714</v>
      </c>
      <c r="B3657">
        <v>0.36640599370002702</v>
      </c>
      <c r="C3657">
        <f>C3658*(1+G3657*3)</f>
        <v>0.36309150001657964</v>
      </c>
      <c r="D3657">
        <f t="shared" si="115"/>
        <v>0.36706750885643691</v>
      </c>
      <c r="F3657">
        <v>2204.36010742187</v>
      </c>
      <c r="G3657">
        <f t="shared" si="116"/>
        <v>5.1985201223174737E-3</v>
      </c>
    </row>
    <row r="3658" spans="1:7" x14ac:dyDescent="0.25">
      <c r="A3658" s="1">
        <v>40711</v>
      </c>
      <c r="B3658">
        <v>0.36161500215530301</v>
      </c>
      <c r="C3658">
        <f>C3659*(1+G3658*3)</f>
        <v>0.35751584014938814</v>
      </c>
      <c r="D3658">
        <f t="shared" si="115"/>
        <v>0.36141367994237072</v>
      </c>
      <c r="F3658">
        <v>2192.9599609375</v>
      </c>
      <c r="G3658">
        <f t="shared" si="116"/>
        <v>-3.1682694084361751E-3</v>
      </c>
    </row>
    <row r="3659" spans="1:7" x14ac:dyDescent="0.25">
      <c r="A3659" s="1">
        <v>40710</v>
      </c>
      <c r="B3659">
        <v>0.364322990179061</v>
      </c>
      <c r="C3659">
        <f>C3660*(1+G3659*3)</f>
        <v>0.36094656805836617</v>
      </c>
      <c r="D3659">
        <f t="shared" si="115"/>
        <v>0.36486409723643026</v>
      </c>
      <c r="F3659">
        <v>2199.92993164062</v>
      </c>
      <c r="G3659">
        <f t="shared" si="116"/>
        <v>-4.1104739611222962E-3</v>
      </c>
    </row>
    <row r="3660" spans="1:7" x14ac:dyDescent="0.25">
      <c r="A3660" s="1">
        <v>40709</v>
      </c>
      <c r="B3660">
        <v>0.369479000568389</v>
      </c>
      <c r="C3660">
        <f>C3661*(1+G3660*3)</f>
        <v>0.36545312471785674</v>
      </c>
      <c r="D3660">
        <f t="shared" si="115"/>
        <v>0.36940157977923982</v>
      </c>
      <c r="F3660">
        <v>2209.01000976562</v>
      </c>
      <c r="G3660">
        <f t="shared" si="116"/>
        <v>-1.8366147564718216E-2</v>
      </c>
    </row>
    <row r="3661" spans="1:7" x14ac:dyDescent="0.25">
      <c r="A3661" s="1">
        <v>40708</v>
      </c>
      <c r="B3661">
        <v>0.390832990407943</v>
      </c>
      <c r="C3661">
        <f>C3662*(1+G3661*3)</f>
        <v>0.38676317325569504</v>
      </c>
      <c r="D3661">
        <f t="shared" si="115"/>
        <v>0.39092197260711287</v>
      </c>
      <c r="F3661">
        <v>2250.34008789062</v>
      </c>
      <c r="G3661">
        <f t="shared" si="116"/>
        <v>1.2626697906576778E-2</v>
      </c>
    </row>
    <row r="3662" spans="1:7" x14ac:dyDescent="0.25">
      <c r="A3662" s="1">
        <v>40707</v>
      </c>
      <c r="B3662">
        <v>0.37682300806045499</v>
      </c>
      <c r="C3662">
        <f>C3663*(1+G3662*3)</f>
        <v>0.37264726011802357</v>
      </c>
      <c r="D3662">
        <f t="shared" si="115"/>
        <v>0.37663682235983675</v>
      </c>
      <c r="F3662">
        <v>2222.28002929687</v>
      </c>
      <c r="G3662">
        <f t="shared" si="116"/>
        <v>5.3574657450305985E-4</v>
      </c>
    </row>
    <row r="3663" spans="1:7" x14ac:dyDescent="0.25">
      <c r="A3663" s="1">
        <v>40704</v>
      </c>
      <c r="B3663">
        <v>0.37656301259994501</v>
      </c>
      <c r="C3663">
        <f>C3664*(1+G3663*3)</f>
        <v>0.37204928772369078</v>
      </c>
      <c r="D3663">
        <f t="shared" si="115"/>
        <v>0.37601439490171873</v>
      </c>
      <c r="F3663">
        <v>2221.09008789062</v>
      </c>
      <c r="G3663">
        <f t="shared" si="116"/>
        <v>-1.5757789640385766E-2</v>
      </c>
    </row>
    <row r="3664" spans="1:7" x14ac:dyDescent="0.25">
      <c r="A3664" s="1">
        <v>40703</v>
      </c>
      <c r="B3664">
        <v>0.394688010215759</v>
      </c>
      <c r="C3664">
        <f>C3665*(1+G3664*3)</f>
        <v>0.39051001156794779</v>
      </c>
      <c r="D3664">
        <f t="shared" si="115"/>
        <v>0.39465194336741294</v>
      </c>
      <c r="F3664">
        <v>2256.64990234375</v>
      </c>
      <c r="G3664">
        <f t="shared" si="116"/>
        <v>1.6689718294786715E-3</v>
      </c>
    </row>
    <row r="3665" spans="1:7" x14ac:dyDescent="0.25">
      <c r="A3665" s="1">
        <v>40702</v>
      </c>
      <c r="B3665">
        <v>0.39296901226043701</v>
      </c>
      <c r="C3665">
        <f>C3666*(1+G3665*3)</f>
        <v>0.38856450194490344</v>
      </c>
      <c r="D3665">
        <f t="shared" si="115"/>
        <v>0.39266700983911212</v>
      </c>
      <c r="F3665">
        <v>2252.88989257812</v>
      </c>
      <c r="G3665">
        <f t="shared" si="116"/>
        <v>-7.0825702683356972E-3</v>
      </c>
    </row>
    <row r="3666" spans="1:7" x14ac:dyDescent="0.25">
      <c r="A3666" s="1">
        <v>40701</v>
      </c>
      <c r="B3666">
        <v>0.40161499381065302</v>
      </c>
      <c r="C3666">
        <f>C3667*(1+G3666*3)</f>
        <v>0.39699983972910158</v>
      </c>
      <c r="D3666">
        <f t="shared" si="115"/>
        <v>0.40117169808562281</v>
      </c>
      <c r="F3666">
        <v>2268.9599609375</v>
      </c>
      <c r="G3666">
        <f t="shared" si="116"/>
        <v>-2.4269369608223013E-3</v>
      </c>
    </row>
    <row r="3667" spans="1:7" x14ac:dyDescent="0.25">
      <c r="A3667" s="1">
        <v>40700</v>
      </c>
      <c r="B3667">
        <v>0.40395799279212902</v>
      </c>
      <c r="C3667">
        <f>C3668*(1+G3667*3)</f>
        <v>0.3999115198750316</v>
      </c>
      <c r="D3667">
        <f t="shared" si="115"/>
        <v>0.40409440046645034</v>
      </c>
      <c r="F3667">
        <v>2274.47998046875</v>
      </c>
      <c r="G3667">
        <f t="shared" si="116"/>
        <v>-7.7782139716030541E-3</v>
      </c>
    </row>
    <row r="3668" spans="1:7" x14ac:dyDescent="0.25">
      <c r="A3668" s="1">
        <v>40697</v>
      </c>
      <c r="B3668">
        <v>0.41395801305770802</v>
      </c>
      <c r="C3668">
        <f>C3669*(1+G3668*3)</f>
        <v>0.40946626862969865</v>
      </c>
      <c r="D3668">
        <f t="shared" si="115"/>
        <v>0.41372871607288603</v>
      </c>
      <c r="F3668">
        <v>2292.31005859375</v>
      </c>
      <c r="G3668">
        <f t="shared" si="116"/>
        <v>-1.4780544676935681E-2</v>
      </c>
    </row>
    <row r="3669" spans="1:7" x14ac:dyDescent="0.25">
      <c r="A3669" s="1">
        <v>40696</v>
      </c>
      <c r="B3669">
        <v>0.43364599347114502</v>
      </c>
      <c r="C3669">
        <f>C3670*(1+G3669*3)</f>
        <v>0.42846511181266467</v>
      </c>
      <c r="D3669">
        <f t="shared" si="115"/>
        <v>0.43290354887467197</v>
      </c>
      <c r="F3669">
        <v>2326.69995117187</v>
      </c>
      <c r="G3669">
        <f t="shared" si="116"/>
        <v>1.8170105829149463E-3</v>
      </c>
    </row>
    <row r="3670" spans="1:7" x14ac:dyDescent="0.25">
      <c r="A3670" s="1">
        <v>40695</v>
      </c>
      <c r="B3670">
        <v>0.43114599585533098</v>
      </c>
      <c r="C3670">
        <f>C3671*(1+G3670*3)</f>
        <v>0.42614219716643059</v>
      </c>
      <c r="D3670">
        <f t="shared" si="115"/>
        <v>0.43053597950260503</v>
      </c>
      <c r="F3670">
        <v>2322.47998046875</v>
      </c>
      <c r="G3670">
        <f t="shared" si="116"/>
        <v>-2.109977398464935E-2</v>
      </c>
    </row>
    <row r="3671" spans="1:7" x14ac:dyDescent="0.25">
      <c r="A3671" s="1">
        <v>40694</v>
      </c>
      <c r="B3671">
        <v>0.46057298779487599</v>
      </c>
      <c r="C3671">
        <f>C3672*(1+G3671*3)</f>
        <v>0.45493956303667771</v>
      </c>
      <c r="D3671">
        <f t="shared" si="115"/>
        <v>0.45960666788369903</v>
      </c>
      <c r="F3671">
        <v>2372.5400390625</v>
      </c>
      <c r="G3671">
        <f t="shared" si="116"/>
        <v>1.5602973258960429E-2</v>
      </c>
    </row>
    <row r="3672" spans="1:7" x14ac:dyDescent="0.25">
      <c r="A3672" s="1">
        <v>40690</v>
      </c>
      <c r="B3672">
        <v>0.43942698836326599</v>
      </c>
      <c r="C3672">
        <f>C3673*(1+G3672*3)</f>
        <v>0.4345965671878726</v>
      </c>
      <c r="D3672">
        <f t="shared" si="115"/>
        <v>0.43903480990772042</v>
      </c>
      <c r="F3672">
        <v>2336.09008789062</v>
      </c>
      <c r="G3672">
        <f t="shared" si="116"/>
        <v>4.3682125208446276E-3</v>
      </c>
    </row>
    <row r="3673" spans="1:7" x14ac:dyDescent="0.25">
      <c r="A3673" s="1">
        <v>40689</v>
      </c>
      <c r="B3673">
        <v>0.43296900391578602</v>
      </c>
      <c r="C3673">
        <f>C3674*(1+G3673*3)</f>
        <v>0.42897500522106446</v>
      </c>
      <c r="D3673">
        <f t="shared" si="115"/>
        <v>0.43333526956293256</v>
      </c>
      <c r="F3673">
        <v>2325.92993164062</v>
      </c>
      <c r="G3673">
        <f t="shared" si="116"/>
        <v>6.4821743375071961E-3</v>
      </c>
    </row>
    <row r="3674" spans="1:7" x14ac:dyDescent="0.25">
      <c r="A3674" s="1">
        <v>40688</v>
      </c>
      <c r="B3674">
        <v>0.42500001192092801</v>
      </c>
      <c r="C3674">
        <f>C3675*(1+G3674*3)</f>
        <v>0.42079206269046787</v>
      </c>
      <c r="D3674">
        <f t="shared" si="115"/>
        <v>0.42504910219568864</v>
      </c>
      <c r="F3674">
        <v>2310.94995117187</v>
      </c>
      <c r="G3674">
        <f t="shared" si="116"/>
        <v>3.2123905219747506E-3</v>
      </c>
    </row>
    <row r="3675" spans="1:7" x14ac:dyDescent="0.25">
      <c r="A3675" s="1">
        <v>40687</v>
      </c>
      <c r="B3675">
        <v>0.420313000679016</v>
      </c>
      <c r="C3675">
        <f>C3676*(1+G3675*3)</f>
        <v>0.41677552544725444</v>
      </c>
      <c r="D3675">
        <f t="shared" si="115"/>
        <v>0.42097187981540413</v>
      </c>
      <c r="F3675">
        <v>2303.55004882812</v>
      </c>
      <c r="G3675">
        <f t="shared" si="116"/>
        <v>-5.7105035011740801E-3</v>
      </c>
    </row>
    <row r="3676" spans="1:7" x14ac:dyDescent="0.25">
      <c r="A3676" s="1">
        <v>40686</v>
      </c>
      <c r="B3676">
        <v>0.428384989500045</v>
      </c>
      <c r="C3676">
        <f>C3677*(1+G3676*3)</f>
        <v>0.42403997065850385</v>
      </c>
      <c r="D3676">
        <f t="shared" si="115"/>
        <v>0.42828851297372611</v>
      </c>
      <c r="F3676">
        <v>2316.78002929687</v>
      </c>
      <c r="G3676">
        <f t="shared" si="116"/>
        <v>-1.4735672910131892E-2</v>
      </c>
    </row>
    <row r="3677" spans="1:7" x14ac:dyDescent="0.25">
      <c r="A3677" s="1">
        <v>40683</v>
      </c>
      <c r="B3677">
        <v>0.44781300425529402</v>
      </c>
      <c r="C3677">
        <f>C3678*(1+G3677*3)</f>
        <v>0.4436525261937378</v>
      </c>
      <c r="D3677">
        <f t="shared" si="115"/>
        <v>0.44807502654958203</v>
      </c>
      <c r="F3677">
        <v>2351.42993164062</v>
      </c>
      <c r="G3677">
        <f t="shared" si="116"/>
        <v>-7.6972704366976563E-3</v>
      </c>
    </row>
    <row r="3678" spans="1:7" x14ac:dyDescent="0.25">
      <c r="A3678" s="1">
        <v>40682</v>
      </c>
      <c r="B3678">
        <v>0.45791700482368403</v>
      </c>
      <c r="C3678">
        <f>C3679*(1+G3678*3)</f>
        <v>0.45413942817769054</v>
      </c>
      <c r="D3678">
        <f t="shared" si="115"/>
        <v>0.45864388892895253</v>
      </c>
      <c r="F3678">
        <v>2369.669921875</v>
      </c>
      <c r="G3678">
        <f t="shared" si="116"/>
        <v>2.8438904090191119E-3</v>
      </c>
    </row>
    <row r="3679" spans="1:7" x14ac:dyDescent="0.25">
      <c r="A3679" s="1">
        <v>40681</v>
      </c>
      <c r="B3679">
        <v>0.454010009765625</v>
      </c>
      <c r="C3679">
        <f>C3680*(1+G3679*3)</f>
        <v>0.45029763678630885</v>
      </c>
      <c r="D3679">
        <f t="shared" si="115"/>
        <v>0.45474230891732309</v>
      </c>
      <c r="F3679">
        <v>2362.94995117187</v>
      </c>
      <c r="G3679">
        <f t="shared" si="116"/>
        <v>8.2952243964147243E-3</v>
      </c>
    </row>
    <row r="3680" spans="1:7" x14ac:dyDescent="0.25">
      <c r="A3680" s="1">
        <v>40680</v>
      </c>
      <c r="B3680">
        <v>0.443228989839553</v>
      </c>
      <c r="C3680">
        <f>C3681*(1+G3680*3)</f>
        <v>0.43936377350760547</v>
      </c>
      <c r="D3680">
        <f t="shared" si="115"/>
        <v>0.44367970463852785</v>
      </c>
      <c r="F3680">
        <v>2343.51000976562</v>
      </c>
      <c r="G3680">
        <f t="shared" si="116"/>
        <v>2.4209901717155979E-3</v>
      </c>
    </row>
    <row r="3681" spans="1:7" x14ac:dyDescent="0.25">
      <c r="A3681" s="1">
        <v>40679</v>
      </c>
      <c r="B3681">
        <v>0.43963500857353199</v>
      </c>
      <c r="C3681">
        <f>C3682*(1+G3681*3)</f>
        <v>0.43619569702130584</v>
      </c>
      <c r="D3681">
        <f t="shared" si="115"/>
        <v>0.44045947913765288</v>
      </c>
      <c r="F3681">
        <v>2337.85009765625</v>
      </c>
      <c r="G3681">
        <f t="shared" si="116"/>
        <v>-1.7396266348920442E-2</v>
      </c>
    </row>
    <row r="3682" spans="1:7" x14ac:dyDescent="0.25">
      <c r="A3682" s="1">
        <v>40676</v>
      </c>
      <c r="B3682">
        <v>0.46375000476837103</v>
      </c>
      <c r="C3682">
        <f>C3683*(1+G3682*3)</f>
        <v>0.46021369718211003</v>
      </c>
      <c r="D3682">
        <f t="shared" si="115"/>
        <v>0.46468867665217917</v>
      </c>
      <c r="F3682">
        <v>2379.23999023437</v>
      </c>
      <c r="G3682">
        <f t="shared" si="116"/>
        <v>-1.1898344036435415E-2</v>
      </c>
    </row>
    <row r="3683" spans="1:7" x14ac:dyDescent="0.25">
      <c r="A3683" s="1">
        <v>40675</v>
      </c>
      <c r="B3683">
        <v>0.480780988931655</v>
      </c>
      <c r="C3683">
        <f>C3684*(1+G3683*3)</f>
        <v>0.47724911983889762</v>
      </c>
      <c r="D3683">
        <f t="shared" si="115"/>
        <v>0.4818657163925818</v>
      </c>
      <c r="F3683">
        <v>2407.88989257812</v>
      </c>
      <c r="G3683">
        <f t="shared" si="116"/>
        <v>6.1885996162416301E-3</v>
      </c>
    </row>
    <row r="3684" spans="1:7" x14ac:dyDescent="0.25">
      <c r="A3684" s="1">
        <v>40674</v>
      </c>
      <c r="B3684">
        <v>0.47244799137115401</v>
      </c>
      <c r="C3684">
        <f>C3685*(1+G3684*3)</f>
        <v>0.46855011269603564</v>
      </c>
      <c r="D3684">
        <f t="shared" si="115"/>
        <v>0.47306022635602696</v>
      </c>
      <c r="F3684">
        <v>2393.080078125</v>
      </c>
      <c r="G3684">
        <f t="shared" si="116"/>
        <v>-7.5766764639476625E-3</v>
      </c>
    </row>
    <row r="3685" spans="1:7" x14ac:dyDescent="0.25">
      <c r="A3685" s="1">
        <v>40673</v>
      </c>
      <c r="B3685">
        <v>0.48286500573158198</v>
      </c>
      <c r="C3685">
        <f>C3686*(1+G3685*3)</f>
        <v>0.47944797935871908</v>
      </c>
      <c r="D3685">
        <f t="shared" si="115"/>
        <v>0.48403917400989532</v>
      </c>
      <c r="F3685">
        <v>2411.35009765625</v>
      </c>
      <c r="G3685">
        <f t="shared" si="116"/>
        <v>8.523790429344702E-3</v>
      </c>
    </row>
    <row r="3686" spans="1:7" x14ac:dyDescent="0.25">
      <c r="A3686" s="1">
        <v>40672</v>
      </c>
      <c r="B3686">
        <v>0.47078099846839899</v>
      </c>
      <c r="C3686">
        <f>C3687*(1+G3686*3)</f>
        <v>0.4674935287600428</v>
      </c>
      <c r="D3686">
        <f t="shared" si="115"/>
        <v>0.47194811790776175</v>
      </c>
      <c r="F3686">
        <v>2390.96997070312</v>
      </c>
      <c r="G3686">
        <f t="shared" si="116"/>
        <v>3.2687582498804879E-3</v>
      </c>
    </row>
    <row r="3687" spans="1:7" x14ac:dyDescent="0.25">
      <c r="A3687" s="1">
        <v>40669</v>
      </c>
      <c r="B3687">
        <v>0.46572899818420399</v>
      </c>
      <c r="C3687">
        <f>C3688*(1+G3687*3)</f>
        <v>0.462953677799187</v>
      </c>
      <c r="D3687">
        <f t="shared" si="115"/>
        <v>0.46734275239290501</v>
      </c>
      <c r="F3687">
        <v>2383.17993164062</v>
      </c>
      <c r="G3687">
        <f t="shared" si="116"/>
        <v>3.3554804982269815E-3</v>
      </c>
    </row>
    <row r="3688" spans="1:7" x14ac:dyDescent="0.25">
      <c r="A3688" s="1">
        <v>40668</v>
      </c>
      <c r="B3688">
        <v>0.46171900629997198</v>
      </c>
      <c r="C3688">
        <f>C3689*(1+G3688*3)</f>
        <v>0.45833982674854062</v>
      </c>
      <c r="D3688">
        <f t="shared" si="115"/>
        <v>0.46266313199888986</v>
      </c>
      <c r="F3688">
        <v>2375.2099609375</v>
      </c>
      <c r="G3688">
        <f t="shared" si="116"/>
        <v>-5.1518313128778859E-3</v>
      </c>
    </row>
    <row r="3689" spans="1:7" x14ac:dyDescent="0.25">
      <c r="A3689" s="1">
        <v>40667</v>
      </c>
      <c r="B3689">
        <v>0.46875</v>
      </c>
      <c r="C3689">
        <f>C3690*(1+G3689*3)</f>
        <v>0.46553489855132302</v>
      </c>
      <c r="D3689">
        <f t="shared" si="115"/>
        <v>0.46990311960738684</v>
      </c>
      <c r="F3689">
        <v>2387.51000976562</v>
      </c>
      <c r="G3689">
        <f t="shared" si="116"/>
        <v>-2.2108153437604416E-3</v>
      </c>
    </row>
    <row r="3690" spans="1:7" x14ac:dyDescent="0.25">
      <c r="A3690" s="1">
        <v>40666</v>
      </c>
      <c r="B3690">
        <v>0.47150999307632402</v>
      </c>
      <c r="C3690">
        <f>C3691*(1+G3690*3)</f>
        <v>0.468643148944628</v>
      </c>
      <c r="D3690">
        <f t="shared" si="115"/>
        <v>0.4730176365711965</v>
      </c>
      <c r="F3690">
        <v>2392.80004882812</v>
      </c>
      <c r="G3690">
        <f t="shared" si="116"/>
        <v>-4.7582360549350833E-3</v>
      </c>
    </row>
    <row r="3691" spans="1:7" x14ac:dyDescent="0.25">
      <c r="A3691" s="1">
        <v>40665</v>
      </c>
      <c r="B3691">
        <v>0.47869798541068997</v>
      </c>
      <c r="C3691">
        <f>C3692*(1+G3691*3)</f>
        <v>0.47542977016661686</v>
      </c>
      <c r="D3691">
        <f t="shared" si="115"/>
        <v>0.47984419718498023</v>
      </c>
      <c r="F3691">
        <v>2404.23999023437</v>
      </c>
      <c r="G3691">
        <f t="shared" si="116"/>
        <v>6.6516964565721537E-5</v>
      </c>
    </row>
    <row r="3692" spans="1:7" x14ac:dyDescent="0.25">
      <c r="A3692" s="1">
        <v>40662</v>
      </c>
      <c r="B3692">
        <v>0.48130199313163702</v>
      </c>
      <c r="C3692">
        <f>C3693*(1+G3692*3)</f>
        <v>0.47533491665919203</v>
      </c>
      <c r="D3692">
        <f t="shared" si="115"/>
        <v>0.4797253980004163</v>
      </c>
      <c r="F3692">
        <v>2404.080078125</v>
      </c>
      <c r="G3692">
        <f t="shared" si="116"/>
        <v>-2.4149651249373294E-3</v>
      </c>
    </row>
    <row r="3693" spans="1:7" x14ac:dyDescent="0.25">
      <c r="A3693" s="1">
        <v>40661</v>
      </c>
      <c r="B3693">
        <v>0.48364600539207397</v>
      </c>
      <c r="C3693">
        <f>C3694*(1+G3693*3)</f>
        <v>0.47880380009594958</v>
      </c>
      <c r="D3693">
        <f t="shared" si="115"/>
        <v>0.48320291578680374</v>
      </c>
      <c r="F3693">
        <v>2409.89990234375</v>
      </c>
      <c r="G3693">
        <f t="shared" si="116"/>
        <v>-1.5289197471369809E-3</v>
      </c>
    </row>
    <row r="3694" spans="1:7" x14ac:dyDescent="0.25">
      <c r="A3694" s="1">
        <v>40660</v>
      </c>
      <c r="B3694">
        <v>0.484375</v>
      </c>
      <c r="C3694">
        <f>C3695*(1+G3694*3)</f>
        <v>0.48101007751419961</v>
      </c>
      <c r="D3694">
        <f t="shared" si="115"/>
        <v>0.48540601357717916</v>
      </c>
      <c r="F3694">
        <v>2413.59008789062</v>
      </c>
      <c r="G3694">
        <f t="shared" si="116"/>
        <v>7.3288140712088889E-3</v>
      </c>
    </row>
    <row r="3695" spans="1:7" x14ac:dyDescent="0.25">
      <c r="A3695" s="1">
        <v>40659</v>
      </c>
      <c r="B3695">
        <v>0.47453099489211997</v>
      </c>
      <c r="C3695">
        <f>C3696*(1+G3695*3)</f>
        <v>0.4706618969155108</v>
      </c>
      <c r="D3695">
        <f t="shared" si="115"/>
        <v>0.47494091316382225</v>
      </c>
      <c r="F3695">
        <v>2396.03002929687</v>
      </c>
      <c r="G3695">
        <f t="shared" si="116"/>
        <v>5.1642217815202063E-3</v>
      </c>
    </row>
    <row r="3696" spans="1:7" x14ac:dyDescent="0.25">
      <c r="A3696" s="1">
        <v>40658</v>
      </c>
      <c r="B3696">
        <v>0.46650999784469599</v>
      </c>
      <c r="C3696">
        <f>C3697*(1+G3696*3)</f>
        <v>0.4634813356882429</v>
      </c>
      <c r="D3696">
        <f t="shared" si="115"/>
        <v>0.46767292311504416</v>
      </c>
      <c r="F3696">
        <v>2383.71997070312</v>
      </c>
      <c r="G3696">
        <f t="shared" si="116"/>
        <v>2.7005097140198053E-3</v>
      </c>
    </row>
    <row r="3697" spans="1:7" x14ac:dyDescent="0.25">
      <c r="A3697" s="1">
        <v>40654</v>
      </c>
      <c r="B3697">
        <v>0.46307298541068997</v>
      </c>
      <c r="C3697">
        <f>C3698*(1+G3697*3)</f>
        <v>0.45975660416137526</v>
      </c>
      <c r="D3697">
        <f t="shared" si="115"/>
        <v>0.46389237734393379</v>
      </c>
      <c r="F3697">
        <v>2377.30004882812</v>
      </c>
      <c r="G3697">
        <f t="shared" si="116"/>
        <v>8.2875436777141154E-3</v>
      </c>
    </row>
    <row r="3698" spans="1:7" x14ac:dyDescent="0.25">
      <c r="A3698" s="1">
        <v>40653</v>
      </c>
      <c r="B3698">
        <v>0.45161500573158198</v>
      </c>
      <c r="C3698">
        <f>C3699*(1+G3698*3)</f>
        <v>0.44860314957323044</v>
      </c>
      <c r="D3698">
        <f t="shared" si="115"/>
        <v>0.45261735314182383</v>
      </c>
      <c r="F3698">
        <v>2357.76000976562</v>
      </c>
      <c r="G3698">
        <f t="shared" si="116"/>
        <v>2.2104496678317043E-2</v>
      </c>
    </row>
    <row r="3699" spans="1:7" x14ac:dyDescent="0.25">
      <c r="A3699" s="1">
        <v>40652</v>
      </c>
      <c r="B3699">
        <v>0.42343801259994501</v>
      </c>
      <c r="C3699">
        <f>C3700*(1+G3699*3)</f>
        <v>0.42070474936833663</v>
      </c>
      <c r="D3699">
        <f t="shared" si="115"/>
        <v>0.42445016962990928</v>
      </c>
      <c r="F3699">
        <v>2306.77001953125</v>
      </c>
      <c r="G3699">
        <f t="shared" si="116"/>
        <v>6.2948476610678039E-3</v>
      </c>
    </row>
    <row r="3700" spans="1:7" x14ac:dyDescent="0.25">
      <c r="A3700" s="1">
        <v>40651</v>
      </c>
      <c r="B3700">
        <v>0.41593798995018</v>
      </c>
      <c r="C3700">
        <f>C3701*(1+G3700*3)</f>
        <v>0.4129071858687251</v>
      </c>
      <c r="D3700">
        <f t="shared" si="115"/>
        <v>0.41656352566781857</v>
      </c>
      <c r="F3700">
        <v>2292.34008789062</v>
      </c>
      <c r="G3700">
        <f t="shared" si="116"/>
        <v>-6.6043169547395086E-3</v>
      </c>
    </row>
    <row r="3701" spans="1:7" x14ac:dyDescent="0.25">
      <c r="A3701" s="1">
        <v>40648</v>
      </c>
      <c r="B3701">
        <v>0.42411500215530301</v>
      </c>
      <c r="C3701">
        <f>C3702*(1+G3701*3)</f>
        <v>0.42125345997254315</v>
      </c>
      <c r="D3701">
        <f t="shared" si="115"/>
        <v>0.42496285781632015</v>
      </c>
      <c r="F3701">
        <v>2307.580078125</v>
      </c>
      <c r="G3701">
        <f t="shared" si="116"/>
        <v>-1.5878515413737526E-3</v>
      </c>
    </row>
    <row r="3702" spans="1:7" x14ac:dyDescent="0.25">
      <c r="A3702" s="1">
        <v>40647</v>
      </c>
      <c r="B3702">
        <v>0.42687499523162797</v>
      </c>
      <c r="C3702">
        <f>C3703*(1+G3702*3)</f>
        <v>0.4232697284447266</v>
      </c>
      <c r="D3702">
        <f t="shared" si="115"/>
        <v>0.42697624960985059</v>
      </c>
      <c r="F3702">
        <v>2311.25</v>
      </c>
      <c r="G3702">
        <f t="shared" si="116"/>
        <v>-2.3222884468573346E-3</v>
      </c>
    </row>
    <row r="3703" spans="1:7" x14ac:dyDescent="0.25">
      <c r="A3703" s="1">
        <v>40646</v>
      </c>
      <c r="B3703">
        <v>0.42921900749206499</v>
      </c>
      <c r="C3703">
        <f>C3704*(1+G3703*3)</f>
        <v>0.42623928011213014</v>
      </c>
      <c r="D3703">
        <f t="shared" si="115"/>
        <v>0.42995098427339035</v>
      </c>
      <c r="F3703">
        <v>2316.6298828125</v>
      </c>
      <c r="G3703">
        <f t="shared" si="116"/>
        <v>7.9753877191650613E-3</v>
      </c>
    </row>
    <row r="3704" spans="1:7" x14ac:dyDescent="0.25">
      <c r="A3704" s="1">
        <v>40645</v>
      </c>
      <c r="B3704">
        <v>0.41921898722648598</v>
      </c>
      <c r="C3704">
        <f>C3705*(1+G3704*3)</f>
        <v>0.41627931334201895</v>
      </c>
      <c r="D3704">
        <f t="shared" si="115"/>
        <v>0.41988456578300887</v>
      </c>
      <c r="F3704">
        <v>2298.30004882812</v>
      </c>
      <c r="G3704">
        <f t="shared" si="116"/>
        <v>-6.9993308152430656E-3</v>
      </c>
    </row>
    <row r="3705" spans="1:7" x14ac:dyDescent="0.25">
      <c r="A3705" s="1">
        <v>40644</v>
      </c>
      <c r="B3705">
        <v>0.42765599489211997</v>
      </c>
      <c r="C3705">
        <f>C3706*(1+G3705*3)</f>
        <v>0.42520782401862706</v>
      </c>
      <c r="D3705">
        <f t="shared" si="115"/>
        <v>0.42886933694895235</v>
      </c>
      <c r="F3705">
        <v>2314.5</v>
      </c>
      <c r="G3705">
        <f t="shared" si="116"/>
        <v>-2.8778172469803298E-3</v>
      </c>
    </row>
    <row r="3706" spans="1:7" x14ac:dyDescent="0.25">
      <c r="A3706" s="1">
        <v>40641</v>
      </c>
      <c r="B3706">
        <v>0.43156298995018</v>
      </c>
      <c r="C3706">
        <f>C3707*(1+G3706*3)</f>
        <v>0.42891080475262705</v>
      </c>
      <c r="D3706">
        <f t="shared" si="115"/>
        <v>0.43258322078073436</v>
      </c>
      <c r="F3706">
        <v>2321.17993164062</v>
      </c>
      <c r="G3706">
        <f t="shared" si="116"/>
        <v>-5.0152394292047875E-3</v>
      </c>
    </row>
    <row r="3707" spans="1:7" x14ac:dyDescent="0.25">
      <c r="A3707" s="1">
        <v>40640</v>
      </c>
      <c r="B3707">
        <v>0.43812501430511402</v>
      </c>
      <c r="C3707">
        <f>C3708*(1+G3707*3)</f>
        <v>0.43546265315680138</v>
      </c>
      <c r="D3707">
        <f t="shared" si="115"/>
        <v>0.43916972548308619</v>
      </c>
      <c r="F3707">
        <v>2332.8798828125</v>
      </c>
      <c r="G3707">
        <f t="shared" si="116"/>
        <v>2.3143919906121191E-4</v>
      </c>
    </row>
    <row r="3708" spans="1:7" x14ac:dyDescent="0.25">
      <c r="A3708" s="1">
        <v>40639</v>
      </c>
      <c r="B3708">
        <v>0.43822899460792503</v>
      </c>
      <c r="C3708">
        <f>C3709*(1+G3708*3)</f>
        <v>0.43516051355464092</v>
      </c>
      <c r="D3708">
        <f t="shared" si="115"/>
        <v>0.43884392482340229</v>
      </c>
      <c r="F3708">
        <v>2332.34008789062</v>
      </c>
      <c r="G3708">
        <f t="shared" si="116"/>
        <v>1.9201976390850195E-3</v>
      </c>
    </row>
    <row r="3709" spans="1:7" x14ac:dyDescent="0.25">
      <c r="A3709" s="1">
        <v>40638</v>
      </c>
      <c r="B3709">
        <v>0.43494799733161899</v>
      </c>
      <c r="C3709">
        <f>C3710*(1+G3709*3)</f>
        <v>0.432668088826624</v>
      </c>
      <c r="D3709">
        <f t="shared" si="115"/>
        <v>0.43630954144512385</v>
      </c>
      <c r="F3709">
        <v>2327.8701171875</v>
      </c>
      <c r="G3709">
        <f t="shared" si="116"/>
        <v>-2.8570603902250413E-3</v>
      </c>
    </row>
    <row r="3710" spans="1:7" x14ac:dyDescent="0.25">
      <c r="A3710" s="1">
        <v>40637</v>
      </c>
      <c r="B3710">
        <v>0.43994799256324701</v>
      </c>
      <c r="C3710">
        <f>C3711*(1+G3710*3)</f>
        <v>0.43640862622645638</v>
      </c>
      <c r="D3710">
        <f t="shared" si="115"/>
        <v>0.44006021518493477</v>
      </c>
      <c r="F3710">
        <v>2334.5400390625</v>
      </c>
      <c r="G3710">
        <f t="shared" si="116"/>
        <v>-3.5766834087072041E-3</v>
      </c>
    </row>
    <row r="3711" spans="1:7" x14ac:dyDescent="0.25">
      <c r="A3711" s="1">
        <v>40634</v>
      </c>
      <c r="B3711">
        <v>0.44395801424980103</v>
      </c>
      <c r="C3711">
        <f>C3712*(1+G3711*3)</f>
        <v>0.44114210315011404</v>
      </c>
      <c r="D3711">
        <f t="shared" si="115"/>
        <v>0.4448116762280957</v>
      </c>
      <c r="F3711">
        <v>2342.919921875</v>
      </c>
      <c r="G3711">
        <f t="shared" si="116"/>
        <v>1.6801831803634482E-3</v>
      </c>
    </row>
    <row r="3712" spans="1:7" x14ac:dyDescent="0.25">
      <c r="A3712" s="1">
        <v>40633</v>
      </c>
      <c r="B3712">
        <v>0.44328099489211997</v>
      </c>
      <c r="C3712">
        <f>C3713*(1+G3712*3)</f>
        <v>0.43892965647161508</v>
      </c>
      <c r="D3712">
        <f t="shared" si="115"/>
        <v>0.44255965010080589</v>
      </c>
      <c r="F3712">
        <v>2338.98999023437</v>
      </c>
      <c r="G3712">
        <f t="shared" si="116"/>
        <v>1.0571151466596262E-3</v>
      </c>
    </row>
    <row r="3713" spans="1:7" x14ac:dyDescent="0.25">
      <c r="A3713" s="1">
        <v>40632</v>
      </c>
      <c r="B3713">
        <v>0.44140601158142001</v>
      </c>
      <c r="C3713">
        <f>C3714*(1+G3713*3)</f>
        <v>0.43754205945655855</v>
      </c>
      <c r="D3713">
        <f t="shared" si="115"/>
        <v>0.44113943059018829</v>
      </c>
      <c r="F3713">
        <v>2336.52001953125</v>
      </c>
      <c r="G3713">
        <f t="shared" si="116"/>
        <v>4.7214755645215156E-3</v>
      </c>
    </row>
    <row r="3714" spans="1:7" x14ac:dyDescent="0.25">
      <c r="A3714" s="1">
        <v>40631</v>
      </c>
      <c r="B3714">
        <v>0.43500000238418501</v>
      </c>
      <c r="C3714">
        <f>C3715*(1+G3714*3)</f>
        <v>0.43143108547305054</v>
      </c>
      <c r="D3714">
        <f t="shared" ref="D3714:D3771" si="117">D3715*(1+3*G3714--0.0000480890792104776)</f>
        <v>0.4349575889960931</v>
      </c>
      <c r="F3714">
        <v>2325.5400390625</v>
      </c>
      <c r="G3714">
        <f t="shared" ref="G3714:G3777" si="118">F3714/F3715-1</f>
        <v>9.7433634904040556E-3</v>
      </c>
    </row>
    <row r="3715" spans="1:7" x14ac:dyDescent="0.25">
      <c r="A3715" s="1">
        <v>40630</v>
      </c>
      <c r="B3715">
        <v>0.42286500334739602</v>
      </c>
      <c r="C3715">
        <f>C3716*(1+G3715*3)</f>
        <v>0.41917846113061907</v>
      </c>
      <c r="D3715">
        <f t="shared" si="117"/>
        <v>0.42258506751408814</v>
      </c>
      <c r="F3715">
        <v>2303.10009765625</v>
      </c>
      <c r="G3715">
        <f t="shared" si="118"/>
        <v>-5.7245027330308229E-3</v>
      </c>
    </row>
    <row r="3716" spans="1:7" x14ac:dyDescent="0.25">
      <c r="A3716" s="1">
        <v>40627</v>
      </c>
      <c r="B3716">
        <v>0.43015599250793402</v>
      </c>
      <c r="C3716">
        <f>C3717*(1+G3716*3)</f>
        <v>0.42650301414090558</v>
      </c>
      <c r="D3716">
        <f t="shared" si="117"/>
        <v>0.42994810908191672</v>
      </c>
      <c r="F3716">
        <v>2316.36010742187</v>
      </c>
      <c r="G3716">
        <f t="shared" si="118"/>
        <v>1.8468222988428096E-3</v>
      </c>
    </row>
    <row r="3717" spans="1:7" x14ac:dyDescent="0.25">
      <c r="A3717" s="1">
        <v>40626</v>
      </c>
      <c r="B3717">
        <v>0.427031010389328</v>
      </c>
      <c r="C3717">
        <f>C3718*(1+G3717*3)</f>
        <v>0.42415300843858861</v>
      </c>
      <c r="D3717">
        <f t="shared" si="117"/>
        <v>0.42755867350213733</v>
      </c>
      <c r="F3717">
        <v>2312.09008789062</v>
      </c>
      <c r="G3717">
        <f t="shared" si="118"/>
        <v>1.8317589909984555E-2</v>
      </c>
    </row>
    <row r="3718" spans="1:7" x14ac:dyDescent="0.25">
      <c r="A3718" s="1">
        <v>40625</v>
      </c>
      <c r="B3718">
        <v>0.40500000119209201</v>
      </c>
      <c r="C3718">
        <f>C3719*(1+G3718*3)</f>
        <v>0.4020587656707732</v>
      </c>
      <c r="D3718">
        <f t="shared" si="117"/>
        <v>0.40526855493250086</v>
      </c>
      <c r="F3718">
        <v>2270.5</v>
      </c>
      <c r="G3718">
        <f t="shared" si="118"/>
        <v>5.5537030237211571E-3</v>
      </c>
    </row>
    <row r="3719" spans="1:7" x14ac:dyDescent="0.25">
      <c r="A3719" s="1">
        <v>40624</v>
      </c>
      <c r="B3719">
        <v>0.39895799756050099</v>
      </c>
      <c r="C3719">
        <f>C3720*(1+G3719*3)</f>
        <v>0.39546980019536698</v>
      </c>
      <c r="D3719">
        <f t="shared" si="117"/>
        <v>0.39860813265954204</v>
      </c>
      <c r="F3719">
        <v>2257.9599609375</v>
      </c>
      <c r="G3719">
        <f t="shared" si="118"/>
        <v>-2.0948381741534572E-3</v>
      </c>
    </row>
    <row r="3720" spans="1:7" x14ac:dyDescent="0.25">
      <c r="A3720" s="1">
        <v>40623</v>
      </c>
      <c r="B3720">
        <v>0.40005201101303101</v>
      </c>
      <c r="C3720">
        <f>C3721*(1+G3720*3)</f>
        <v>0.39797085380562436</v>
      </c>
      <c r="D3720">
        <f t="shared" si="117"/>
        <v>0.40110962291743668</v>
      </c>
      <c r="F3720">
        <v>2262.69995117187</v>
      </c>
      <c r="G3720">
        <f t="shared" si="118"/>
        <v>1.8743165020115971E-2</v>
      </c>
    </row>
    <row r="3721" spans="1:7" x14ac:dyDescent="0.25">
      <c r="A3721" s="1">
        <v>40620</v>
      </c>
      <c r="B3721">
        <v>0.37890601158142001</v>
      </c>
      <c r="C3721">
        <f>C3722*(1+G3721*3)</f>
        <v>0.37678445419940315</v>
      </c>
      <c r="D3721">
        <f t="shared" si="117"/>
        <v>0.37973883848361678</v>
      </c>
      <c r="F3721">
        <v>2221.07006835937</v>
      </c>
      <c r="G3721">
        <f t="shared" si="118"/>
        <v>-1.8739200685319313E-3</v>
      </c>
    </row>
    <row r="3722" spans="1:7" x14ac:dyDescent="0.25">
      <c r="A3722" s="1">
        <v>40619</v>
      </c>
      <c r="B3722">
        <v>0.38098999857902499</v>
      </c>
      <c r="C3722">
        <f>C3723*(1+G3722*3)</f>
        <v>0.37891462133896492</v>
      </c>
      <c r="D3722">
        <f t="shared" si="117"/>
        <v>0.38186724089832419</v>
      </c>
      <c r="F3722">
        <v>2225.23999023437</v>
      </c>
      <c r="G3722">
        <f t="shared" si="118"/>
        <v>1.0109089015018169E-2</v>
      </c>
    </row>
    <row r="3723" spans="1:7" x14ac:dyDescent="0.25">
      <c r="A3723" s="1">
        <v>40618</v>
      </c>
      <c r="B3723">
        <v>0.37130200862884499</v>
      </c>
      <c r="C3723">
        <f>C3724*(1+G3723*3)</f>
        <v>0.36776142247082316</v>
      </c>
      <c r="D3723">
        <f t="shared" si="117"/>
        <v>0.37060983517182483</v>
      </c>
      <c r="F3723">
        <v>2202.96997070312</v>
      </c>
      <c r="G3723">
        <f t="shared" si="118"/>
        <v>-2.5070650616658141E-2</v>
      </c>
    </row>
    <row r="3724" spans="1:7" x14ac:dyDescent="0.25">
      <c r="A3724" s="1">
        <v>40617</v>
      </c>
      <c r="B3724">
        <v>0.400729000568389</v>
      </c>
      <c r="C3724">
        <f>C3725*(1+G3724*3)</f>
        <v>0.39767103738689574</v>
      </c>
      <c r="D3724">
        <f t="shared" si="117"/>
        <v>0.40073027020997881</v>
      </c>
      <c r="F3724">
        <v>2259.6201171875</v>
      </c>
      <c r="G3724">
        <f t="shared" si="118"/>
        <v>-1.3576453653597054E-2</v>
      </c>
    </row>
    <row r="3725" spans="1:7" x14ac:dyDescent="0.25">
      <c r="A3725" s="1">
        <v>40616</v>
      </c>
      <c r="B3725">
        <v>0.41781300306320102</v>
      </c>
      <c r="C3725">
        <f>C3726*(1+G3725*3)</f>
        <v>0.41455562299415016</v>
      </c>
      <c r="D3725">
        <f t="shared" si="117"/>
        <v>0.41772380593044384</v>
      </c>
      <c r="F3725">
        <v>2290.71997070312</v>
      </c>
      <c r="G3725">
        <f t="shared" si="118"/>
        <v>-3.7142554675103634E-3</v>
      </c>
    </row>
    <row r="3726" spans="1:7" x14ac:dyDescent="0.25">
      <c r="A3726" s="1">
        <v>40613</v>
      </c>
      <c r="B3726">
        <v>0.42192700505256597</v>
      </c>
      <c r="C3726">
        <f>C3727*(1+G3726*3)</f>
        <v>0.41922697120391605</v>
      </c>
      <c r="D3726">
        <f t="shared" si="117"/>
        <v>0.42241031204057722</v>
      </c>
      <c r="F3726">
        <v>2299.26000976562</v>
      </c>
      <c r="G3726">
        <f t="shared" si="118"/>
        <v>6.5534456864611013E-3</v>
      </c>
    </row>
    <row r="3727" spans="1:7" x14ac:dyDescent="0.25">
      <c r="A3727" s="1">
        <v>40612</v>
      </c>
      <c r="B3727">
        <v>0.41499999165534901</v>
      </c>
      <c r="C3727">
        <f>C3728*(1+G3727*3)</f>
        <v>0.41114374656655983</v>
      </c>
      <c r="D3727">
        <f t="shared" si="117"/>
        <v>0.41424617195736035</v>
      </c>
      <c r="F3727">
        <v>2284.2900390625</v>
      </c>
      <c r="G3727">
        <f t="shared" si="118"/>
        <v>-1.6532513298137874E-2</v>
      </c>
    </row>
    <row r="3728" spans="1:7" x14ac:dyDescent="0.25">
      <c r="A3728" s="1">
        <v>40611</v>
      </c>
      <c r="B3728">
        <v>0.43489599227905201</v>
      </c>
      <c r="C3728">
        <f>C3729*(1+G3728*3)</f>
        <v>0.43259962365931082</v>
      </c>
      <c r="D3728">
        <f t="shared" si="117"/>
        <v>0.43584189867916856</v>
      </c>
      <c r="F3728">
        <v>2322.68994140625</v>
      </c>
      <c r="G3728">
        <f t="shared" si="118"/>
        <v>-6.3571290930518609E-3</v>
      </c>
    </row>
    <row r="3729" spans="1:7" x14ac:dyDescent="0.25">
      <c r="A3729" s="1">
        <v>40610</v>
      </c>
      <c r="B3729">
        <v>0.44385400414466802</v>
      </c>
      <c r="C3729">
        <f>C3730*(1+G3729*3)</f>
        <v>0.44101030192135021</v>
      </c>
      <c r="D3729">
        <f t="shared" si="117"/>
        <v>0.44429383274792894</v>
      </c>
      <c r="F3729">
        <v>2337.55004882812</v>
      </c>
      <c r="G3729">
        <f t="shared" si="118"/>
        <v>4.0720339982853737E-3</v>
      </c>
    </row>
    <row r="3730" spans="1:7" x14ac:dyDescent="0.25">
      <c r="A3730" s="1">
        <v>40609</v>
      </c>
      <c r="B3730">
        <v>0.43927100300788802</v>
      </c>
      <c r="C3730">
        <f>C3731*(1+G3730*3)</f>
        <v>0.43568789416826659</v>
      </c>
      <c r="D3730">
        <f t="shared" si="117"/>
        <v>0.43891094505329614</v>
      </c>
      <c r="F3730">
        <v>2328.07006835937</v>
      </c>
      <c r="G3730">
        <f t="shared" si="118"/>
        <v>-1.3512895602458275E-2</v>
      </c>
    </row>
    <row r="3731" spans="1:7" x14ac:dyDescent="0.25">
      <c r="A3731" s="1">
        <v>40606</v>
      </c>
      <c r="B3731">
        <v>0.457500010728836</v>
      </c>
      <c r="C3731">
        <f>C3732*(1+G3731*3)</f>
        <v>0.454096364467794</v>
      </c>
      <c r="D3731">
        <f t="shared" si="117"/>
        <v>0.45743266716728809</v>
      </c>
      <c r="F3731">
        <v>2359.9599609375</v>
      </c>
      <c r="G3731">
        <f t="shared" si="118"/>
        <v>-4.9752288509519182E-3</v>
      </c>
    </row>
    <row r="3732" spans="1:7" x14ac:dyDescent="0.25">
      <c r="A3732" s="1">
        <v>40605</v>
      </c>
      <c r="B3732">
        <v>0.464374989271163</v>
      </c>
      <c r="C3732">
        <f>C3733*(1+G3732*3)</f>
        <v>0.46097675908200331</v>
      </c>
      <c r="D3732">
        <f t="shared" si="117"/>
        <v>0.46434094483507649</v>
      </c>
      <c r="F3732">
        <v>2371.76000976562</v>
      </c>
      <c r="G3732">
        <f t="shared" si="118"/>
        <v>1.9335813104310873E-2</v>
      </c>
    </row>
    <row r="3733" spans="1:7" x14ac:dyDescent="0.25">
      <c r="A3733" s="1">
        <v>40604</v>
      </c>
      <c r="B3733">
        <v>0.43822899460792503</v>
      </c>
      <c r="C3733">
        <f>C3734*(1+G3733*3)</f>
        <v>0.43570275780041817</v>
      </c>
      <c r="D3733">
        <f t="shared" si="117"/>
        <v>0.43886254773480998</v>
      </c>
      <c r="F3733">
        <v>2326.77001953125</v>
      </c>
      <c r="G3733">
        <f t="shared" si="118"/>
        <v>4.9713681042653501E-3</v>
      </c>
    </row>
    <row r="3734" spans="1:7" x14ac:dyDescent="0.25">
      <c r="A3734" s="1">
        <v>40603</v>
      </c>
      <c r="B3734">
        <v>0.43213498592376698</v>
      </c>
      <c r="C3734">
        <f>C3735*(1+G3734*3)</f>
        <v>0.42930013086716823</v>
      </c>
      <c r="D3734">
        <f t="shared" si="117"/>
        <v>0.43239300004676046</v>
      </c>
      <c r="F3734">
        <v>2315.26000976562</v>
      </c>
      <c r="G3734">
        <f t="shared" si="118"/>
        <v>-1.5197844574909469E-2</v>
      </c>
    </row>
    <row r="3735" spans="1:7" x14ac:dyDescent="0.25">
      <c r="A3735" s="1">
        <v>40602</v>
      </c>
      <c r="B3735">
        <v>0.45395800471305803</v>
      </c>
      <c r="C3735">
        <f>C3736*(1+G3735*3)</f>
        <v>0.44980848939821488</v>
      </c>
      <c r="D3735">
        <f t="shared" si="117"/>
        <v>0.45302628356797014</v>
      </c>
      <c r="F3735">
        <v>2350.98999023437</v>
      </c>
      <c r="G3735">
        <f t="shared" si="118"/>
        <v>2.0031415952939113E-3</v>
      </c>
    </row>
    <row r="3736" spans="1:7" x14ac:dyDescent="0.25">
      <c r="A3736" s="1">
        <v>40599</v>
      </c>
      <c r="B3736">
        <v>0.45067700743675199</v>
      </c>
      <c r="C3736">
        <f>C3737*(1+G3736*3)</f>
        <v>0.44712154609679899</v>
      </c>
      <c r="D3736">
        <f t="shared" si="117"/>
        <v>0.45029859359384389</v>
      </c>
      <c r="F3736">
        <v>2346.2900390625</v>
      </c>
      <c r="G3736">
        <f t="shared" si="118"/>
        <v>1.4256619144602745E-2</v>
      </c>
    </row>
    <row r="3737" spans="1:7" x14ac:dyDescent="0.25">
      <c r="A3737" s="1">
        <v>40598</v>
      </c>
      <c r="B3737">
        <v>0.43216100335121099</v>
      </c>
      <c r="C3737">
        <f>C3738*(1+G3737*3)</f>
        <v>0.42878257643267259</v>
      </c>
      <c r="D3737">
        <f t="shared" si="117"/>
        <v>0.43180940172688359</v>
      </c>
      <c r="F3737">
        <v>2313.31005859375</v>
      </c>
      <c r="G3737">
        <f t="shared" si="118"/>
        <v>5.3761147628823558E-3</v>
      </c>
    </row>
    <row r="3738" spans="1:7" x14ac:dyDescent="0.25">
      <c r="A3738" s="1">
        <v>40597</v>
      </c>
      <c r="B3738">
        <v>0.42609399557113598</v>
      </c>
      <c r="C3738">
        <f>C3739*(1+G3738*3)</f>
        <v>0.42197678948996054</v>
      </c>
      <c r="D3738">
        <f t="shared" si="117"/>
        <v>0.42493546154752032</v>
      </c>
      <c r="F3738">
        <v>2300.93994140625</v>
      </c>
      <c r="G3738">
        <f t="shared" si="118"/>
        <v>-9.4367137933024647E-3</v>
      </c>
    </row>
    <row r="3739" spans="1:7" x14ac:dyDescent="0.25">
      <c r="A3739" s="1">
        <v>40596</v>
      </c>
      <c r="B3739">
        <v>0.43687498569488498</v>
      </c>
      <c r="C3739">
        <f>C3740*(1+G3739*3)</f>
        <v>0.43427106472966015</v>
      </c>
      <c r="D3739">
        <f t="shared" si="117"/>
        <v>0.43729429580639712</v>
      </c>
      <c r="F3739">
        <v>2322.86010742187</v>
      </c>
      <c r="G3739">
        <f t="shared" si="118"/>
        <v>-2.9095396863348055E-2</v>
      </c>
    </row>
    <row r="3740" spans="1:7" x14ac:dyDescent="0.25">
      <c r="A3740" s="1">
        <v>40592</v>
      </c>
      <c r="B3740">
        <v>0.47906300425529402</v>
      </c>
      <c r="C3740">
        <f>C3741*(1+G3740*3)</f>
        <v>0.47580200962490571</v>
      </c>
      <c r="D3740">
        <f t="shared" si="117"/>
        <v>0.47908912119384156</v>
      </c>
      <c r="F3740">
        <v>2392.46997070312</v>
      </c>
      <c r="G3740">
        <f t="shared" si="118"/>
        <v>-2.1271944138592236E-3</v>
      </c>
    </row>
    <row r="3741" spans="1:7" x14ac:dyDescent="0.25">
      <c r="A3741" s="1">
        <v>40591</v>
      </c>
      <c r="B3741">
        <v>0.48179700970649703</v>
      </c>
      <c r="C3741">
        <f>C3742*(1+G3741*3)</f>
        <v>0.47885788105373561</v>
      </c>
      <c r="D3741">
        <f t="shared" si="117"/>
        <v>0.48214276961059782</v>
      </c>
      <c r="F3741">
        <v>2397.57006835937</v>
      </c>
      <c r="G3741">
        <f t="shared" si="118"/>
        <v>-1.5424616792658608E-4</v>
      </c>
    </row>
    <row r="3742" spans="1:7" x14ac:dyDescent="0.25">
      <c r="A3742" s="1">
        <v>40590</v>
      </c>
      <c r="B3742">
        <v>0.48221400380134499</v>
      </c>
      <c r="C3742">
        <f>C3743*(1+G3742*3)</f>
        <v>0.47907956961697162</v>
      </c>
      <c r="D3742">
        <f t="shared" si="117"/>
        <v>0.48234277276376947</v>
      </c>
      <c r="F3742">
        <v>2397.93994140625</v>
      </c>
      <c r="G3742">
        <f t="shared" si="118"/>
        <v>6.7256751094466605E-3</v>
      </c>
    </row>
    <row r="3743" spans="1:7" x14ac:dyDescent="0.25">
      <c r="A3743" s="1">
        <v>40589</v>
      </c>
      <c r="B3743">
        <v>0.47346401214599598</v>
      </c>
      <c r="C3743">
        <f>C3744*(1+G3743*3)</f>
        <v>0.46960435073783569</v>
      </c>
      <c r="D3743">
        <f t="shared" si="117"/>
        <v>0.47278072844135793</v>
      </c>
      <c r="F3743">
        <v>2381.919921875</v>
      </c>
      <c r="G3743">
        <f t="shared" si="118"/>
        <v>-1.5426624876757611E-3</v>
      </c>
    </row>
    <row r="3744" spans="1:7" x14ac:dyDescent="0.25">
      <c r="A3744" s="1">
        <v>40588</v>
      </c>
      <c r="B3744">
        <v>0.47468799352645802</v>
      </c>
      <c r="C3744">
        <f>C3745*(1+G3744*3)</f>
        <v>0.47178777866269611</v>
      </c>
      <c r="D3744">
        <f t="shared" si="117"/>
        <v>0.47495597855994875</v>
      </c>
      <c r="F3744">
        <v>2385.60009765625</v>
      </c>
      <c r="G3744">
        <f t="shared" si="118"/>
        <v>2.7111344712436036E-3</v>
      </c>
    </row>
    <row r="3745" spans="1:7" x14ac:dyDescent="0.25">
      <c r="A3745" s="1">
        <v>40585</v>
      </c>
      <c r="B3745">
        <v>0.47171899676322898</v>
      </c>
      <c r="C3745">
        <f>C3746*(1+G3745*3)</f>
        <v>0.46798149636261754</v>
      </c>
      <c r="D3745">
        <f t="shared" si="117"/>
        <v>0.47110166383387969</v>
      </c>
      <c r="F3745">
        <v>2379.14990234375</v>
      </c>
      <c r="G3745">
        <f t="shared" si="118"/>
        <v>6.2595656633808172E-3</v>
      </c>
    </row>
    <row r="3746" spans="1:7" x14ac:dyDescent="0.25">
      <c r="A3746" s="1">
        <v>40584</v>
      </c>
      <c r="B3746">
        <v>0.462240010499954</v>
      </c>
      <c r="C3746">
        <f>C3747*(1+G3746*3)</f>
        <v>0.45935540048610346</v>
      </c>
      <c r="D3746">
        <f t="shared" si="117"/>
        <v>0.46239622895212251</v>
      </c>
      <c r="F3746">
        <v>2364.35009765625</v>
      </c>
      <c r="G3746">
        <f t="shared" si="118"/>
        <v>1.4401603399905039E-3</v>
      </c>
    </row>
    <row r="3747" spans="1:7" x14ac:dyDescent="0.25">
      <c r="A3747" s="1">
        <v>40583</v>
      </c>
      <c r="B3747">
        <v>0.46000000834464999</v>
      </c>
      <c r="C3747">
        <f>C3748*(1+G3747*3)</f>
        <v>0.45737930189334541</v>
      </c>
      <c r="D3747">
        <f t="shared" si="117"/>
        <v>0.46038500478610217</v>
      </c>
      <c r="F3747">
        <v>2360.94995117187</v>
      </c>
      <c r="G3747">
        <f t="shared" si="118"/>
        <v>-1.1254632232478023E-3</v>
      </c>
    </row>
    <row r="3748" spans="1:7" x14ac:dyDescent="0.25">
      <c r="A3748" s="1">
        <v>40582</v>
      </c>
      <c r="B3748">
        <v>0.46281298995018</v>
      </c>
      <c r="C3748">
        <f>C3749*(1+G3748*3)</f>
        <v>0.4589288244353163</v>
      </c>
      <c r="D3748">
        <f t="shared" si="117"/>
        <v>0.46192242145420859</v>
      </c>
      <c r="F3748">
        <v>2363.61010742187</v>
      </c>
      <c r="G3748">
        <f t="shared" si="118"/>
        <v>6.1340697043739123E-3</v>
      </c>
    </row>
    <row r="3749" spans="1:7" x14ac:dyDescent="0.25">
      <c r="A3749" s="1">
        <v>40581</v>
      </c>
      <c r="B3749">
        <v>0.45315098762512201</v>
      </c>
      <c r="C3749">
        <f>C3750*(1+G3749*3)</f>
        <v>0.45063612424306865</v>
      </c>
      <c r="D3749">
        <f t="shared" si="117"/>
        <v>0.45355421101460119</v>
      </c>
      <c r="F3749">
        <v>2349.19995117187</v>
      </c>
      <c r="G3749">
        <f t="shared" si="118"/>
        <v>4.7044736248869068E-3</v>
      </c>
    </row>
    <row r="3750" spans="1:7" x14ac:dyDescent="0.25">
      <c r="A3750" s="1">
        <v>40578</v>
      </c>
      <c r="B3750">
        <v>0.44666698575019798</v>
      </c>
      <c r="C3750">
        <f>C3751*(1+G3750*3)</f>
        <v>0.44436461934839633</v>
      </c>
      <c r="D3750">
        <f t="shared" si="117"/>
        <v>0.44722088795820197</v>
      </c>
      <c r="F3750">
        <v>2338.19995117187</v>
      </c>
      <c r="G3750">
        <f t="shared" si="118"/>
        <v>6.5128826799378814E-3</v>
      </c>
    </row>
    <row r="3751" spans="1:7" x14ac:dyDescent="0.25">
      <c r="A3751" s="1">
        <v>40577</v>
      </c>
      <c r="B3751">
        <v>0.43874999880790699</v>
      </c>
      <c r="C3751">
        <f>C3752*(1+G3751*3)</f>
        <v>0.43584872452137158</v>
      </c>
      <c r="D3751">
        <f t="shared" si="117"/>
        <v>0.43862956595716729</v>
      </c>
      <c r="F3751">
        <v>2323.07006835937</v>
      </c>
      <c r="G3751">
        <f t="shared" si="118"/>
        <v>8.530390436285451E-4</v>
      </c>
    </row>
    <row r="3752" spans="1:7" x14ac:dyDescent="0.25">
      <c r="A3752" s="1">
        <v>40576</v>
      </c>
      <c r="B3752">
        <v>0.43705698847770602</v>
      </c>
      <c r="C3752">
        <f>C3753*(1+G3752*3)</f>
        <v>0.43473618370623313</v>
      </c>
      <c r="D3752">
        <f t="shared" si="117"/>
        <v>0.43748894207055256</v>
      </c>
      <c r="F3752">
        <v>2321.09008789062</v>
      </c>
      <c r="G3752">
        <f t="shared" si="118"/>
        <v>-1.6601919879197791E-3</v>
      </c>
    </row>
    <row r="3753" spans="1:7" x14ac:dyDescent="0.25">
      <c r="A3753" s="1">
        <v>40575</v>
      </c>
      <c r="B3753">
        <v>0.43903601169586098</v>
      </c>
      <c r="C3753">
        <f>C3754*(1+G3753*3)</f>
        <v>0.43691225839868542</v>
      </c>
      <c r="D3753">
        <f t="shared" si="117"/>
        <v>0.43965754715559041</v>
      </c>
      <c r="F3753">
        <v>2324.94995117187</v>
      </c>
      <c r="G3753">
        <f t="shared" si="118"/>
        <v>1.886141027483168E-2</v>
      </c>
    </row>
    <row r="3754" spans="1:7" x14ac:dyDescent="0.25">
      <c r="A3754" s="1">
        <v>40574</v>
      </c>
      <c r="B3754">
        <v>0.41593798995018</v>
      </c>
      <c r="C3754">
        <f>C3755*(1+G3754*3)</f>
        <v>0.4135138928372471</v>
      </c>
      <c r="D3754">
        <f t="shared" si="117"/>
        <v>0.41609322266013771</v>
      </c>
      <c r="F3754">
        <v>2281.90991210937</v>
      </c>
      <c r="G3754">
        <f t="shared" si="118"/>
        <v>5.0208553561614799E-3</v>
      </c>
    </row>
    <row r="3755" spans="1:7" x14ac:dyDescent="0.25">
      <c r="A3755" s="1">
        <v>40571</v>
      </c>
      <c r="B3755">
        <v>0.40986999869346602</v>
      </c>
      <c r="C3755">
        <f>C3756*(1+G3755*3)</f>
        <v>0.40737773873275518</v>
      </c>
      <c r="D3755">
        <f t="shared" si="117"/>
        <v>0.40989937456581782</v>
      </c>
      <c r="F3755">
        <v>2270.51000976562</v>
      </c>
      <c r="G3755">
        <f t="shared" si="118"/>
        <v>-2.5561488215539829E-2</v>
      </c>
    </row>
    <row r="3756" spans="1:7" x14ac:dyDescent="0.25">
      <c r="A3756" s="1">
        <v>40570</v>
      </c>
      <c r="B3756">
        <v>0.44330701231956399</v>
      </c>
      <c r="C3756">
        <f>C3757*(1+G3756*3)</f>
        <v>0.44121183185425283</v>
      </c>
      <c r="D3756">
        <f t="shared" si="117"/>
        <v>0.44391977734416588</v>
      </c>
      <c r="F3756">
        <v>2330.07006835937</v>
      </c>
      <c r="G3756">
        <f t="shared" si="118"/>
        <v>6.8620672266297422E-3</v>
      </c>
    </row>
    <row r="3757" spans="1:7" x14ac:dyDescent="0.25">
      <c r="A3757" s="1">
        <v>40569</v>
      </c>
      <c r="B3757">
        <v>0.43492200970649703</v>
      </c>
      <c r="C3757">
        <f>C3758*(1+G3757*3)</f>
        <v>0.43231216640790976</v>
      </c>
      <c r="D3757">
        <f t="shared" si="117"/>
        <v>0.43494499583587304</v>
      </c>
      <c r="F3757">
        <v>2314.18994140625</v>
      </c>
      <c r="G3757">
        <f t="shared" si="118"/>
        <v>4.4096266021673713E-3</v>
      </c>
    </row>
    <row r="3758" spans="1:7" x14ac:dyDescent="0.25">
      <c r="A3758" s="1">
        <v>40568</v>
      </c>
      <c r="B3758">
        <v>0.428281009197235</v>
      </c>
      <c r="C3758">
        <f>C3759*(1+G3758*3)</f>
        <v>0.42666782898101868</v>
      </c>
      <c r="D3758">
        <f t="shared" si="117"/>
        <v>0.42924591122817718</v>
      </c>
      <c r="F3758">
        <v>2304.03002929687</v>
      </c>
      <c r="G3758">
        <f t="shared" si="118"/>
        <v>1.5823998925115212E-3</v>
      </c>
    </row>
    <row r="3759" spans="1:7" x14ac:dyDescent="0.25">
      <c r="A3759" s="1">
        <v>40567</v>
      </c>
      <c r="B3759">
        <v>0.42679700255393899</v>
      </c>
      <c r="C3759">
        <f>C3760*(1+G3759*3)</f>
        <v>0.42465192151613285</v>
      </c>
      <c r="D3759">
        <f t="shared" si="117"/>
        <v>0.42719737645196609</v>
      </c>
      <c r="F3759">
        <v>2300.38989257812</v>
      </c>
      <c r="G3759">
        <f t="shared" si="118"/>
        <v>1.4138138909975506E-2</v>
      </c>
    </row>
    <row r="3760" spans="1:7" x14ac:dyDescent="0.25">
      <c r="A3760" s="1">
        <v>40564</v>
      </c>
      <c r="B3760">
        <v>0.40986999869346602</v>
      </c>
      <c r="C3760">
        <f>C3761*(1+G3760*3)</f>
        <v>0.40737341569802332</v>
      </c>
      <c r="D3760">
        <f t="shared" si="117"/>
        <v>0.40979639466302403</v>
      </c>
      <c r="F3760">
        <v>2268.32006835937</v>
      </c>
      <c r="G3760">
        <f t="shared" si="118"/>
        <v>-7.7687610051684342E-3</v>
      </c>
    </row>
    <row r="3761" spans="1:7" x14ac:dyDescent="0.25">
      <c r="A3761" s="1">
        <v>40563</v>
      </c>
      <c r="B3761">
        <v>0.419452995061874</v>
      </c>
      <c r="C3761">
        <f>C3762*(1+G3761*3)</f>
        <v>0.41709433429732046</v>
      </c>
      <c r="D3761">
        <f t="shared" si="117"/>
        <v>0.41955447398582651</v>
      </c>
      <c r="F3761">
        <v>2286.080078125</v>
      </c>
      <c r="G3761">
        <f t="shared" si="118"/>
        <v>-7.4848434966530153E-3</v>
      </c>
    </row>
    <row r="3762" spans="1:7" x14ac:dyDescent="0.25">
      <c r="A3762" s="1">
        <v>40562</v>
      </c>
      <c r="B3762">
        <v>0.42908900976181003</v>
      </c>
      <c r="C3762">
        <f>C3763*(1+G3762*3)</f>
        <v>0.42667512387569428</v>
      </c>
      <c r="D3762">
        <f t="shared" si="117"/>
        <v>0.4291706612626196</v>
      </c>
      <c r="F3762">
        <v>2303.32006835937</v>
      </c>
      <c r="G3762">
        <f t="shared" si="118"/>
        <v>-1.0936997443266039E-2</v>
      </c>
    </row>
    <row r="3763" spans="1:7" x14ac:dyDescent="0.25">
      <c r="A3763" s="1">
        <v>40561</v>
      </c>
      <c r="B3763">
        <v>0.44395801424980103</v>
      </c>
      <c r="C3763">
        <f>C3764*(1+G3763*3)</f>
        <v>0.44114968273211042</v>
      </c>
      <c r="D3763">
        <f t="shared" si="117"/>
        <v>0.44370781756089661</v>
      </c>
      <c r="F3763">
        <v>2328.7900390625</v>
      </c>
      <c r="G3763">
        <f t="shared" si="118"/>
        <v>2.3069804468323074E-3</v>
      </c>
    </row>
    <row r="3764" spans="1:7" x14ac:dyDescent="0.25">
      <c r="A3764" s="1">
        <v>40557</v>
      </c>
      <c r="B3764">
        <v>0.44044300913810702</v>
      </c>
      <c r="C3764">
        <f>C3765*(1+G3764*3)</f>
        <v>0.43811749723351195</v>
      </c>
      <c r="D3764">
        <f t="shared" si="117"/>
        <v>0.44063700486990942</v>
      </c>
      <c r="F3764">
        <v>2323.42993164062</v>
      </c>
      <c r="G3764">
        <f t="shared" si="118"/>
        <v>7.7638990237784977E-3</v>
      </c>
    </row>
    <row r="3765" spans="1:7" x14ac:dyDescent="0.25">
      <c r="A3765" s="1">
        <v>40556</v>
      </c>
      <c r="B3765">
        <v>0.431093990802764</v>
      </c>
      <c r="C3765">
        <f>C3766*(1+G3765*3)</f>
        <v>0.42814526736355413</v>
      </c>
      <c r="D3765">
        <f t="shared" si="117"/>
        <v>0.43058719189198635</v>
      </c>
      <c r="F3765">
        <v>2305.53002929687</v>
      </c>
      <c r="G3765">
        <f t="shared" si="118"/>
        <v>2.8207391162471396E-4</v>
      </c>
    </row>
    <row r="3766" spans="1:7" x14ac:dyDescent="0.25">
      <c r="A3766" s="1">
        <v>40555</v>
      </c>
      <c r="B3766">
        <v>0.42974001169204701</v>
      </c>
      <c r="C3766">
        <f>C3767*(1+G3766*3)</f>
        <v>0.42778326786447174</v>
      </c>
      <c r="D3766">
        <f t="shared" si="117"/>
        <v>0.43020245718228245</v>
      </c>
      <c r="F3766">
        <v>2304.8798828125</v>
      </c>
      <c r="G3766">
        <f t="shared" si="118"/>
        <v>7.0562724662008858E-3</v>
      </c>
    </row>
    <row r="3767" spans="1:7" x14ac:dyDescent="0.25">
      <c r="A3767" s="1">
        <v>40554</v>
      </c>
      <c r="B3767">
        <v>0.421198010444641</v>
      </c>
      <c r="C3767">
        <f>C3768*(1+G3767*3)</f>
        <v>0.41891532582657287</v>
      </c>
      <c r="D3767">
        <f t="shared" si="117"/>
        <v>0.42126452710820744</v>
      </c>
      <c r="F3767">
        <v>2288.72998046875</v>
      </c>
      <c r="G3767">
        <f t="shared" si="118"/>
        <v>1.9042794453671963E-3</v>
      </c>
    </row>
    <row r="3768" spans="1:7" x14ac:dyDescent="0.25">
      <c r="A3768" s="1">
        <v>40553</v>
      </c>
      <c r="B3768">
        <v>0.41927099227905201</v>
      </c>
      <c r="C3768">
        <f>C3769*(1+G3768*3)</f>
        <v>0.41653572457088844</v>
      </c>
      <c r="D3768">
        <f t="shared" si="117"/>
        <v>0.41885155370949634</v>
      </c>
      <c r="F3768">
        <v>2284.3798828125</v>
      </c>
      <c r="G3768">
        <f t="shared" si="118"/>
        <v>3.3732735122504742E-3</v>
      </c>
    </row>
    <row r="3769" spans="1:7" x14ac:dyDescent="0.25">
      <c r="A3769" s="1">
        <v>40550</v>
      </c>
      <c r="B3769">
        <v>0.414608985185623</v>
      </c>
      <c r="C3769">
        <f>C3770*(1+G3769*3)</f>
        <v>0.41236268817055011</v>
      </c>
      <c r="D3769">
        <f t="shared" si="117"/>
        <v>0.41463557664263179</v>
      </c>
      <c r="F3769">
        <v>2276.69995117187</v>
      </c>
      <c r="G3769">
        <f t="shared" si="118"/>
        <v>-3.5567729242746982E-4</v>
      </c>
    </row>
    <row r="3770" spans="1:7" x14ac:dyDescent="0.25">
      <c r="A3770" s="1">
        <v>40549</v>
      </c>
      <c r="B3770">
        <v>0.41557300090789701</v>
      </c>
      <c r="C3770">
        <f>C3771*(1+G3770*3)</f>
        <v>0.41280316230377123</v>
      </c>
      <c r="D3770">
        <f t="shared" si="117"/>
        <v>0.41505849750944757</v>
      </c>
      <c r="F3770">
        <v>2277.51000976562</v>
      </c>
      <c r="G3770">
        <f t="shared" si="118"/>
        <v>3.1316542141013315E-3</v>
      </c>
    </row>
    <row r="3771" spans="1:7" x14ac:dyDescent="0.25">
      <c r="A3771" s="1">
        <v>40548</v>
      </c>
      <c r="B3771">
        <v>0.41184899210929798</v>
      </c>
      <c r="C3771">
        <f>C3772*(1+G3771*3)</f>
        <v>0.40896098908911926</v>
      </c>
      <c r="D3771">
        <f t="shared" si="117"/>
        <v>0.41117574369510251</v>
      </c>
      <c r="F3771">
        <v>2270.39990234375</v>
      </c>
      <c r="G3771">
        <f t="shared" si="118"/>
        <v>8.4122932385453097E-3</v>
      </c>
    </row>
    <row r="3772" spans="1:7" x14ac:dyDescent="0.25">
      <c r="A3772" s="1">
        <v>40547</v>
      </c>
      <c r="B3772">
        <v>0.401874989271163</v>
      </c>
      <c r="C3772">
        <f>C3773*(1+G3772*3)</f>
        <v>0.39889414551937541</v>
      </c>
      <c r="D3772">
        <f>D3773*(1+3*G3772--0.0000480890792104776)</f>
        <v>0.40103557177709526</v>
      </c>
      <c r="F3772">
        <v>2251.4599609375</v>
      </c>
      <c r="G3772">
        <f t="shared" si="118"/>
        <v>-1.2288096402097715E-3</v>
      </c>
    </row>
    <row r="3773" spans="1:7" x14ac:dyDescent="0.25">
      <c r="A3773" s="1">
        <v>40546</v>
      </c>
      <c r="B3773">
        <v>0.40250000357627802</v>
      </c>
      <c r="C3773">
        <f>C3774*(1+G3773*3)</f>
        <v>0.40037008136627877</v>
      </c>
      <c r="D3773">
        <v>0.40250000357627802</v>
      </c>
      <c r="E3773" s="2">
        <v>-4.80890792104776E-5</v>
      </c>
      <c r="F3773">
        <v>2254.22998046875</v>
      </c>
      <c r="G3773">
        <f t="shared" si="118"/>
        <v>1.6398632594170959E-2</v>
      </c>
    </row>
    <row r="3774" spans="1:7" x14ac:dyDescent="0.25">
      <c r="A3774" s="1">
        <v>40543</v>
      </c>
      <c r="B3774">
        <v>0.385104000568389</v>
      </c>
      <c r="C3774">
        <f>C3775*(1+G3774*3)</f>
        <v>0.38159707087348071</v>
      </c>
      <c r="D3774">
        <f t="shared" ref="D3774:D3837" si="119">D3775*(1+3*G3774--0.0000409173405459604)</f>
        <v>0.38510400056862942</v>
      </c>
      <c r="F3774">
        <v>2217.86010742187</v>
      </c>
      <c r="G3774">
        <f t="shared" si="118"/>
        <v>-3.5313801307929049E-3</v>
      </c>
    </row>
    <row r="3775" spans="1:7" x14ac:dyDescent="0.25">
      <c r="A3775" s="1">
        <v>40542</v>
      </c>
      <c r="B3775">
        <v>0.388671994209289</v>
      </c>
      <c r="C3775">
        <f>C3776*(1+G3775*3)</f>
        <v>0.38568305126554892</v>
      </c>
      <c r="D3775">
        <f t="shared" si="119"/>
        <v>0.38921143566351046</v>
      </c>
      <c r="F3775">
        <v>2225.71997070312</v>
      </c>
      <c r="G3775">
        <f t="shared" si="118"/>
        <v>-2.6527227330396252E-3</v>
      </c>
    </row>
    <row r="3776" spans="1:7" x14ac:dyDescent="0.25">
      <c r="A3776" s="1">
        <v>40541</v>
      </c>
      <c r="B3776">
        <v>0.39161500334739602</v>
      </c>
      <c r="C3776">
        <f>C3777*(1+G3776*3)</f>
        <v>0.38877700405577431</v>
      </c>
      <c r="D3776">
        <f t="shared" si="119"/>
        <v>0.39231751182080693</v>
      </c>
      <c r="F3776">
        <v>2231.63989257812</v>
      </c>
      <c r="G3776">
        <f t="shared" si="118"/>
        <v>1.8945555176537177E-3</v>
      </c>
    </row>
    <row r="3777" spans="1:7" x14ac:dyDescent="0.25">
      <c r="A3777" s="1">
        <v>40540</v>
      </c>
      <c r="B3777">
        <v>0.38929700851440402</v>
      </c>
      <c r="C3777">
        <f>C3778*(1+G3777*3)</f>
        <v>0.38657981330086622</v>
      </c>
      <c r="D3777">
        <f t="shared" si="119"/>
        <v>0.39008444071438558</v>
      </c>
      <c r="F3777">
        <v>2227.419921875</v>
      </c>
      <c r="G3777">
        <f t="shared" si="118"/>
        <v>-1.0943222575927614E-3</v>
      </c>
    </row>
    <row r="3778" spans="1:7" x14ac:dyDescent="0.25">
      <c r="A3778" s="1">
        <v>40539</v>
      </c>
      <c r="B3778">
        <v>0.39098998904228199</v>
      </c>
      <c r="C3778">
        <f>C3779*(1+G3778*3)</f>
        <v>0.38785312221381246</v>
      </c>
      <c r="D3778">
        <f t="shared" si="119"/>
        <v>0.3913532272225046</v>
      </c>
      <c r="F3778">
        <v>2229.86010742187</v>
      </c>
      <c r="G3778">
        <f t="shared" ref="G3778:G3841" si="120">F3778/F3779-1</f>
        <v>-1.8379483461206103E-4</v>
      </c>
    </row>
    <row r="3779" spans="1:7" x14ac:dyDescent="0.25">
      <c r="A3779" s="1">
        <v>40535</v>
      </c>
      <c r="B3779">
        <v>0.390832990407943</v>
      </c>
      <c r="C3779">
        <f>C3780*(1+G3779*3)</f>
        <v>0.38806709639721459</v>
      </c>
      <c r="D3779">
        <f t="shared" si="119"/>
        <v>0.39155310222387429</v>
      </c>
      <c r="F3779">
        <v>2230.27001953125</v>
      </c>
      <c r="G3779">
        <f t="shared" si="120"/>
        <v>-2.5224149450633337E-3</v>
      </c>
    </row>
    <row r="3780" spans="1:7" x14ac:dyDescent="0.25">
      <c r="A3780" s="1">
        <v>40534</v>
      </c>
      <c r="B3780">
        <v>0.393828004598617</v>
      </c>
      <c r="C3780">
        <f>C3781*(1+G3780*3)</f>
        <v>0.3910260865309404</v>
      </c>
      <c r="D3780">
        <f t="shared" si="119"/>
        <v>0.39452240706340874</v>
      </c>
      <c r="F3780">
        <v>2235.90991210937</v>
      </c>
      <c r="G3780">
        <f t="shared" si="120"/>
        <v>5.9959800275311004E-4</v>
      </c>
    </row>
    <row r="3781" spans="1:7" x14ac:dyDescent="0.25">
      <c r="A3781" s="1">
        <v>40533</v>
      </c>
      <c r="B3781">
        <v>0.39341101050376798</v>
      </c>
      <c r="C3781">
        <f>C3782*(1+G3781*3)</f>
        <v>0.39032397410504027</v>
      </c>
      <c r="D3781">
        <f t="shared" si="119"/>
        <v>0.39379793253778289</v>
      </c>
      <c r="F3781">
        <v>2234.57006835937</v>
      </c>
      <c r="G3781">
        <f t="shared" si="120"/>
        <v>5.1866044219934793E-3</v>
      </c>
    </row>
    <row r="3782" spans="1:7" x14ac:dyDescent="0.25">
      <c r="A3782" s="1">
        <v>40532</v>
      </c>
      <c r="B3782">
        <v>0.387030988931655</v>
      </c>
      <c r="C3782">
        <f>C3783*(1+G3782*3)</f>
        <v>0.38434365854806857</v>
      </c>
      <c r="D3782">
        <f t="shared" si="119"/>
        <v>0.38774876845805634</v>
      </c>
      <c r="F3782">
        <v>2223.0400390625</v>
      </c>
      <c r="G3782">
        <f t="shared" si="120"/>
        <v>2.1412889731982077E-3</v>
      </c>
    </row>
    <row r="3783" spans="1:7" x14ac:dyDescent="0.25">
      <c r="A3783" s="1">
        <v>40529</v>
      </c>
      <c r="B3783">
        <v>0.38598999381065302</v>
      </c>
      <c r="C3783">
        <f>C3784*(1+G3783*3)</f>
        <v>0.38189044515055665</v>
      </c>
      <c r="D3783">
        <f t="shared" si="119"/>
        <v>0.38525815758481124</v>
      </c>
      <c r="F3783">
        <v>2218.2900390625</v>
      </c>
      <c r="G3783">
        <f t="shared" si="120"/>
        <v>1.2173899643475039E-4</v>
      </c>
    </row>
    <row r="3784" spans="1:7" x14ac:dyDescent="0.25">
      <c r="A3784" s="1">
        <v>40528</v>
      </c>
      <c r="B3784">
        <v>0.38481798768043501</v>
      </c>
      <c r="C3784">
        <f>C3785*(1+G3784*3)</f>
        <v>0.38175102319120291</v>
      </c>
      <c r="D3784">
        <f t="shared" si="119"/>
        <v>0.38510175454180623</v>
      </c>
      <c r="F3784">
        <v>2218.02001953125</v>
      </c>
      <c r="G3784">
        <f t="shared" si="120"/>
        <v>7.0694311809880173E-3</v>
      </c>
    </row>
    <row r="3785" spans="1:7" x14ac:dyDescent="0.25">
      <c r="A3785" s="1">
        <v>40527</v>
      </c>
      <c r="B3785">
        <v>0.37695300579071001</v>
      </c>
      <c r="C3785">
        <f>C3786*(1+G3785*3)</f>
        <v>0.37382287786437957</v>
      </c>
      <c r="D3785">
        <f t="shared" si="119"/>
        <v>0.37708891271371892</v>
      </c>
      <c r="F3785">
        <v>2202.44995117187</v>
      </c>
      <c r="G3785">
        <f t="shared" si="120"/>
        <v>-4.5829260350782608E-3</v>
      </c>
    </row>
    <row r="3786" spans="1:7" x14ac:dyDescent="0.25">
      <c r="A3786" s="1">
        <v>40526</v>
      </c>
      <c r="B3786">
        <v>0.380832999944686</v>
      </c>
      <c r="C3786">
        <f>C3787*(1+G3786*3)</f>
        <v>0.37903413406799019</v>
      </c>
      <c r="D3786">
        <f t="shared" si="119"/>
        <v>0.3823298368839097</v>
      </c>
      <c r="F3786">
        <v>2212.59008789062</v>
      </c>
      <c r="G3786">
        <f t="shared" si="120"/>
        <v>2.328540547893887E-3</v>
      </c>
    </row>
    <row r="3787" spans="1:7" x14ac:dyDescent="0.25">
      <c r="A3787" s="1">
        <v>40525</v>
      </c>
      <c r="B3787">
        <v>0.37924501299857999</v>
      </c>
      <c r="C3787">
        <f>C3788*(1+G3787*3)</f>
        <v>0.37640471315697704</v>
      </c>
      <c r="D3787">
        <f t="shared" si="119"/>
        <v>0.3796621261536563</v>
      </c>
      <c r="F3787">
        <v>2207.44995117187</v>
      </c>
      <c r="G3787">
        <f t="shared" si="120"/>
        <v>-3.5615916318576524E-3</v>
      </c>
    </row>
    <row r="3788" spans="1:7" x14ac:dyDescent="0.25">
      <c r="A3788" s="1">
        <v>40522</v>
      </c>
      <c r="B3788">
        <v>0.38374999165534901</v>
      </c>
      <c r="C3788">
        <f>C3789*(1+G3788*3)</f>
        <v>0.38046994891567115</v>
      </c>
      <c r="D3788">
        <f t="shared" si="119"/>
        <v>0.38374667105760929</v>
      </c>
      <c r="F3788">
        <v>2215.34008789062</v>
      </c>
      <c r="G3788">
        <f t="shared" si="120"/>
        <v>6.254636056853613E-3</v>
      </c>
    </row>
    <row r="3789" spans="1:7" x14ac:dyDescent="0.25">
      <c r="A3789" s="1">
        <v>40521</v>
      </c>
      <c r="B3789">
        <v>0.37585899233817999</v>
      </c>
      <c r="C3789">
        <f>C3790*(1+G3789*3)</f>
        <v>0.37346233593894956</v>
      </c>
      <c r="D3789">
        <f t="shared" si="119"/>
        <v>0.37666357819329521</v>
      </c>
      <c r="F3789">
        <v>2201.57006835937</v>
      </c>
      <c r="G3789">
        <f t="shared" si="120"/>
        <v>4.4077554306798383E-4</v>
      </c>
    </row>
    <row r="3790" spans="1:7" x14ac:dyDescent="0.25">
      <c r="A3790" s="1">
        <v>40520</v>
      </c>
      <c r="B3790">
        <v>0.37546899914741499</v>
      </c>
      <c r="C3790">
        <f>C3791*(1+G3790*3)</f>
        <v>0.37296914890148558</v>
      </c>
      <c r="D3790">
        <f t="shared" si="119"/>
        <v>0.37615079289316694</v>
      </c>
      <c r="F3790">
        <v>2200.60009765625</v>
      </c>
      <c r="G3790">
        <f t="shared" si="120"/>
        <v>5.1385112011292922E-3</v>
      </c>
    </row>
    <row r="3791" spans="1:7" x14ac:dyDescent="0.25">
      <c r="A3791" s="1">
        <v>40519</v>
      </c>
      <c r="B3791">
        <v>0.37033900618553101</v>
      </c>
      <c r="C3791">
        <f>C3792*(1+G3791*3)</f>
        <v>0.36730691678305954</v>
      </c>
      <c r="D3791">
        <f t="shared" si="119"/>
        <v>0.37042533192192528</v>
      </c>
      <c r="F3791">
        <v>2189.35009765625</v>
      </c>
      <c r="G3791">
        <f t="shared" si="120"/>
        <v>-2.100460428953177E-4</v>
      </c>
    </row>
    <row r="3792" spans="1:7" x14ac:dyDescent="0.25">
      <c r="A3792" s="1">
        <v>40518</v>
      </c>
      <c r="B3792">
        <v>0.37000000476837103</v>
      </c>
      <c r="C3792">
        <f>C3793*(1+G3792*3)</f>
        <v>0.36753851681626615</v>
      </c>
      <c r="D3792">
        <f t="shared" si="119"/>
        <v>0.37064372290845654</v>
      </c>
      <c r="F3792">
        <v>2189.81005859375</v>
      </c>
      <c r="G3792">
        <f t="shared" si="120"/>
        <v>-6.2061060060847328E-4</v>
      </c>
    </row>
    <row r="3793" spans="1:7" x14ac:dyDescent="0.25">
      <c r="A3793" s="1">
        <v>40515</v>
      </c>
      <c r="B3793">
        <v>0.37065100669860801</v>
      </c>
      <c r="C3793">
        <f>C3794*(1+G3793*3)</f>
        <v>0.36822408813375174</v>
      </c>
      <c r="D3793">
        <f t="shared" si="119"/>
        <v>0.37131986461970284</v>
      </c>
      <c r="F3793">
        <v>2191.169921875</v>
      </c>
      <c r="G3793">
        <f t="shared" si="120"/>
        <v>2.6860718966386088E-3</v>
      </c>
    </row>
    <row r="3794" spans="1:7" x14ac:dyDescent="0.25">
      <c r="A3794" s="1">
        <v>40514</v>
      </c>
      <c r="B3794">
        <v>0.36757799983024497</v>
      </c>
      <c r="C3794">
        <f>C3795*(1+G3794*3)</f>
        <v>0.36528057844530226</v>
      </c>
      <c r="D3794">
        <f t="shared" si="119"/>
        <v>0.36833665703438578</v>
      </c>
      <c r="F3794">
        <v>2185.30004882812</v>
      </c>
      <c r="G3794">
        <f t="shared" si="120"/>
        <v>1.0389152125440893E-2</v>
      </c>
    </row>
    <row r="3795" spans="1:7" x14ac:dyDescent="0.25">
      <c r="A3795" s="1">
        <v>40513</v>
      </c>
      <c r="B3795">
        <v>0.35674500465393</v>
      </c>
      <c r="C3795">
        <f>C3796*(1+G3795*3)</f>
        <v>0.35423982417846378</v>
      </c>
      <c r="D3795">
        <f t="shared" si="119"/>
        <v>0.35718935806034996</v>
      </c>
      <c r="F3795">
        <v>2162.830078125</v>
      </c>
      <c r="G3795">
        <f t="shared" si="120"/>
        <v>2.1489327748223541E-2</v>
      </c>
    </row>
    <row r="3796" spans="1:7" x14ac:dyDescent="0.25">
      <c r="A3796" s="1">
        <v>40512</v>
      </c>
      <c r="B3796">
        <v>0.33541700243949801</v>
      </c>
      <c r="C3796">
        <f>C3797*(1+G3796*3)</f>
        <v>0.33278579511493006</v>
      </c>
      <c r="D3796">
        <f t="shared" si="119"/>
        <v>0.33554379664085865</v>
      </c>
      <c r="F3796">
        <v>2117.330078125</v>
      </c>
      <c r="G3796">
        <f t="shared" si="120"/>
        <v>-1.269723380309784E-2</v>
      </c>
    </row>
    <row r="3797" spans="1:7" x14ac:dyDescent="0.25">
      <c r="A3797" s="1">
        <v>40511</v>
      </c>
      <c r="B3797">
        <v>0.34867200255393899</v>
      </c>
      <c r="C3797">
        <f>C3798*(1+G3797*3)</f>
        <v>0.34596415854036722</v>
      </c>
      <c r="D3797">
        <f t="shared" si="119"/>
        <v>0.3488165394635957</v>
      </c>
      <c r="F3797">
        <v>2144.56005859375</v>
      </c>
      <c r="G3797">
        <f t="shared" si="120"/>
        <v>-4.3408749191666818E-3</v>
      </c>
    </row>
    <row r="3798" spans="1:7" x14ac:dyDescent="0.25">
      <c r="A3798" s="1">
        <v>40508</v>
      </c>
      <c r="B3798">
        <v>0.35359400510787897</v>
      </c>
      <c r="C3798">
        <f>C3799*(1+G3798*3)</f>
        <v>0.35052896572767328</v>
      </c>
      <c r="D3798">
        <f t="shared" si="119"/>
        <v>0.35340433108968639</v>
      </c>
      <c r="F3798">
        <v>2153.90991210937</v>
      </c>
      <c r="G3798">
        <f t="shared" si="120"/>
        <v>-3.0594983439746759E-3</v>
      </c>
    </row>
    <row r="3799" spans="1:7" x14ac:dyDescent="0.25">
      <c r="A3799" s="1">
        <v>40506</v>
      </c>
      <c r="B3799">
        <v>0.35583299398422202</v>
      </c>
      <c r="C3799">
        <f>C3800*(1+G3799*3)</f>
        <v>0.3537760978845198</v>
      </c>
      <c r="D3799">
        <f t="shared" si="119"/>
        <v>0.35666337034589068</v>
      </c>
      <c r="F3799">
        <v>2160.52001953125</v>
      </c>
      <c r="G3799">
        <f t="shared" si="120"/>
        <v>2.0745394702316844E-2</v>
      </c>
    </row>
    <row r="3800" spans="1:7" x14ac:dyDescent="0.25">
      <c r="A3800" s="1">
        <v>40505</v>
      </c>
      <c r="B3800">
        <v>0.33619800209999001</v>
      </c>
      <c r="C3800">
        <f>C3801*(1+G3800*3)</f>
        <v>0.33304843421611413</v>
      </c>
      <c r="D3800">
        <f t="shared" si="119"/>
        <v>0.33575360878991789</v>
      </c>
      <c r="F3800">
        <v>2116.61010742187</v>
      </c>
      <c r="G3800">
        <f t="shared" si="120"/>
        <v>-1.5923862217638085E-2</v>
      </c>
    </row>
    <row r="3801" spans="1:7" x14ac:dyDescent="0.25">
      <c r="A3801" s="1">
        <v>40504</v>
      </c>
      <c r="B3801">
        <v>0.352865010499954</v>
      </c>
      <c r="C3801">
        <f>C3802*(1+G3801*3)</f>
        <v>0.34975687508152364</v>
      </c>
      <c r="D3801">
        <f t="shared" si="119"/>
        <v>0.35258261289111442</v>
      </c>
      <c r="F3801">
        <v>2150.86010742187</v>
      </c>
      <c r="G3801">
        <f t="shared" si="120"/>
        <v>7.3012254881199556E-3</v>
      </c>
    </row>
    <row r="3802" spans="1:7" x14ac:dyDescent="0.25">
      <c r="A3802" s="1">
        <v>40501</v>
      </c>
      <c r="B3802">
        <v>0.34380200505256597</v>
      </c>
      <c r="C3802">
        <f>C3803*(1+G3802*3)</f>
        <v>0.34226012014325291</v>
      </c>
      <c r="D3802">
        <f t="shared" si="119"/>
        <v>0.34501147618813482</v>
      </c>
      <c r="F3802">
        <v>2135.27001953125</v>
      </c>
      <c r="G3802">
        <f t="shared" si="120"/>
        <v>2.3421726716477131E-4</v>
      </c>
    </row>
    <row r="3803" spans="1:7" x14ac:dyDescent="0.25">
      <c r="A3803" s="1">
        <v>40500</v>
      </c>
      <c r="B3803">
        <v>0.34299498796463002</v>
      </c>
      <c r="C3803">
        <f>C3804*(1+G3803*3)</f>
        <v>0.34201979931511745</v>
      </c>
      <c r="D3803">
        <f t="shared" si="119"/>
        <v>0.34475512691420124</v>
      </c>
      <c r="F3803">
        <v>2134.77001953125</v>
      </c>
      <c r="G3803">
        <f t="shared" si="120"/>
        <v>1.655715215773812E-2</v>
      </c>
    </row>
    <row r="3804" spans="1:7" x14ac:dyDescent="0.25">
      <c r="A3804" s="1">
        <v>40499</v>
      </c>
      <c r="B3804">
        <v>0.32776001095771701</v>
      </c>
      <c r="C3804">
        <f>C3805*(1+G3804*3)</f>
        <v>0.32583509554910445</v>
      </c>
      <c r="D3804">
        <f t="shared" si="119"/>
        <v>0.32842818234261151</v>
      </c>
      <c r="F3804">
        <v>2100</v>
      </c>
      <c r="G3804">
        <f t="shared" si="120"/>
        <v>3.0426185830623176E-3</v>
      </c>
    </row>
    <row r="3805" spans="1:7" x14ac:dyDescent="0.25">
      <c r="A3805" s="1">
        <v>40498</v>
      </c>
      <c r="B3805">
        <v>0.32468798756599399</v>
      </c>
      <c r="C3805">
        <f>C3806*(1+G3805*3)</f>
        <v>0.32288782208593492</v>
      </c>
      <c r="D3805">
        <f t="shared" si="119"/>
        <v>0.32544425778958225</v>
      </c>
      <c r="F3805">
        <v>2093.6298828125</v>
      </c>
      <c r="G3805">
        <f t="shared" si="120"/>
        <v>-1.775766040642146E-2</v>
      </c>
    </row>
    <row r="3806" spans="1:7" x14ac:dyDescent="0.25">
      <c r="A3806" s="1">
        <v>40497</v>
      </c>
      <c r="B3806">
        <v>0.34164100885391202</v>
      </c>
      <c r="C3806">
        <f>C3807*(1+G3806*3)</f>
        <v>0.3410569421603426</v>
      </c>
      <c r="D3806">
        <f t="shared" si="119"/>
        <v>0.34374237378893724</v>
      </c>
      <c r="F3806">
        <v>2131.47998046875</v>
      </c>
      <c r="G3806">
        <f t="shared" si="120"/>
        <v>-3.0262498425529527E-3</v>
      </c>
    </row>
    <row r="3807" spans="1:7" x14ac:dyDescent="0.25">
      <c r="A3807" s="1">
        <v>40494</v>
      </c>
      <c r="B3807">
        <v>0.34533900022506703</v>
      </c>
      <c r="C3807">
        <f>C3808*(1+G3807*3)</f>
        <v>0.34418168143812783</v>
      </c>
      <c r="D3807">
        <f t="shared" si="119"/>
        <v>0.3468773934605367</v>
      </c>
      <c r="F3807">
        <v>2137.94995117187</v>
      </c>
      <c r="G3807">
        <f t="shared" si="120"/>
        <v>-1.6179647837408995E-2</v>
      </c>
    </row>
    <row r="3808" spans="1:7" x14ac:dyDescent="0.25">
      <c r="A3808" s="1">
        <v>40493</v>
      </c>
      <c r="B3808">
        <v>0.36385399103164601</v>
      </c>
      <c r="C3808">
        <f>C3809*(1+G3808*3)</f>
        <v>0.36174016696872641</v>
      </c>
      <c r="D3808">
        <f t="shared" si="119"/>
        <v>0.36455772347470117</v>
      </c>
      <c r="F3808">
        <v>2173.11010742187</v>
      </c>
      <c r="G3808">
        <f t="shared" si="120"/>
        <v>-6.687212775651985E-3</v>
      </c>
    </row>
    <row r="3809" spans="1:7" x14ac:dyDescent="0.25">
      <c r="A3809" s="1">
        <v>40492</v>
      </c>
      <c r="B3809">
        <v>0.37007799744606001</v>
      </c>
      <c r="C3809">
        <f>C3810*(1+G3809*3)</f>
        <v>0.36914583724544586</v>
      </c>
      <c r="D3809">
        <f t="shared" si="119"/>
        <v>0.37200554264948454</v>
      </c>
      <c r="F3809">
        <v>2187.73999023437</v>
      </c>
      <c r="G3809">
        <f t="shared" si="120"/>
        <v>4.9888409129119626E-3</v>
      </c>
    </row>
    <row r="3810" spans="1:7" x14ac:dyDescent="0.25">
      <c r="A3810" s="1">
        <v>40491</v>
      </c>
      <c r="B3810">
        <v>0.36450499296188299</v>
      </c>
      <c r="C3810">
        <f>C3811*(1+G3810*3)</f>
        <v>0.36370247587019999</v>
      </c>
      <c r="D3810">
        <f t="shared" si="119"/>
        <v>0.36650523726252421</v>
      </c>
      <c r="F3810">
        <v>2176.8798828125</v>
      </c>
      <c r="G3810">
        <f t="shared" si="120"/>
        <v>-5.5095429370265459E-3</v>
      </c>
    </row>
    <row r="3811" spans="1:7" x14ac:dyDescent="0.25">
      <c r="A3811" s="1">
        <v>40490</v>
      </c>
      <c r="B3811">
        <v>0.37049499154090798</v>
      </c>
      <c r="C3811">
        <f>C3812*(1+G3811*3)</f>
        <v>0.36981501091436897</v>
      </c>
      <c r="D3811">
        <f t="shared" si="119"/>
        <v>0.37264937259758862</v>
      </c>
      <c r="F3811">
        <v>2188.93994140625</v>
      </c>
      <c r="G3811">
        <f t="shared" si="120"/>
        <v>1.0197879502016338E-3</v>
      </c>
    </row>
    <row r="3812" spans="1:7" x14ac:dyDescent="0.25">
      <c r="A3812" s="1">
        <v>40487</v>
      </c>
      <c r="B3812">
        <v>0.36955699324607799</v>
      </c>
      <c r="C3812">
        <f>C3813*(1+G3812*3)</f>
        <v>0.36868706304151405</v>
      </c>
      <c r="D3812">
        <f t="shared" si="119"/>
        <v>0.37149762549670395</v>
      </c>
      <c r="F3812">
        <v>2186.7099609375</v>
      </c>
      <c r="G3812">
        <f t="shared" si="120"/>
        <v>-4.9825754926913213E-4</v>
      </c>
    </row>
    <row r="3813" spans="1:7" x14ac:dyDescent="0.25">
      <c r="A3813" s="1">
        <v>40486</v>
      </c>
      <c r="B3813">
        <v>0.36911499500274603</v>
      </c>
      <c r="C3813">
        <f>C3814*(1+G3813*3)</f>
        <v>0.36923899138634236</v>
      </c>
      <c r="D3813">
        <f t="shared" si="119"/>
        <v>0.37203851566721235</v>
      </c>
      <c r="F3813">
        <v>2187.80004882812</v>
      </c>
      <c r="G3813">
        <f t="shared" si="120"/>
        <v>1.3639958089021409E-2</v>
      </c>
    </row>
    <row r="3814" spans="1:7" x14ac:dyDescent="0.25">
      <c r="A3814" s="1">
        <v>40485</v>
      </c>
      <c r="B3814">
        <v>0.35648399591445901</v>
      </c>
      <c r="C3814">
        <f>C3815*(1+G3814*3)</f>
        <v>0.35472374052453565</v>
      </c>
      <c r="D3814">
        <f t="shared" si="119"/>
        <v>0.35739916302962171</v>
      </c>
      <c r="F3814">
        <v>2158.36010742187</v>
      </c>
      <c r="G3814">
        <f t="shared" si="120"/>
        <v>3.0859669516289934E-3</v>
      </c>
    </row>
    <row r="3815" spans="1:7" x14ac:dyDescent="0.25">
      <c r="A3815" s="1">
        <v>40484</v>
      </c>
      <c r="B3815">
        <v>0.35140600800514199</v>
      </c>
      <c r="C3815">
        <f>C3816*(1+G3815*3)</f>
        <v>0.3514698673392288</v>
      </c>
      <c r="D3815">
        <f t="shared" si="119"/>
        <v>0.3541063920679412</v>
      </c>
      <c r="F3815">
        <v>2151.71997070312</v>
      </c>
      <c r="G3815">
        <f t="shared" si="120"/>
        <v>1.0947110853761544E-2</v>
      </c>
    </row>
    <row r="3816" spans="1:7" x14ac:dyDescent="0.25">
      <c r="A3816" s="1">
        <v>40483</v>
      </c>
      <c r="B3816">
        <v>0.34106799960136402</v>
      </c>
      <c r="C3816">
        <f>C3817*(1+G3816*3)</f>
        <v>0.34029415386353545</v>
      </c>
      <c r="D3816">
        <f t="shared" si="119"/>
        <v>0.34283326303806355</v>
      </c>
      <c r="F3816">
        <v>2128.419921875</v>
      </c>
      <c r="G3816">
        <f t="shared" si="120"/>
        <v>1.8687052151735717E-3</v>
      </c>
    </row>
    <row r="3817" spans="1:7" x14ac:dyDescent="0.25">
      <c r="A3817" s="1">
        <v>40480</v>
      </c>
      <c r="B3817">
        <v>0.34028598666191101</v>
      </c>
      <c r="C3817">
        <f>C3818*(1+G3817*3)</f>
        <v>0.33839706080654963</v>
      </c>
      <c r="D3817">
        <f t="shared" si="119"/>
        <v>0.34090814350646376</v>
      </c>
      <c r="F3817">
        <v>2124.44995117187</v>
      </c>
      <c r="G3817">
        <f t="shared" si="120"/>
        <v>-2.4792012815247899E-3</v>
      </c>
    </row>
    <row r="3818" spans="1:7" x14ac:dyDescent="0.25">
      <c r="A3818" s="1">
        <v>40479</v>
      </c>
      <c r="B3818">
        <v>0.34192699193954401</v>
      </c>
      <c r="C3818">
        <f>C3819*(1+G3818*3)</f>
        <v>0.34093278379000763</v>
      </c>
      <c r="D3818">
        <f t="shared" si="119"/>
        <v>0.34344852457300135</v>
      </c>
      <c r="F3818">
        <v>2129.72998046875</v>
      </c>
      <c r="G3818">
        <f t="shared" si="120"/>
        <v>1.8110607694148406E-3</v>
      </c>
    </row>
    <row r="3819" spans="1:7" x14ac:dyDescent="0.25">
      <c r="A3819" s="1">
        <v>40478</v>
      </c>
      <c r="B3819">
        <v>0.33997398614883401</v>
      </c>
      <c r="C3819">
        <f>C3820*(1+G3819*3)</f>
        <v>0.33909044359099427</v>
      </c>
      <c r="D3819">
        <f t="shared" si="119"/>
        <v>0.34157868879264719</v>
      </c>
      <c r="F3819">
        <v>2125.8798828125</v>
      </c>
      <c r="G3819">
        <f t="shared" si="120"/>
        <v>3.2230640272781219E-3</v>
      </c>
    </row>
    <row r="3820" spans="1:7" x14ac:dyDescent="0.25">
      <c r="A3820" s="1">
        <v>40477</v>
      </c>
      <c r="B3820">
        <v>0.33651000261306702</v>
      </c>
      <c r="C3820">
        <f>C3821*(1+G3820*3)</f>
        <v>0.33584311203140166</v>
      </c>
      <c r="D3820">
        <f t="shared" si="119"/>
        <v>0.33829381879523057</v>
      </c>
      <c r="F3820">
        <v>2119.05004882812</v>
      </c>
      <c r="G3820">
        <f t="shared" si="120"/>
        <v>2.6022568062911144E-3</v>
      </c>
    </row>
    <row r="3821" spans="1:7" x14ac:dyDescent="0.25">
      <c r="A3821" s="1">
        <v>40476</v>
      </c>
      <c r="B3821">
        <v>0.33450499176978998</v>
      </c>
      <c r="C3821">
        <f>C3822*(1+G3821*3)</f>
        <v>0.33324157158798967</v>
      </c>
      <c r="D3821">
        <f t="shared" si="119"/>
        <v>0.33565966653880325</v>
      </c>
      <c r="F3821">
        <v>2113.55004882812</v>
      </c>
      <c r="G3821">
        <f t="shared" si="120"/>
        <v>4.4387623212556182E-3</v>
      </c>
    </row>
    <row r="3822" spans="1:7" x14ac:dyDescent="0.25">
      <c r="A3822" s="1">
        <v>40473</v>
      </c>
      <c r="B3822">
        <v>0.32950499653816201</v>
      </c>
      <c r="C3822">
        <f>C3823*(1+G3822*3)</f>
        <v>0.32886234621422344</v>
      </c>
      <c r="D3822">
        <f t="shared" si="119"/>
        <v>0.33123528910937122</v>
      </c>
      <c r="F3822">
        <v>2104.2099609375</v>
      </c>
      <c r="G3822">
        <f t="shared" si="120"/>
        <v>6.7508074360038695E-3</v>
      </c>
    </row>
    <row r="3823" spans="1:7" x14ac:dyDescent="0.25">
      <c r="A3823" s="1">
        <v>40472</v>
      </c>
      <c r="B3823">
        <v>0.32320299744606001</v>
      </c>
      <c r="C3823">
        <f>C3824*(1+G3823*3)</f>
        <v>0.32233429592871943</v>
      </c>
      <c r="D3823">
        <f t="shared" si="119"/>
        <v>0.32464711493997006</v>
      </c>
      <c r="F3823">
        <v>2090.10009765625</v>
      </c>
      <c r="G3823">
        <f t="shared" si="120"/>
        <v>2.0856275470453323E-3</v>
      </c>
    </row>
    <row r="3824" spans="1:7" x14ac:dyDescent="0.25">
      <c r="A3824" s="1">
        <v>40471</v>
      </c>
      <c r="B3824">
        <v>0.32096400856971702</v>
      </c>
      <c r="C3824">
        <f>C3825*(1+G3824*3)</f>
        <v>0.32033002853375198</v>
      </c>
      <c r="D3824">
        <f t="shared" si="119"/>
        <v>0.32261534800719999</v>
      </c>
      <c r="F3824">
        <v>2085.75</v>
      </c>
      <c r="G3824">
        <f t="shared" si="120"/>
        <v>7.7401495279214583E-3</v>
      </c>
    </row>
    <row r="3825" spans="1:7" x14ac:dyDescent="0.25">
      <c r="A3825" s="1">
        <v>40470</v>
      </c>
      <c r="B3825">
        <v>0.31442698836326599</v>
      </c>
      <c r="C3825">
        <f>C3826*(1+G3825*3)</f>
        <v>0.31306062049201577</v>
      </c>
      <c r="D3825">
        <f t="shared" si="119"/>
        <v>0.31528147035609233</v>
      </c>
      <c r="F3825">
        <v>2069.72998046875</v>
      </c>
      <c r="G3825">
        <f t="shared" si="120"/>
        <v>-1.635811300167378E-2</v>
      </c>
    </row>
    <row r="3826" spans="1:7" x14ac:dyDescent="0.25">
      <c r="A3826" s="1">
        <v>40469</v>
      </c>
      <c r="B3826">
        <v>0.327448010444641</v>
      </c>
      <c r="C3826">
        <f>C3827*(1+G3826*3)</f>
        <v>0.32921671307560696</v>
      </c>
      <c r="D3826">
        <f t="shared" si="119"/>
        <v>0.33153790841727476</v>
      </c>
      <c r="F3826">
        <v>2104.14990234375</v>
      </c>
      <c r="G3826">
        <f t="shared" si="120"/>
        <v>3.0604138448577789E-3</v>
      </c>
    </row>
    <row r="3827" spans="1:7" x14ac:dyDescent="0.25">
      <c r="A3827" s="1">
        <v>40466</v>
      </c>
      <c r="B3827">
        <v>0.327448010444641</v>
      </c>
      <c r="C3827">
        <f>C3828*(1+G3827*3)</f>
        <v>0.32622159382887062</v>
      </c>
      <c r="D3827">
        <f t="shared" si="119"/>
        <v>0.32850835220146918</v>
      </c>
      <c r="F3827">
        <v>2097.72998046875</v>
      </c>
      <c r="G3827">
        <f t="shared" si="120"/>
        <v>2.1036631847834331E-2</v>
      </c>
    </row>
    <row r="3828" spans="1:7" x14ac:dyDescent="0.25">
      <c r="A3828" s="1">
        <v>40465</v>
      </c>
      <c r="B3828">
        <v>0.30781298875808699</v>
      </c>
      <c r="C3828">
        <f>C3829*(1+G3828*3)</f>
        <v>0.30685594706283259</v>
      </c>
      <c r="D3828">
        <f t="shared" si="119"/>
        <v>0.308995062807987</v>
      </c>
      <c r="F3828">
        <v>2054.51000976562</v>
      </c>
      <c r="G3828">
        <f t="shared" si="120"/>
        <v>-1.3318703290217115E-3</v>
      </c>
    </row>
    <row r="3829" spans="1:7" x14ac:dyDescent="0.25">
      <c r="A3829" s="1">
        <v>40464</v>
      </c>
      <c r="B3829">
        <v>0.30953100323677002</v>
      </c>
      <c r="C3829">
        <f>C3830*(1+G3829*3)</f>
        <v>0.3080869426357995</v>
      </c>
      <c r="D3829">
        <f t="shared" si="119"/>
        <v>0.31022189536660444</v>
      </c>
      <c r="F3829">
        <v>2057.25</v>
      </c>
      <c r="G3829">
        <f t="shared" si="120"/>
        <v>7.6902112592791561E-3</v>
      </c>
    </row>
    <row r="3830" spans="1:7" x14ac:dyDescent="0.25">
      <c r="A3830" s="1">
        <v>40463</v>
      </c>
      <c r="B3830">
        <v>0.30218800902366599</v>
      </c>
      <c r="C3830">
        <f>C3831*(1+G3830*3)</f>
        <v>0.30113946433800326</v>
      </c>
      <c r="D3830">
        <f t="shared" si="119"/>
        <v>0.30321414612853775</v>
      </c>
      <c r="F3830">
        <v>2041.55004882812</v>
      </c>
      <c r="G3830">
        <f t="shared" si="120"/>
        <v>7.188067223042216E-3</v>
      </c>
    </row>
    <row r="3831" spans="1:7" x14ac:dyDescent="0.25">
      <c r="A3831" s="1">
        <v>40462</v>
      </c>
      <c r="B3831">
        <v>0.29604199528694097</v>
      </c>
      <c r="C3831">
        <f>C3832*(1+G3831*3)</f>
        <v>0.29478271051978289</v>
      </c>
      <c r="D3831">
        <f t="shared" si="119"/>
        <v>0.29680170986463794</v>
      </c>
      <c r="F3831">
        <v>2026.97998046875</v>
      </c>
      <c r="G3831">
        <f t="shared" si="120"/>
        <v>-2.4690718635977937E-5</v>
      </c>
    </row>
    <row r="3832" spans="1:7" x14ac:dyDescent="0.25">
      <c r="A3832" s="1">
        <v>40459</v>
      </c>
      <c r="B3832">
        <v>0.29544299840927102</v>
      </c>
      <c r="C3832">
        <f>C3833*(1+G3832*3)</f>
        <v>0.29480454732817496</v>
      </c>
      <c r="D3832">
        <f t="shared" si="119"/>
        <v>0.29681155059679526</v>
      </c>
      <c r="F3832">
        <v>2027.03002929687</v>
      </c>
      <c r="G3832">
        <f t="shared" si="120"/>
        <v>7.6554954821113075E-3</v>
      </c>
    </row>
    <row r="3833" spans="1:7" x14ac:dyDescent="0.25">
      <c r="A3833" s="1">
        <v>40458</v>
      </c>
      <c r="B3833">
        <v>0.289608985185623</v>
      </c>
      <c r="C3833">
        <f>C3834*(1+G3833*3)</f>
        <v>0.28818592909362212</v>
      </c>
      <c r="D3833">
        <f t="shared" si="119"/>
        <v>0.29013626831837586</v>
      </c>
      <c r="F3833">
        <v>2011.63000488281</v>
      </c>
      <c r="G3833">
        <f t="shared" si="120"/>
        <v>2.5466904400752721E-3</v>
      </c>
    </row>
    <row r="3834" spans="1:7" x14ac:dyDescent="0.25">
      <c r="A3834" s="1">
        <v>40457</v>
      </c>
      <c r="B3834">
        <v>0.28679698705673201</v>
      </c>
      <c r="C3834">
        <f>C3835*(1+G3834*3)</f>
        <v>0.2860008621094598</v>
      </c>
      <c r="D3834">
        <f t="shared" si="119"/>
        <v>0.28792472179511169</v>
      </c>
      <c r="F3834">
        <v>2006.52001953125</v>
      </c>
      <c r="G3834">
        <f t="shared" si="120"/>
        <v>-8.9448369864538746E-3</v>
      </c>
    </row>
    <row r="3835" spans="1:7" x14ac:dyDescent="0.25">
      <c r="A3835" s="1">
        <v>40456</v>
      </c>
      <c r="B3835">
        <v>0.29429700970649703</v>
      </c>
      <c r="C3835">
        <f>C3836*(1+G3835*3)</f>
        <v>0.29388718088575444</v>
      </c>
      <c r="D3835">
        <f t="shared" si="119"/>
        <v>0.29585165069529729</v>
      </c>
      <c r="F3835">
        <v>2024.63000488281</v>
      </c>
      <c r="G3835">
        <f t="shared" si="120"/>
        <v>2.4957880417404654E-2</v>
      </c>
    </row>
    <row r="3836" spans="1:7" x14ac:dyDescent="0.25">
      <c r="A3836" s="1">
        <v>40455</v>
      </c>
      <c r="B3836">
        <v>0.27390599250793402</v>
      </c>
      <c r="C3836">
        <f>C3837*(1+G3836*3)</f>
        <v>0.27341556217099122</v>
      </c>
      <c r="D3836">
        <f t="shared" si="119"/>
        <v>0.27523271345642186</v>
      </c>
      <c r="F3836">
        <v>1975.32995605468</v>
      </c>
      <c r="G3836">
        <f t="shared" si="120"/>
        <v>-1.0653120200007971E-2</v>
      </c>
    </row>
    <row r="3837" spans="1:7" x14ac:dyDescent="0.25">
      <c r="A3837" s="1">
        <v>40452</v>
      </c>
      <c r="B3837">
        <v>0.28374999761581399</v>
      </c>
      <c r="C3837">
        <f>C3838*(1+G3837*3)</f>
        <v>0.28244223542150393</v>
      </c>
      <c r="D3837">
        <f t="shared" si="119"/>
        <v>0.28430736185401095</v>
      </c>
      <c r="F3837">
        <v>1996.59997558593</v>
      </c>
      <c r="G3837">
        <f t="shared" si="120"/>
        <v>-7.2073804749461789E-4</v>
      </c>
    </row>
    <row r="3838" spans="1:7" x14ac:dyDescent="0.25">
      <c r="A3838" s="1">
        <v>40451</v>
      </c>
      <c r="B3838">
        <v>0.28463500738143899</v>
      </c>
      <c r="C3838">
        <f>C3839*(1+G3838*3)</f>
        <v>0.28305425934414813</v>
      </c>
      <c r="D3838">
        <f t="shared" ref="D3838:D3901" si="121">D3839*(1+3*G3838--0.0000409173405459604)</f>
        <v>0.28491174422587184</v>
      </c>
      <c r="F3838">
        <v>1998.0400390625</v>
      </c>
      <c r="G3838">
        <f t="shared" si="120"/>
        <v>-5.4950112656838579E-3</v>
      </c>
    </row>
    <row r="3839" spans="1:7" x14ac:dyDescent="0.25">
      <c r="A3839" s="1">
        <v>40450</v>
      </c>
      <c r="B3839">
        <v>0.28854200243949801</v>
      </c>
      <c r="C3839">
        <f>C3840*(1+G3839*3)</f>
        <v>0.28779862947783535</v>
      </c>
      <c r="D3839">
        <f t="shared" si="121"/>
        <v>0.28967519689822746</v>
      </c>
      <c r="F3839">
        <v>2009.07995605468</v>
      </c>
      <c r="G3839">
        <f t="shared" si="120"/>
        <v>-1.6647026564090561E-3</v>
      </c>
    </row>
    <row r="3840" spans="1:7" x14ac:dyDescent="0.25">
      <c r="A3840" s="1">
        <v>40449</v>
      </c>
      <c r="B3840">
        <v>0.29088500142097401</v>
      </c>
      <c r="C3840">
        <f>C3841*(1+G3840*3)</f>
        <v>0.2892431409531136</v>
      </c>
      <c r="D3840">
        <f t="shared" si="121"/>
        <v>0.29111715566551821</v>
      </c>
      <c r="F3840">
        <v>2012.43005371093</v>
      </c>
      <c r="G3840">
        <f t="shared" si="120"/>
        <v>7.1609678991602088E-4</v>
      </c>
    </row>
    <row r="3841" spans="1:7" x14ac:dyDescent="0.25">
      <c r="A3841" s="1">
        <v>40448</v>
      </c>
      <c r="B3841">
        <v>0.29015600681304898</v>
      </c>
      <c r="C3841">
        <f>C3842*(1+G3841*3)</f>
        <v>0.28862309473820064</v>
      </c>
      <c r="D3841">
        <f t="shared" si="121"/>
        <v>0.29048123191291875</v>
      </c>
      <c r="F3841">
        <v>2010.98999023437</v>
      </c>
      <c r="G3841">
        <f t="shared" si="120"/>
        <v>-6.3493041954686413E-3</v>
      </c>
    </row>
    <row r="3842" spans="1:7" x14ac:dyDescent="0.25">
      <c r="A3842" s="1">
        <v>40445</v>
      </c>
      <c r="B3842">
        <v>0.29351601004600503</v>
      </c>
      <c r="C3842">
        <f>C3843*(1+G3842*3)</f>
        <v>0.29422751471908526</v>
      </c>
      <c r="D3842">
        <f t="shared" si="121"/>
        <v>0.29610938151971855</v>
      </c>
      <c r="F3842">
        <v>2023.83996582031</v>
      </c>
      <c r="G3842">
        <f t="shared" ref="G3842:G3905" si="122">F3842/F3843-1</f>
        <v>2.1032687179455056E-2</v>
      </c>
    </row>
    <row r="3843" spans="1:7" x14ac:dyDescent="0.25">
      <c r="A3843" s="1">
        <v>40444</v>
      </c>
      <c r="B3843">
        <v>0.27778598666191101</v>
      </c>
      <c r="C3843">
        <f>C3844*(1+G3843*3)</f>
        <v>0.27676422840365339</v>
      </c>
      <c r="D3843">
        <f t="shared" si="121"/>
        <v>0.2785236807251375</v>
      </c>
      <c r="F3843">
        <v>1982.15002441406</v>
      </c>
      <c r="G3843">
        <f t="shared" si="122"/>
        <v>-3.0764457047527394E-4</v>
      </c>
    </row>
    <row r="3844" spans="1:7" x14ac:dyDescent="0.25">
      <c r="A3844" s="1">
        <v>40443</v>
      </c>
      <c r="B3844">
        <v>0.27862000465393</v>
      </c>
      <c r="C3844">
        <f>C3845*(1+G3844*3)</f>
        <v>0.27701989940755239</v>
      </c>
      <c r="D3844">
        <f t="shared" si="121"/>
        <v>0.27876956004079645</v>
      </c>
      <c r="F3844">
        <v>1982.76000976562</v>
      </c>
      <c r="G3844">
        <f t="shared" si="122"/>
        <v>-3.192370272485312E-3</v>
      </c>
    </row>
    <row r="3845" spans="1:7" x14ac:dyDescent="0.25">
      <c r="A3845" s="1">
        <v>40442</v>
      </c>
      <c r="B3845">
        <v>0.27994799613952598</v>
      </c>
      <c r="C3845">
        <f>C3846*(1+G3845*3)</f>
        <v>0.27969860393290552</v>
      </c>
      <c r="D3845">
        <f t="shared" si="121"/>
        <v>0.28145355560177926</v>
      </c>
      <c r="F3845">
        <v>1989.10998535156</v>
      </c>
      <c r="G3845">
        <f t="shared" si="122"/>
        <v>-1.6088444968098692E-4</v>
      </c>
    </row>
    <row r="3846" spans="1:7" x14ac:dyDescent="0.25">
      <c r="A3846" s="1">
        <v>40441</v>
      </c>
      <c r="B3846">
        <v>0.28083300590515098</v>
      </c>
      <c r="C3846">
        <f>C3847*(1+G3846*3)</f>
        <v>0.27983366658925979</v>
      </c>
      <c r="D3846">
        <f t="shared" si="121"/>
        <v>0.28157793871650871</v>
      </c>
      <c r="F3846">
        <v>1989.43005371093</v>
      </c>
      <c r="G3846">
        <f t="shared" si="122"/>
        <v>1.7179457525043906E-2</v>
      </c>
    </row>
    <row r="3847" spans="1:7" x14ac:dyDescent="0.25">
      <c r="A3847" s="1">
        <v>40438</v>
      </c>
      <c r="B3847">
        <v>0.26692700386047302</v>
      </c>
      <c r="C3847">
        <f>C3848*(1+G3847*3)</f>
        <v>0.2661183594317818</v>
      </c>
      <c r="D3847">
        <f t="shared" si="121"/>
        <v>0.26776672136543067</v>
      </c>
      <c r="F3847">
        <v>1955.82995605468</v>
      </c>
      <c r="G3847">
        <f t="shared" si="122"/>
        <v>3.9628002326197453E-3</v>
      </c>
    </row>
    <row r="3848" spans="1:7" x14ac:dyDescent="0.25">
      <c r="A3848" s="1">
        <v>40437</v>
      </c>
      <c r="B3848">
        <v>0.26411500573158198</v>
      </c>
      <c r="C3848">
        <f>C3849*(1+G3848*3)</f>
        <v>0.26299180744462586</v>
      </c>
      <c r="D3848">
        <f t="shared" si="121"/>
        <v>0.26461010328714307</v>
      </c>
      <c r="F3848">
        <v>1948.10998535156</v>
      </c>
      <c r="G3848">
        <f t="shared" si="122"/>
        <v>4.3875076679453784E-3</v>
      </c>
    </row>
    <row r="3849" spans="1:7" x14ac:dyDescent="0.25">
      <c r="A3849" s="1">
        <v>40436</v>
      </c>
      <c r="B3849">
        <v>0.26044300198554898</v>
      </c>
      <c r="C3849">
        <f>C3850*(1+G3849*3)</f>
        <v>0.2595751436451722</v>
      </c>
      <c r="D3849">
        <f t="shared" si="121"/>
        <v>0.26116186814091708</v>
      </c>
      <c r="F3849">
        <v>1939.59997558593</v>
      </c>
      <c r="G3849">
        <f t="shared" si="122"/>
        <v>5.7088390797144228E-3</v>
      </c>
    </row>
    <row r="3850" spans="1:7" x14ac:dyDescent="0.25">
      <c r="A3850" s="1">
        <v>40435</v>
      </c>
      <c r="B3850">
        <v>0.25609400868415799</v>
      </c>
      <c r="C3850">
        <f>C3851*(1+G3850*3)</f>
        <v>0.25520438140749191</v>
      </c>
      <c r="D3850">
        <f t="shared" si="121"/>
        <v>0.25675405961933256</v>
      </c>
      <c r="F3850">
        <v>1928.58996582031</v>
      </c>
      <c r="G3850">
        <f t="shared" si="122"/>
        <v>3.6009937797609748E-3</v>
      </c>
    </row>
    <row r="3851" spans="1:7" x14ac:dyDescent="0.25">
      <c r="A3851" s="1">
        <v>40434</v>
      </c>
      <c r="B3851">
        <v>0.25289100408553999</v>
      </c>
      <c r="C3851">
        <f>C3852*(1+G3851*3)</f>
        <v>0.25247687840151989</v>
      </c>
      <c r="D3851">
        <f t="shared" si="121"/>
        <v>0.2539997124725743</v>
      </c>
      <c r="F3851">
        <v>1921.67004394531</v>
      </c>
      <c r="G3851">
        <f t="shared" si="122"/>
        <v>1.5499370438062821E-2</v>
      </c>
    </row>
    <row r="3852" spans="1:7" x14ac:dyDescent="0.25">
      <c r="A3852" s="1">
        <v>40431</v>
      </c>
      <c r="B3852">
        <v>0.24221399426460199</v>
      </c>
      <c r="C3852">
        <f>C3853*(1+G3852*3)</f>
        <v>0.24125879986965323</v>
      </c>
      <c r="D3852">
        <f t="shared" si="121"/>
        <v>0.24270448164659114</v>
      </c>
      <c r="F3852">
        <v>1892.33996582031</v>
      </c>
      <c r="G3852">
        <f t="shared" si="122"/>
        <v>3.2871107784835374E-3</v>
      </c>
    </row>
    <row r="3853" spans="1:7" x14ac:dyDescent="0.25">
      <c r="A3853" s="1">
        <v>40430</v>
      </c>
      <c r="B3853">
        <v>0.23963500559329901</v>
      </c>
      <c r="C3853">
        <f>C3854*(1+G3853*3)</f>
        <v>0.23890289898684142</v>
      </c>
      <c r="D3853">
        <f t="shared" si="121"/>
        <v>0.24032472620439965</v>
      </c>
      <c r="F3853">
        <v>1886.14001464843</v>
      </c>
      <c r="G3853">
        <f t="shared" si="122"/>
        <v>3.2659652385265137E-3</v>
      </c>
    </row>
    <row r="3854" spans="1:7" x14ac:dyDescent="0.25">
      <c r="A3854" s="1">
        <v>40429</v>
      </c>
      <c r="B3854">
        <v>0.236641004681587</v>
      </c>
      <c r="C3854">
        <f>C3855*(1+G3854*3)</f>
        <v>0.23658486515021515</v>
      </c>
      <c r="D3854">
        <f t="shared" si="121"/>
        <v>0.2379832534630878</v>
      </c>
      <c r="F3854">
        <v>1880</v>
      </c>
      <c r="G3854">
        <f t="shared" si="122"/>
        <v>1.2658227848101333E-2</v>
      </c>
    </row>
    <row r="3855" spans="1:7" x14ac:dyDescent="0.25">
      <c r="A3855" s="1">
        <v>40428</v>
      </c>
      <c r="B3855">
        <v>0.22856800258159601</v>
      </c>
      <c r="C3855">
        <f>C3856*(1+G3855*3)</f>
        <v>0.22792932130325602</v>
      </c>
      <c r="D3855">
        <f t="shared" si="121"/>
        <v>0.22926751125919537</v>
      </c>
      <c r="F3855">
        <v>1856.5</v>
      </c>
      <c r="G3855">
        <f t="shared" si="122"/>
        <v>-7.3838337821556799E-3</v>
      </c>
    </row>
    <row r="3856" spans="1:7" x14ac:dyDescent="0.25">
      <c r="A3856" s="1">
        <v>40424</v>
      </c>
      <c r="B3856">
        <v>0.234271004796028</v>
      </c>
      <c r="C3856">
        <f>C3857*(1+G3856*3)</f>
        <v>0.23309267398488379</v>
      </c>
      <c r="D3856">
        <f t="shared" si="121"/>
        <v>0.23445136792500426</v>
      </c>
      <c r="F3856">
        <v>1870.31005859375</v>
      </c>
      <c r="G3856">
        <f t="shared" si="122"/>
        <v>1.6152573237186107E-2</v>
      </c>
    </row>
    <row r="3857" spans="1:7" x14ac:dyDescent="0.25">
      <c r="A3857" s="1">
        <v>40423</v>
      </c>
      <c r="B3857">
        <v>0.222917005419731</v>
      </c>
      <c r="C3857">
        <f>C3858*(1+G3857*3)</f>
        <v>0.22231957436396196</v>
      </c>
      <c r="D3857">
        <f t="shared" si="121"/>
        <v>0.2236067455310897</v>
      </c>
      <c r="F3857">
        <v>1840.57995605468</v>
      </c>
      <c r="G3857">
        <f t="shared" si="122"/>
        <v>1.1279858616953131E-2</v>
      </c>
    </row>
    <row r="3858" spans="1:7" x14ac:dyDescent="0.25">
      <c r="A3858" s="1">
        <v>40422</v>
      </c>
      <c r="B3858">
        <v>0.21552099287509899</v>
      </c>
      <c r="C3858">
        <f>C3859*(1+G3858*3)</f>
        <v>0.21504262320485354</v>
      </c>
      <c r="D3858">
        <f t="shared" si="121"/>
        <v>0.21627910285922447</v>
      </c>
      <c r="F3858">
        <v>1820.05004882812</v>
      </c>
      <c r="G3858">
        <f t="shared" si="122"/>
        <v>2.9772038223921715E-2</v>
      </c>
    </row>
    <row r="3859" spans="1:7" x14ac:dyDescent="0.25">
      <c r="A3859" s="1">
        <v>40421</v>
      </c>
      <c r="B3859">
        <v>0.198853999376297</v>
      </c>
      <c r="C3859">
        <f>C3860*(1+G3859*3)</f>
        <v>0.19741066923410988</v>
      </c>
      <c r="D3859">
        <f t="shared" si="121"/>
        <v>0.19853830884049431</v>
      </c>
      <c r="F3859">
        <v>1767.43005371093</v>
      </c>
      <c r="G3859">
        <f t="shared" si="122"/>
        <v>-2.6183461820152854E-3</v>
      </c>
    </row>
    <row r="3860" spans="1:7" x14ac:dyDescent="0.25">
      <c r="A3860" s="1">
        <v>40420</v>
      </c>
      <c r="B3860">
        <v>0.19984400272369299</v>
      </c>
      <c r="C3860">
        <f>C3861*(1+G3860*3)</f>
        <v>0.19897361464680663</v>
      </c>
      <c r="D3860">
        <f t="shared" si="121"/>
        <v>0.20010192957162135</v>
      </c>
      <c r="F3860">
        <v>1772.06994628906</v>
      </c>
      <c r="G3860">
        <f t="shared" si="122"/>
        <v>-1.0922991337191212E-2</v>
      </c>
    </row>
    <row r="3861" spans="1:7" x14ac:dyDescent="0.25">
      <c r="A3861" s="1">
        <v>40417</v>
      </c>
      <c r="B3861">
        <v>0.206535995006561</v>
      </c>
      <c r="C3861">
        <f>C3862*(1+G3861*3)</f>
        <v>0.20571467343437708</v>
      </c>
      <c r="D3861">
        <f t="shared" si="121"/>
        <v>0.20687246327330516</v>
      </c>
      <c r="F3861">
        <v>1791.64001464843</v>
      </c>
      <c r="G3861">
        <f t="shared" si="122"/>
        <v>1.2786737779922897E-2</v>
      </c>
    </row>
    <row r="3862" spans="1:7" x14ac:dyDescent="0.25">
      <c r="A3862" s="1">
        <v>40416</v>
      </c>
      <c r="B3862">
        <v>0.199921995401382</v>
      </c>
      <c r="C3862">
        <f>C3863*(1+G3862*3)</f>
        <v>0.19811494199370275</v>
      </c>
      <c r="D3862">
        <f t="shared" si="121"/>
        <v>0.1992221090300349</v>
      </c>
      <c r="F3862">
        <v>1769.02001953125</v>
      </c>
      <c r="G3862">
        <f t="shared" si="122"/>
        <v>-1.2206281432568966E-2</v>
      </c>
    </row>
    <row r="3863" spans="1:7" x14ac:dyDescent="0.25">
      <c r="A3863" s="1">
        <v>40415</v>
      </c>
      <c r="B3863">
        <v>0.20666700601577701</v>
      </c>
      <c r="C3863">
        <f>C3864*(1+G3863*3)</f>
        <v>0.20564544035458052</v>
      </c>
      <c r="D3863">
        <f t="shared" si="121"/>
        <v>0.20678590890160806</v>
      </c>
      <c r="F3863">
        <v>1790.88000488281</v>
      </c>
      <c r="G3863">
        <f t="shared" si="122"/>
        <v>8.793020317935385E-3</v>
      </c>
    </row>
    <row r="3864" spans="1:7" x14ac:dyDescent="0.25">
      <c r="A3864" s="1">
        <v>40414</v>
      </c>
      <c r="B3864">
        <v>0.200651004910469</v>
      </c>
      <c r="C3864">
        <f>C3865*(1+G3864*3)</f>
        <v>0.2003601283169941</v>
      </c>
      <c r="D3864">
        <f t="shared" si="121"/>
        <v>0.20146325410114621</v>
      </c>
      <c r="F3864">
        <v>1775.27001953125</v>
      </c>
      <c r="G3864">
        <f t="shared" si="122"/>
        <v>-1.8271224509027961E-2</v>
      </c>
    </row>
    <row r="3865" spans="1:7" x14ac:dyDescent="0.25">
      <c r="A3865" s="1">
        <v>40413</v>
      </c>
      <c r="B3865">
        <v>0.212864995002746</v>
      </c>
      <c r="C3865">
        <f>C3866*(1+G3865*3)</f>
        <v>0.21197950362301959</v>
      </c>
      <c r="D3865">
        <f t="shared" si="121"/>
        <v>0.21313737560965224</v>
      </c>
      <c r="F3865">
        <v>1808.31005859375</v>
      </c>
      <c r="G3865">
        <f t="shared" si="122"/>
        <v>-9.5522067129946153E-3</v>
      </c>
    </row>
    <row r="3866" spans="1:7" x14ac:dyDescent="0.25">
      <c r="A3866" s="1">
        <v>40410</v>
      </c>
      <c r="B3866">
        <v>0.218906000256538</v>
      </c>
      <c r="C3866">
        <f>C3867*(1+G3866*3)</f>
        <v>0.2182333333587454</v>
      </c>
      <c r="D3866">
        <f t="shared" si="121"/>
        <v>0.21941612215029069</v>
      </c>
      <c r="F3866">
        <v>1825.75</v>
      </c>
      <c r="G3866">
        <f t="shared" si="122"/>
        <v>1.5085024684586834E-3</v>
      </c>
    </row>
    <row r="3867" spans="1:7" x14ac:dyDescent="0.25">
      <c r="A3867" s="1">
        <v>40409</v>
      </c>
      <c r="B3867">
        <v>0.21966099739074699</v>
      </c>
      <c r="C3867">
        <f>C3868*(1+G3867*3)</f>
        <v>0.21725016612313597</v>
      </c>
      <c r="D3867">
        <f t="shared" si="121"/>
        <v>0.21841872945911572</v>
      </c>
      <c r="F3867">
        <v>1823</v>
      </c>
      <c r="G3867">
        <f t="shared" si="122"/>
        <v>-1.5020557647879018E-2</v>
      </c>
    </row>
    <row r="3868" spans="1:7" x14ac:dyDescent="0.25">
      <c r="A3868" s="1">
        <v>40408</v>
      </c>
      <c r="B3868">
        <v>0.22804699838161399</v>
      </c>
      <c r="C3868">
        <f>C3869*(1+G3868*3)</f>
        <v>0.22750177678261027</v>
      </c>
      <c r="D3868">
        <f t="shared" si="121"/>
        <v>0.22871568229428074</v>
      </c>
      <c r="F3868">
        <v>1850.80004882812</v>
      </c>
      <c r="G3868">
        <f t="shared" si="122"/>
        <v>2.9425284497459625E-3</v>
      </c>
    </row>
    <row r="3869" spans="1:7" x14ac:dyDescent="0.25">
      <c r="A3869" s="1">
        <v>40407</v>
      </c>
      <c r="B3869">
        <v>0.226015999913215</v>
      </c>
      <c r="C3869">
        <f>C3870*(1+G3869*3)</f>
        <v>0.22551105866504756</v>
      </c>
      <c r="D3869">
        <f t="shared" si="121"/>
        <v>0.22670514708754697</v>
      </c>
      <c r="F3869">
        <v>1845.36999511718</v>
      </c>
      <c r="G3869">
        <f t="shared" si="122"/>
        <v>1.3099014127641251E-2</v>
      </c>
    </row>
    <row r="3870" spans="1:7" x14ac:dyDescent="0.25">
      <c r="A3870" s="1">
        <v>40406</v>
      </c>
      <c r="B3870">
        <v>0.217733994126319</v>
      </c>
      <c r="C3870">
        <f>C3871*(1+G3870*3)</f>
        <v>0.21698422055352981</v>
      </c>
      <c r="D3870">
        <f t="shared" si="121"/>
        <v>0.21812457147996886</v>
      </c>
      <c r="F3870">
        <v>1821.51000976562</v>
      </c>
      <c r="G3870">
        <f t="shared" si="122"/>
        <v>1.4899718851701937E-3</v>
      </c>
    </row>
    <row r="3871" spans="1:7" x14ac:dyDescent="0.25">
      <c r="A3871" s="1">
        <v>40403</v>
      </c>
      <c r="B3871">
        <v>0.21650999784469599</v>
      </c>
      <c r="C3871">
        <f>C3872*(1+G3871*3)</f>
        <v>0.21601863547294725</v>
      </c>
      <c r="D3871">
        <f t="shared" si="121"/>
        <v>0.21714506634974753</v>
      </c>
      <c r="F3871">
        <v>1818.80004882812</v>
      </c>
      <c r="G3871">
        <f t="shared" si="122"/>
        <v>-7.2973549378635427E-3</v>
      </c>
    </row>
    <row r="3872" spans="1:7" x14ac:dyDescent="0.25">
      <c r="A3872" s="1">
        <v>40402</v>
      </c>
      <c r="B3872">
        <v>0.22091099619865401</v>
      </c>
      <c r="C3872">
        <f>C3873*(1+G3872*3)</f>
        <v>0.22085357627916399</v>
      </c>
      <c r="D3872">
        <f t="shared" si="121"/>
        <v>0.22199593220272529</v>
      </c>
      <c r="F3872">
        <v>1832.17004394531</v>
      </c>
      <c r="G3872">
        <f t="shared" si="122"/>
        <v>-7.1583960498904364E-3</v>
      </c>
    </row>
    <row r="3873" spans="1:7" x14ac:dyDescent="0.25">
      <c r="A3873" s="1">
        <v>40401</v>
      </c>
      <c r="B3873">
        <v>0.22731800377368899</v>
      </c>
      <c r="C3873">
        <f>C3874*(1+G3873*3)</f>
        <v>0.22570053779376714</v>
      </c>
      <c r="D3873">
        <f t="shared" si="121"/>
        <v>0.22685847826112021</v>
      </c>
      <c r="F3873">
        <v>1845.38000488281</v>
      </c>
      <c r="G3873">
        <f t="shared" si="122"/>
        <v>-2.8358704338841134E-2</v>
      </c>
    </row>
    <row r="3874" spans="1:7" x14ac:dyDescent="0.25">
      <c r="A3874" s="1">
        <v>40400</v>
      </c>
      <c r="B3874">
        <v>0.24770799279212899</v>
      </c>
      <c r="C3874">
        <f>C3875*(1+G3874*3)</f>
        <v>0.24668777480267412</v>
      </c>
      <c r="D3874">
        <f t="shared" si="121"/>
        <v>0.24794230028194755</v>
      </c>
      <c r="F3874">
        <v>1899.23999023437</v>
      </c>
      <c r="G3874">
        <f t="shared" si="122"/>
        <v>-8.3178273184159046E-3</v>
      </c>
    </row>
    <row r="3875" spans="1:7" x14ac:dyDescent="0.25">
      <c r="A3875" s="1">
        <v>40399</v>
      </c>
      <c r="B3875">
        <v>0.25307300686836198</v>
      </c>
      <c r="C3875">
        <f>C3876*(1+G3875*3)</f>
        <v>0.25300103147627645</v>
      </c>
      <c r="D3875">
        <f t="shared" si="121"/>
        <v>0.25427699228221012</v>
      </c>
      <c r="F3875">
        <v>1915.17004394531</v>
      </c>
      <c r="G3875">
        <f t="shared" si="122"/>
        <v>6.4586516390752191E-3</v>
      </c>
    </row>
    <row r="3876" spans="1:7" x14ac:dyDescent="0.25">
      <c r="A3876" s="1">
        <v>40396</v>
      </c>
      <c r="B3876">
        <v>0.24872399866580899</v>
      </c>
      <c r="C3876">
        <f>C3877*(1+G3876*3)</f>
        <v>0.2481920730578939</v>
      </c>
      <c r="D3876">
        <f t="shared" si="121"/>
        <v>0.24943376865937644</v>
      </c>
      <c r="F3876">
        <v>1902.88000488281</v>
      </c>
      <c r="G3876">
        <f t="shared" si="122"/>
        <v>-1.0866145264271099E-3</v>
      </c>
    </row>
    <row r="3877" spans="1:7" x14ac:dyDescent="0.25">
      <c r="A3877" s="1">
        <v>40395</v>
      </c>
      <c r="B3877">
        <v>0.249896004796028</v>
      </c>
      <c r="C3877">
        <f>C3878*(1+G3877*3)</f>
        <v>0.24900378645237742</v>
      </c>
      <c r="D3877">
        <f t="shared" si="121"/>
        <v>0.25023927041287042</v>
      </c>
      <c r="F3877">
        <v>1904.94995117187</v>
      </c>
      <c r="G3877">
        <f t="shared" si="122"/>
        <v>-2.2260633295068111E-3</v>
      </c>
    </row>
    <row r="3878" spans="1:7" x14ac:dyDescent="0.25">
      <c r="A3878" s="1">
        <v>40394</v>
      </c>
      <c r="B3878">
        <v>0.25137999653816201</v>
      </c>
      <c r="C3878">
        <f>C3879*(1+G3878*3)</f>
        <v>0.25067786083293564</v>
      </c>
      <c r="D3878">
        <f t="shared" si="121"/>
        <v>0.25191127422298704</v>
      </c>
      <c r="F3878">
        <v>1909.19995117187</v>
      </c>
      <c r="G3878">
        <f t="shared" si="122"/>
        <v>9.1921979688840416E-3</v>
      </c>
    </row>
    <row r="3879" spans="1:7" x14ac:dyDescent="0.25">
      <c r="A3879" s="1">
        <v>40393</v>
      </c>
      <c r="B3879">
        <v>0.244323000311851</v>
      </c>
      <c r="C3879">
        <f>C3880*(1+G3879*3)</f>
        <v>0.2439505359692028</v>
      </c>
      <c r="D3879">
        <f t="shared" si="121"/>
        <v>0.24514108748229441</v>
      </c>
      <c r="F3879">
        <v>1891.81005859375</v>
      </c>
      <c r="G3879">
        <f t="shared" si="122"/>
        <v>-3.7809212673806103E-3</v>
      </c>
    </row>
    <row r="3880" spans="1:7" x14ac:dyDescent="0.25">
      <c r="A3880" s="1">
        <v>40392</v>
      </c>
      <c r="B3880">
        <v>0.24687500298023199</v>
      </c>
      <c r="C3880">
        <f>C3881*(1+G3880*3)</f>
        <v>0.24674935562842673</v>
      </c>
      <c r="D3880">
        <f t="shared" si="121"/>
        <v>0.24794330464254513</v>
      </c>
      <c r="F3880">
        <v>1898.98999023437</v>
      </c>
      <c r="G3880">
        <f t="shared" si="122"/>
        <v>1.8771453988395859E-2</v>
      </c>
    </row>
    <row r="3881" spans="1:7" x14ac:dyDescent="0.25">
      <c r="A3881" s="1">
        <v>40389</v>
      </c>
      <c r="B3881">
        <v>0.234271004796028</v>
      </c>
      <c r="C3881">
        <f>C3882*(1+G3881*3)</f>
        <v>0.23359462345032353</v>
      </c>
      <c r="D3881">
        <f t="shared" si="121"/>
        <v>0.23471582856621917</v>
      </c>
      <c r="F3881">
        <v>1864</v>
      </c>
      <c r="G3881">
        <f t="shared" si="122"/>
        <v>1.9889002175808024E-3</v>
      </c>
    </row>
    <row r="3882" spans="1:7" x14ac:dyDescent="0.25">
      <c r="A3882" s="1">
        <v>40388</v>
      </c>
      <c r="B3882">
        <v>0.232682004570961</v>
      </c>
      <c r="C3882">
        <f>C3883*(1+G3882*3)</f>
        <v>0.23220910125429678</v>
      </c>
      <c r="D3882">
        <f t="shared" si="121"/>
        <v>0.23331416618336689</v>
      </c>
      <c r="F3882">
        <v>1860.30004882812</v>
      </c>
      <c r="G3882">
        <f t="shared" si="122"/>
        <v>-6.5789889679614966E-3</v>
      </c>
    </row>
    <row r="3883" spans="1:7" x14ac:dyDescent="0.25">
      <c r="A3883" s="1">
        <v>40387</v>
      </c>
      <c r="B3883">
        <v>0.238359004259109</v>
      </c>
      <c r="C3883">
        <f>C3884*(1+G3883*3)</f>
        <v>0.23688448244434462</v>
      </c>
      <c r="D3883">
        <f t="shared" si="121"/>
        <v>0.23800186266661544</v>
      </c>
      <c r="F3883">
        <v>1872.61999511718</v>
      </c>
      <c r="G3883">
        <f t="shared" si="122"/>
        <v>-8.5715677989472994E-3</v>
      </c>
    </row>
    <row r="3884" spans="1:7" x14ac:dyDescent="0.25">
      <c r="A3884" s="1">
        <v>40386</v>
      </c>
      <c r="B3884">
        <v>0.24333299696445401</v>
      </c>
      <c r="C3884">
        <f>C3885*(1+G3884*3)</f>
        <v>0.24313666979296666</v>
      </c>
      <c r="D3884">
        <f t="shared" si="121"/>
        <v>0.2442732826650264</v>
      </c>
      <c r="F3884">
        <v>1888.81005859375</v>
      </c>
      <c r="G3884">
        <f t="shared" si="122"/>
        <v>-8.4107374088870923E-4</v>
      </c>
    </row>
    <row r="3885" spans="1:7" x14ac:dyDescent="0.25">
      <c r="A3885" s="1">
        <v>40385</v>
      </c>
      <c r="B3885">
        <v>0.24338500201702101</v>
      </c>
      <c r="C3885">
        <f>C3886*(1+G3885*3)</f>
        <v>0.24375170927888029</v>
      </c>
      <c r="D3885">
        <f t="shared" si="121"/>
        <v>0.24488115209954114</v>
      </c>
      <c r="F3885">
        <v>1890.40002441406</v>
      </c>
      <c r="G3885">
        <f t="shared" si="122"/>
        <v>8.0090538942205747E-3</v>
      </c>
    </row>
    <row r="3886" spans="1:7" x14ac:dyDescent="0.25">
      <c r="A3886" s="1">
        <v>40382</v>
      </c>
      <c r="B3886">
        <v>0.23815099895000399</v>
      </c>
      <c r="C3886">
        <f>C3887*(1+G3886*3)</f>
        <v>0.23803246476231371</v>
      </c>
      <c r="D3886">
        <f t="shared" si="121"/>
        <v>0.23912585219248061</v>
      </c>
      <c r="F3886">
        <v>1875.38000488281</v>
      </c>
      <c r="G3886">
        <f t="shared" si="122"/>
        <v>6.5911810733709775E-3</v>
      </c>
    </row>
    <row r="3887" spans="1:7" x14ac:dyDescent="0.25">
      <c r="A3887" s="1">
        <v>40381</v>
      </c>
      <c r="B3887">
        <v>0.232108995318412</v>
      </c>
      <c r="C3887">
        <f>C3888*(1+G3887*3)</f>
        <v>0.23341698394202762</v>
      </c>
      <c r="D3887">
        <f t="shared" si="121"/>
        <v>0.23447976219224959</v>
      </c>
      <c r="F3887">
        <v>1863.09997558593</v>
      </c>
      <c r="G3887">
        <f t="shared" si="122"/>
        <v>2.5202182098296833E-2</v>
      </c>
    </row>
    <row r="3888" spans="1:7" x14ac:dyDescent="0.25">
      <c r="A3888" s="1">
        <v>40380</v>
      </c>
      <c r="B3888">
        <v>0.21744799613952601</v>
      </c>
      <c r="C3888">
        <f>C3889*(1+G3888*3)</f>
        <v>0.21700963493209677</v>
      </c>
      <c r="D3888">
        <f t="shared" si="121"/>
        <v>0.21798941578848047</v>
      </c>
      <c r="F3888">
        <v>1817.30004882812</v>
      </c>
      <c r="G3888">
        <f t="shared" si="122"/>
        <v>-1.2696460831784107E-2</v>
      </c>
    </row>
    <row r="3889" spans="1:7" x14ac:dyDescent="0.25">
      <c r="A3889" s="1">
        <v>40379</v>
      </c>
      <c r="B3889">
        <v>0.225338995456695</v>
      </c>
      <c r="C3889">
        <f>C3890*(1+G3889*3)</f>
        <v>0.22560270256196463</v>
      </c>
      <c r="D3889">
        <f t="shared" si="121"/>
        <v>0.2266116409113702</v>
      </c>
      <c r="F3889">
        <v>1840.67004394531</v>
      </c>
      <c r="G3889">
        <f t="shared" si="122"/>
        <v>1.1757406393729797E-2</v>
      </c>
    </row>
    <row r="3890" spans="1:7" x14ac:dyDescent="0.25">
      <c r="A3890" s="1">
        <v>40378</v>
      </c>
      <c r="B3890">
        <v>0.218437999486923</v>
      </c>
      <c r="C3890">
        <f>C3891*(1+G3890*3)</f>
        <v>0.21791631068821379</v>
      </c>
      <c r="D3890">
        <f t="shared" si="121"/>
        <v>0.21888222308537539</v>
      </c>
      <c r="F3890">
        <v>1819.28002929687</v>
      </c>
      <c r="G3890">
        <f t="shared" si="122"/>
        <v>8.7608673227486111E-3</v>
      </c>
    </row>
    <row r="3891" spans="1:7" x14ac:dyDescent="0.25">
      <c r="A3891" s="1">
        <v>40375</v>
      </c>
      <c r="B3891">
        <v>0.21362000703811601</v>
      </c>
      <c r="C3891">
        <f>C3892*(1+G3891*3)</f>
        <v>0.21233557917700754</v>
      </c>
      <c r="D3891">
        <f t="shared" si="121"/>
        <v>0.21326825213241546</v>
      </c>
      <c r="F3891">
        <v>1803.47998046875</v>
      </c>
      <c r="G3891">
        <f t="shared" si="122"/>
        <v>-2.8423054154198324E-2</v>
      </c>
    </row>
    <row r="3892" spans="1:7" x14ac:dyDescent="0.25">
      <c r="A3892" s="1">
        <v>40374</v>
      </c>
      <c r="B3892">
        <v>0.23231799900531699</v>
      </c>
      <c r="C3892">
        <f>C3893*(1+G3892*3)</f>
        <v>0.23212902688253881</v>
      </c>
      <c r="D3892">
        <f t="shared" si="121"/>
        <v>0.2331382128877271</v>
      </c>
      <c r="F3892">
        <v>1856.23999023437</v>
      </c>
      <c r="G3892">
        <f t="shared" si="122"/>
        <v>1.5268915148300977E-3</v>
      </c>
    </row>
    <row r="3893" spans="1:7" x14ac:dyDescent="0.25">
      <c r="A3893" s="1">
        <v>40373</v>
      </c>
      <c r="B3893">
        <v>0.23150999844074199</v>
      </c>
      <c r="C3893">
        <f>C3894*(1+G3893*3)</f>
        <v>0.23107056781456969</v>
      </c>
      <c r="D3893">
        <f t="shared" si="121"/>
        <v>0.23206569993212553</v>
      </c>
      <c r="F3893">
        <v>1853.41003417968</v>
      </c>
      <c r="G3893">
        <f t="shared" si="122"/>
        <v>4.5419341418544423E-3</v>
      </c>
    </row>
    <row r="3894" spans="1:7" x14ac:dyDescent="0.25">
      <c r="A3894" s="1">
        <v>40372</v>
      </c>
      <c r="B3894">
        <v>0.227864995598793</v>
      </c>
      <c r="C3894">
        <f>C3895*(1+G3894*3)</f>
        <v>0.22796437034419179</v>
      </c>
      <c r="D3894">
        <f t="shared" si="121"/>
        <v>0.22893688369849188</v>
      </c>
      <c r="F3894">
        <v>1845.03002929687</v>
      </c>
      <c r="G3894">
        <f t="shared" si="122"/>
        <v>1.3179354329080795E-2</v>
      </c>
    </row>
    <row r="3895" spans="1:7" x14ac:dyDescent="0.25">
      <c r="A3895" s="1">
        <v>40371</v>
      </c>
      <c r="B3895">
        <v>0.220339000225067</v>
      </c>
      <c r="C3895">
        <f>C3896*(1+G3895*3)</f>
        <v>0.21929391376887894</v>
      </c>
      <c r="D3895">
        <f t="shared" si="121"/>
        <v>0.22022077016823299</v>
      </c>
      <c r="F3895">
        <v>1821.03002929687</v>
      </c>
      <c r="G3895">
        <f t="shared" si="122"/>
        <v>3.4384089068471013E-3</v>
      </c>
    </row>
    <row r="3896" spans="1:7" x14ac:dyDescent="0.25">
      <c r="A3896" s="1">
        <v>40368</v>
      </c>
      <c r="B3896">
        <v>0.217865005135536</v>
      </c>
      <c r="C3896">
        <f>C3897*(1+G3896*3)</f>
        <v>0.21705494282284715</v>
      </c>
      <c r="D3896">
        <f t="shared" si="121"/>
        <v>0.21796350867236197</v>
      </c>
      <c r="F3896">
        <v>1814.7900390625</v>
      </c>
      <c r="G3896">
        <f t="shared" si="122"/>
        <v>9.1641485237741183E-3</v>
      </c>
    </row>
    <row r="3897" spans="1:7" x14ac:dyDescent="0.25">
      <c r="A3897" s="1">
        <v>40367</v>
      </c>
      <c r="B3897">
        <v>0.21192699670791601</v>
      </c>
      <c r="C3897">
        <f>C3898*(1+G3897*3)</f>
        <v>0.21124723958642527</v>
      </c>
      <c r="D3897">
        <f t="shared" si="121"/>
        <v>0.21212304781490265</v>
      </c>
      <c r="F3897">
        <v>1798.31005859375</v>
      </c>
      <c r="G3897">
        <f t="shared" si="122"/>
        <v>4.7996826493785782E-3</v>
      </c>
    </row>
    <row r="3898" spans="1:7" x14ac:dyDescent="0.25">
      <c r="A3898" s="1">
        <v>40366</v>
      </c>
      <c r="B3898">
        <v>0.20841099321842099</v>
      </c>
      <c r="C3898">
        <f>C3899*(1+G3898*3)</f>
        <v>0.20824865718646252</v>
      </c>
      <c r="D3898">
        <f t="shared" si="121"/>
        <v>0.20910359910212947</v>
      </c>
      <c r="F3898">
        <v>1789.71997070312</v>
      </c>
      <c r="G3898">
        <f t="shared" si="122"/>
        <v>3.1729146175656586E-2</v>
      </c>
    </row>
    <row r="3899" spans="1:7" x14ac:dyDescent="0.25">
      <c r="A3899" s="1">
        <v>40365</v>
      </c>
      <c r="B3899">
        <v>0.19041700661182401</v>
      </c>
      <c r="C3899">
        <f>C3900*(1+G3899*3)</f>
        <v>0.19014887302447292</v>
      </c>
      <c r="D3899">
        <f t="shared" si="121"/>
        <v>0.19092237521233762</v>
      </c>
      <c r="F3899">
        <v>1734.68005371093</v>
      </c>
      <c r="G3899">
        <f t="shared" si="122"/>
        <v>3.6683106425829948E-3</v>
      </c>
    </row>
    <row r="3900" spans="1:7" x14ac:dyDescent="0.25">
      <c r="A3900" s="1">
        <v>40361</v>
      </c>
      <c r="B3900">
        <v>0.18942700326442699</v>
      </c>
      <c r="C3900">
        <f>C3901*(1+G3900*3)</f>
        <v>0.18807907560045595</v>
      </c>
      <c r="D3900">
        <f t="shared" si="121"/>
        <v>0.18883651552549299</v>
      </c>
      <c r="F3900">
        <v>1728.33996582031</v>
      </c>
      <c r="G3900">
        <f t="shared" si="122"/>
        <v>-3.4997885388969863E-3</v>
      </c>
    </row>
    <row r="3901" spans="1:7" x14ac:dyDescent="0.25">
      <c r="A3901" s="1">
        <v>40360</v>
      </c>
      <c r="B3901">
        <v>0.19046899676322901</v>
      </c>
      <c r="C3901">
        <f>C3902*(1+G3901*3)</f>
        <v>0.19007473978798742</v>
      </c>
      <c r="D3901">
        <f t="shared" si="121"/>
        <v>0.19083232553148044</v>
      </c>
      <c r="F3901">
        <v>1734.41003417968</v>
      </c>
      <c r="G3901">
        <f t="shared" si="122"/>
        <v>-2.7197237881425584E-3</v>
      </c>
    </row>
    <row r="3902" spans="1:7" x14ac:dyDescent="0.25">
      <c r="A3902" s="1">
        <v>40359</v>
      </c>
      <c r="B3902">
        <v>0.19234399497509</v>
      </c>
      <c r="C3902">
        <f>C3903*(1+G3902*3)</f>
        <v>0.19163834992502182</v>
      </c>
      <c r="D3902">
        <f t="shared" ref="D3902:D3965" si="123">D3903*(1+3*G3902--0.0000409173405459604)</f>
        <v>0.19239423076959733</v>
      </c>
      <c r="F3902">
        <v>1739.14001464843</v>
      </c>
      <c r="G3902">
        <f t="shared" si="122"/>
        <v>-1.4126528075912193E-2</v>
      </c>
    </row>
    <row r="3903" spans="1:7" x14ac:dyDescent="0.25">
      <c r="A3903" s="1">
        <v>40358</v>
      </c>
      <c r="B3903">
        <v>0.202344000339508</v>
      </c>
      <c r="C3903">
        <f>C3904*(1+G3903*3)</f>
        <v>0.2001193236575653</v>
      </c>
      <c r="D3903">
        <f t="shared" si="123"/>
        <v>0.2009000719954242</v>
      </c>
      <c r="F3903">
        <v>1764.06005859375</v>
      </c>
      <c r="G3903">
        <f t="shared" si="122"/>
        <v>-3.9182974622140487E-2</v>
      </c>
    </row>
    <row r="3904" spans="1:7" x14ac:dyDescent="0.25">
      <c r="A3904" s="1">
        <v>40357</v>
      </c>
      <c r="B3904">
        <v>0.22776000201702101</v>
      </c>
      <c r="C3904">
        <f>C3905*(1+G3904*3)</f>
        <v>0.22677667812971514</v>
      </c>
      <c r="D3904">
        <f t="shared" si="123"/>
        <v>0.22765087216773119</v>
      </c>
      <c r="F3904">
        <v>1836</v>
      </c>
      <c r="G3904">
        <f t="shared" si="122"/>
        <v>-1.370678319778329E-3</v>
      </c>
    </row>
    <row r="3905" spans="1:7" x14ac:dyDescent="0.25">
      <c r="A3905" s="1">
        <v>40354</v>
      </c>
      <c r="B3905">
        <v>0.22981800138950301</v>
      </c>
      <c r="C3905">
        <f>C3906*(1+G3905*3)</f>
        <v>0.22771304211960749</v>
      </c>
      <c r="D3905">
        <f t="shared" si="123"/>
        <v>0.22858145415306214</v>
      </c>
      <c r="F3905">
        <v>1838.52001953125</v>
      </c>
      <c r="G3905">
        <f t="shared" si="122"/>
        <v>-3.2906751102056431E-3</v>
      </c>
    </row>
    <row r="3906" spans="1:7" x14ac:dyDescent="0.25">
      <c r="A3906" s="1">
        <v>40353</v>
      </c>
      <c r="B3906">
        <v>0.22997400164604101</v>
      </c>
      <c r="C3906">
        <f>C3907*(1+G3906*3)</f>
        <v>0.22998344450942709</v>
      </c>
      <c r="D3906">
        <f t="shared" si="123"/>
        <v>0.23085097501807803</v>
      </c>
      <c r="F3906">
        <v>1844.58996582031</v>
      </c>
      <c r="G3906">
        <f t="shared" ref="G3906:G3969" si="124">F3906/F3907-1</f>
        <v>-1.5914297449686421E-2</v>
      </c>
    </row>
    <row r="3907" spans="1:7" x14ac:dyDescent="0.25">
      <c r="A3907" s="1">
        <v>40352</v>
      </c>
      <c r="B3907">
        <v>0.241693004965782</v>
      </c>
      <c r="C3907">
        <f>C3908*(1+G3907*3)</f>
        <v>0.24151402248575266</v>
      </c>
      <c r="D3907">
        <f t="shared" si="123"/>
        <v>0.24241463172218777</v>
      </c>
      <c r="F3907">
        <v>1874.42004394531</v>
      </c>
      <c r="G3907">
        <f t="shared" si="124"/>
        <v>-3.2543817148615872E-3</v>
      </c>
    </row>
    <row r="3908" spans="1:7" x14ac:dyDescent="0.25">
      <c r="A3908" s="1">
        <v>40351</v>
      </c>
      <c r="B3908">
        <v>0.24497400224208801</v>
      </c>
      <c r="C3908">
        <f>C3909*(1+G3908*3)</f>
        <v>0.24389520678970911</v>
      </c>
      <c r="D3908">
        <f t="shared" si="123"/>
        <v>0.24479458039801133</v>
      </c>
      <c r="F3908">
        <v>1880.5400390625</v>
      </c>
      <c r="G3908">
        <f t="shared" si="124"/>
        <v>-8.0702628036379842E-3</v>
      </c>
    </row>
    <row r="3909" spans="1:7" x14ac:dyDescent="0.25">
      <c r="A3909" s="1">
        <v>40350</v>
      </c>
      <c r="B3909">
        <v>0.25091099739074701</v>
      </c>
      <c r="C3909">
        <f>C3910*(1+G3909*3)</f>
        <v>0.24994661131016446</v>
      </c>
      <c r="D3909">
        <f t="shared" si="123"/>
        <v>0.25085778061241198</v>
      </c>
      <c r="F3909">
        <v>1895.83996582031</v>
      </c>
      <c r="G3909">
        <f t="shared" si="124"/>
        <v>-9.2188132765929076E-3</v>
      </c>
    </row>
    <row r="3910" spans="1:7" x14ac:dyDescent="0.25">
      <c r="A3910" s="1">
        <v>40347</v>
      </c>
      <c r="B3910">
        <v>0.257681995630264</v>
      </c>
      <c r="C3910">
        <f>C3911*(1+G3910*3)</f>
        <v>0.25705586127027785</v>
      </c>
      <c r="D3910">
        <f t="shared" si="123"/>
        <v>0.25798209084393187</v>
      </c>
      <c r="F3910">
        <v>1913.47998046875</v>
      </c>
      <c r="G3910">
        <f t="shared" si="124"/>
        <v>1.4811483100145573E-3</v>
      </c>
    </row>
    <row r="3911" spans="1:7" x14ac:dyDescent="0.25">
      <c r="A3911" s="1">
        <v>40346</v>
      </c>
      <c r="B3911">
        <v>0.25697898864745999</v>
      </c>
      <c r="C3911">
        <f>C3912*(1+G3911*3)</f>
        <v>0.25591870061751559</v>
      </c>
      <c r="D3911">
        <f t="shared" si="123"/>
        <v>0.25683037042087492</v>
      </c>
      <c r="F3911">
        <v>1910.65002441406</v>
      </c>
      <c r="G3911">
        <f t="shared" si="124"/>
        <v>2.8026754995726932E-3</v>
      </c>
    </row>
    <row r="3912" spans="1:7" x14ac:dyDescent="0.25">
      <c r="A3912" s="1">
        <v>40345</v>
      </c>
      <c r="B3912">
        <v>0.25442698597907998</v>
      </c>
      <c r="C3912">
        <f>C3913*(1+G3912*3)</f>
        <v>0.25378487069969879</v>
      </c>
      <c r="D3912">
        <f t="shared" si="123"/>
        <v>0.25467860518857455</v>
      </c>
      <c r="F3912">
        <v>1905.31005859375</v>
      </c>
      <c r="G3912">
        <f t="shared" si="124"/>
        <v>4.1265669232861679E-3</v>
      </c>
    </row>
    <row r="3913" spans="1:7" x14ac:dyDescent="0.25">
      <c r="A3913" s="1">
        <v>40344</v>
      </c>
      <c r="B3913">
        <v>0.24940100312232899</v>
      </c>
      <c r="C3913">
        <f>C3914*(1+G3913*3)</f>
        <v>0.25068150863426986</v>
      </c>
      <c r="D3913">
        <f t="shared" si="123"/>
        <v>0.25155414719221159</v>
      </c>
      <c r="F3913">
        <v>1897.47998046875</v>
      </c>
      <c r="G3913">
        <f t="shared" si="124"/>
        <v>2.817695155207911E-2</v>
      </c>
    </row>
    <row r="3914" spans="1:7" x14ac:dyDescent="0.25">
      <c r="A3914" s="1">
        <v>40343</v>
      </c>
      <c r="B3914">
        <v>0.232421994209289</v>
      </c>
      <c r="C3914">
        <f>C3915*(1+G3914*3)</f>
        <v>0.23114280940741713</v>
      </c>
      <c r="D3914">
        <f t="shared" si="123"/>
        <v>0.23193868187172187</v>
      </c>
      <c r="F3914">
        <v>1845.47998046875</v>
      </c>
      <c r="G3914">
        <f t="shared" si="124"/>
        <v>-9.0411927739320053E-4</v>
      </c>
    </row>
    <row r="3915" spans="1:7" x14ac:dyDescent="0.25">
      <c r="A3915" s="1">
        <v>40340</v>
      </c>
      <c r="B3915">
        <v>0.23229199647903401</v>
      </c>
      <c r="C3915">
        <f>C3916*(1+G3915*3)</f>
        <v>0.23177145653281961</v>
      </c>
      <c r="D3915">
        <f t="shared" si="123"/>
        <v>0.23255995194407764</v>
      </c>
      <c r="F3915">
        <v>1847.15002441406</v>
      </c>
      <c r="G3915">
        <f t="shared" si="124"/>
        <v>9.3219781061981699E-3</v>
      </c>
    </row>
    <row r="3916" spans="1:7" x14ac:dyDescent="0.25">
      <c r="A3916" s="1">
        <v>40339</v>
      </c>
      <c r="B3916">
        <v>0.226380005478858</v>
      </c>
      <c r="C3916">
        <f>C3917*(1+G3916*3)</f>
        <v>0.22546608675943472</v>
      </c>
      <c r="D3916">
        <f t="shared" si="123"/>
        <v>0.22622412639443018</v>
      </c>
      <c r="F3916">
        <v>1830.08996582031</v>
      </c>
      <c r="G3916">
        <f t="shared" si="124"/>
        <v>2.8764599088733966E-2</v>
      </c>
    </row>
    <row r="3917" spans="1:7" x14ac:dyDescent="0.25">
      <c r="A3917" s="1">
        <v>40338</v>
      </c>
      <c r="B3917">
        <v>0.20903599262237499</v>
      </c>
      <c r="C3917">
        <f>C3918*(1+G3917*3)</f>
        <v>0.2075553476663948</v>
      </c>
      <c r="D3917">
        <f t="shared" si="123"/>
        <v>0.20824532563734105</v>
      </c>
      <c r="F3917">
        <v>1778.92004394531</v>
      </c>
      <c r="G3917">
        <f t="shared" si="124"/>
        <v>-9.3444938925399956E-3</v>
      </c>
    </row>
    <row r="3918" spans="1:7" x14ac:dyDescent="0.25">
      <c r="A3918" s="1">
        <v>40337</v>
      </c>
      <c r="B3918">
        <v>0.213750004768371</v>
      </c>
      <c r="C3918">
        <f>C3919*(1+G3918*3)</f>
        <v>0.2135416639913035</v>
      </c>
      <c r="D3918">
        <f t="shared" si="123"/>
        <v>0.21424252325324455</v>
      </c>
      <c r="F3918">
        <v>1795.69995117187</v>
      </c>
      <c r="G3918">
        <f t="shared" si="124"/>
        <v>-1.3681112698805675E-3</v>
      </c>
    </row>
    <row r="3919" spans="1:7" x14ac:dyDescent="0.25">
      <c r="A3919" s="1">
        <v>40336</v>
      </c>
      <c r="B3919">
        <v>0.21494799852371199</v>
      </c>
      <c r="C3919">
        <f>C3920*(1+G3919*3)</f>
        <v>0.21442172231572554</v>
      </c>
      <c r="D3919">
        <f t="shared" si="123"/>
        <v>0.21511663171734119</v>
      </c>
      <c r="F3919">
        <v>1798.16003417968</v>
      </c>
      <c r="G3919">
        <f t="shared" si="124"/>
        <v>-1.8493048274292767E-2</v>
      </c>
    </row>
    <row r="3920" spans="1:7" x14ac:dyDescent="0.25">
      <c r="A3920" s="1">
        <v>40333</v>
      </c>
      <c r="B3920">
        <v>0.22817699611186901</v>
      </c>
      <c r="C3920">
        <f>C3921*(1+G3920*3)</f>
        <v>0.22701639793386669</v>
      </c>
      <c r="D3920">
        <f t="shared" si="123"/>
        <v>0.22774225887202895</v>
      </c>
      <c r="F3920">
        <v>1832.0400390625</v>
      </c>
      <c r="G3920">
        <f t="shared" si="124"/>
        <v>-3.356086743935105E-2</v>
      </c>
    </row>
    <row r="3921" spans="1:7" x14ac:dyDescent="0.25">
      <c r="A3921" s="1">
        <v>40332</v>
      </c>
      <c r="B3921">
        <v>0.25317698717117298</v>
      </c>
      <c r="C3921">
        <f>C3922*(1+G3921*3)</f>
        <v>0.25243189836982721</v>
      </c>
      <c r="D3921">
        <f t="shared" si="123"/>
        <v>0.25322750128388277</v>
      </c>
      <c r="F3921">
        <v>1895.66003417968</v>
      </c>
      <c r="G3921">
        <f t="shared" si="124"/>
        <v>8.5497734354824662E-3</v>
      </c>
    </row>
    <row r="3922" spans="1:7" x14ac:dyDescent="0.25">
      <c r="A3922" s="1">
        <v>40331</v>
      </c>
      <c r="B3922">
        <v>0.24677099287509899</v>
      </c>
      <c r="C3922">
        <f>C3923*(1+G3922*3)</f>
        <v>0.24611911047179816</v>
      </c>
      <c r="D3922">
        <f t="shared" si="123"/>
        <v>0.24688496778989016</v>
      </c>
      <c r="F3922">
        <v>1879.58996582031</v>
      </c>
      <c r="G3922">
        <f t="shared" si="124"/>
        <v>2.4277359517762997E-2</v>
      </c>
    </row>
    <row r="3923" spans="1:7" x14ac:dyDescent="0.25">
      <c r="A3923" s="1">
        <v>40330</v>
      </c>
      <c r="B3923">
        <v>0.23054699599742801</v>
      </c>
      <c r="C3923">
        <f>C3924*(1+G3923*3)</f>
        <v>0.22941065558338736</v>
      </c>
      <c r="D3923">
        <f t="shared" si="123"/>
        <v>0.23011574411396632</v>
      </c>
      <c r="F3923">
        <v>1835.0400390625</v>
      </c>
      <c r="G3923">
        <f t="shared" si="124"/>
        <v>-9.3662649057320024E-3</v>
      </c>
    </row>
    <row r="3924" spans="1:7" x14ac:dyDescent="0.25">
      <c r="A3924" s="1">
        <v>40326</v>
      </c>
      <c r="B3924">
        <v>0.237109005451202</v>
      </c>
      <c r="C3924">
        <f>C3925*(1+G3924*3)</f>
        <v>0.23604318457104229</v>
      </c>
      <c r="D3924">
        <f t="shared" si="123"/>
        <v>0.2367586904175584</v>
      </c>
      <c r="F3924">
        <v>1852.39001464843</v>
      </c>
      <c r="G3924">
        <f t="shared" si="124"/>
        <v>-5.5402861988648189E-3</v>
      </c>
    </row>
    <row r="3925" spans="1:7" x14ac:dyDescent="0.25">
      <c r="A3925" s="1">
        <v>40325</v>
      </c>
      <c r="B3925">
        <v>0.24046899378299699</v>
      </c>
      <c r="C3925">
        <f>C3926*(1+G3925*3)</f>
        <v>0.24003273471326533</v>
      </c>
      <c r="D3925">
        <f t="shared" si="123"/>
        <v>0.24075031652288287</v>
      </c>
      <c r="F3925">
        <v>1862.7099609375</v>
      </c>
      <c r="G3925">
        <f t="shared" si="124"/>
        <v>3.6872305863512089E-2</v>
      </c>
    </row>
    <row r="3926" spans="1:7" x14ac:dyDescent="0.25">
      <c r="A3926" s="1">
        <v>40324</v>
      </c>
      <c r="B3926">
        <v>0.21697899699211101</v>
      </c>
      <c r="C3926">
        <f>C3927*(1+G3926*3)</f>
        <v>0.21612558832077949</v>
      </c>
      <c r="D3926">
        <f t="shared" si="123"/>
        <v>0.21676371331574115</v>
      </c>
      <c r="F3926">
        <v>1796.46997070312</v>
      </c>
      <c r="G3926">
        <f t="shared" si="124"/>
        <v>-1.0580103564252985E-2</v>
      </c>
    </row>
    <row r="3927" spans="1:7" x14ac:dyDescent="0.25">
      <c r="A3927" s="1">
        <v>40323</v>
      </c>
      <c r="B3927">
        <v>0.223905995488166</v>
      </c>
      <c r="C3927">
        <f>C3928*(1+G3927*3)</f>
        <v>0.22321035431663014</v>
      </c>
      <c r="D3927">
        <f t="shared" si="123"/>
        <v>0.2238599375313492</v>
      </c>
      <c r="F3927">
        <v>1815.68005371093</v>
      </c>
      <c r="G3927">
        <f t="shared" si="124"/>
        <v>2.2036512692480414E-4</v>
      </c>
    </row>
    <row r="3928" spans="1:7" x14ac:dyDescent="0.25">
      <c r="A3928" s="1">
        <v>40322</v>
      </c>
      <c r="B3928">
        <v>0.225494995713233</v>
      </c>
      <c r="C3928">
        <f>C3929*(1+G3928*3)</f>
        <v>0.22306288847143949</v>
      </c>
      <c r="D3928">
        <f t="shared" si="123"/>
        <v>0.22370289525308532</v>
      </c>
      <c r="F3928">
        <v>1815.28002929687</v>
      </c>
      <c r="G3928">
        <f t="shared" si="124"/>
        <v>-4.1091252073073292E-3</v>
      </c>
    </row>
    <row r="3929" spans="1:7" x14ac:dyDescent="0.25">
      <c r="A3929" s="1">
        <v>40319</v>
      </c>
      <c r="B3929">
        <v>0.223646000027656</v>
      </c>
      <c r="C3929">
        <f>C3930*(1+G3929*3)</f>
        <v>0.22584698913964402</v>
      </c>
      <c r="D3929">
        <f t="shared" si="123"/>
        <v>0.22648560114285943</v>
      </c>
      <c r="F3929">
        <v>1822.77001953125</v>
      </c>
      <c r="G3929">
        <f t="shared" si="124"/>
        <v>1.2582508096964817E-2</v>
      </c>
    </row>
    <row r="3930" spans="1:7" x14ac:dyDescent="0.25">
      <c r="A3930" s="1">
        <v>40318</v>
      </c>
      <c r="B3930">
        <v>0.22192700207233401</v>
      </c>
      <c r="C3930">
        <f>C3931*(1+G3930*3)</f>
        <v>0.21763192284555727</v>
      </c>
      <c r="D3930">
        <f t="shared" si="123"/>
        <v>0.21823870073828919</v>
      </c>
      <c r="F3930">
        <v>1800.11999511718</v>
      </c>
      <c r="G3930">
        <f t="shared" si="124"/>
        <v>-3.9126328911141872E-2</v>
      </c>
    </row>
    <row r="3931" spans="1:7" x14ac:dyDescent="0.25">
      <c r="A3931" s="1">
        <v>40317</v>
      </c>
      <c r="B3931">
        <v>0.246901005506515</v>
      </c>
      <c r="C3931">
        <f>C3932*(1+G3931*3)</f>
        <v>0.24657459948761359</v>
      </c>
      <c r="D3931">
        <f t="shared" si="123"/>
        <v>0.24725060996816561</v>
      </c>
      <c r="F3931">
        <v>1873.42004394531</v>
      </c>
      <c r="G3931">
        <f t="shared" si="124"/>
        <v>-7.2281825829140223E-3</v>
      </c>
    </row>
    <row r="3932" spans="1:7" x14ac:dyDescent="0.25">
      <c r="A3932" s="1">
        <v>40316</v>
      </c>
      <c r="B3932">
        <v>0.25359401106834401</v>
      </c>
      <c r="C3932">
        <f>C3933*(1+G3932*3)</f>
        <v>0.25203997230157882</v>
      </c>
      <c r="D3932">
        <f t="shared" si="123"/>
        <v>0.25272039683385011</v>
      </c>
      <c r="F3932">
        <v>1887.06005859375</v>
      </c>
      <c r="G3932">
        <f t="shared" si="124"/>
        <v>-1.4821526691810027E-2</v>
      </c>
    </row>
    <row r="3933" spans="1:7" x14ac:dyDescent="0.25">
      <c r="A3933" s="1">
        <v>40315</v>
      </c>
      <c r="B3933">
        <v>0.263671994209289</v>
      </c>
      <c r="C3933">
        <f>C3934*(1+G3933*3)</f>
        <v>0.26376831988234917</v>
      </c>
      <c r="D3933">
        <f t="shared" si="123"/>
        <v>0.26446908214276466</v>
      </c>
      <c r="F3933">
        <v>1915.44995117187</v>
      </c>
      <c r="G3933">
        <f t="shared" si="124"/>
        <v>4.3783627984026463E-3</v>
      </c>
    </row>
    <row r="3934" spans="1:7" x14ac:dyDescent="0.25">
      <c r="A3934" s="1">
        <v>40312</v>
      </c>
      <c r="B3934">
        <v>0.26015600562095598</v>
      </c>
      <c r="C3934">
        <f>C3935*(1+G3934*3)</f>
        <v>0.26034861777431334</v>
      </c>
      <c r="D3934">
        <f t="shared" si="123"/>
        <v>0.26102975262497552</v>
      </c>
      <c r="F3934">
        <v>1907.09997558593</v>
      </c>
      <c r="G3934">
        <f t="shared" si="124"/>
        <v>-1.9747956104084086E-2</v>
      </c>
    </row>
    <row r="3935" spans="1:7" x14ac:dyDescent="0.25">
      <c r="A3935" s="1">
        <v>40311</v>
      </c>
      <c r="B3935">
        <v>0.27721399068832397</v>
      </c>
      <c r="C3935">
        <f>C3936*(1+G3935*3)</f>
        <v>0.27674400304703756</v>
      </c>
      <c r="D3935">
        <f t="shared" si="123"/>
        <v>0.27745596448732618</v>
      </c>
      <c r="F3935">
        <v>1945.52001953125</v>
      </c>
      <c r="G3935">
        <f t="shared" si="124"/>
        <v>-1.5215752939436111E-2</v>
      </c>
    </row>
    <row r="3936" spans="1:7" x14ac:dyDescent="0.25">
      <c r="A3936" s="1">
        <v>40310</v>
      </c>
      <c r="B3936">
        <v>0.29033899307250899</v>
      </c>
      <c r="C3936">
        <f>C3937*(1+G3936*3)</f>
        <v>0.28998083319210632</v>
      </c>
      <c r="D3936">
        <f t="shared" si="123"/>
        <v>0.29071438395445015</v>
      </c>
      <c r="F3936">
        <v>1975.57995605468</v>
      </c>
      <c r="G3936">
        <f t="shared" si="124"/>
        <v>1.8088295648095887E-2</v>
      </c>
    </row>
    <row r="3937" spans="1:7" x14ac:dyDescent="0.25">
      <c r="A3937" s="1">
        <v>40309</v>
      </c>
      <c r="B3937">
        <v>0.27549499273300099</v>
      </c>
      <c r="C3937">
        <f>C3938*(1+G3937*3)</f>
        <v>0.2750550044710256</v>
      </c>
      <c r="D3937">
        <f t="shared" si="123"/>
        <v>0.27574009625380957</v>
      </c>
      <c r="F3937">
        <v>1940.47998046875</v>
      </c>
      <c r="G3937">
        <f t="shared" si="124"/>
        <v>-1.0964655277546642E-3</v>
      </c>
    </row>
    <row r="3938" spans="1:7" x14ac:dyDescent="0.25">
      <c r="A3938" s="1">
        <v>40308</v>
      </c>
      <c r="B3938">
        <v>0.27567699551582298</v>
      </c>
      <c r="C3938">
        <f>C3939*(1+G3938*3)</f>
        <v>0.27596275541579846</v>
      </c>
      <c r="D3938">
        <f t="shared" si="123"/>
        <v>0.27663875149577499</v>
      </c>
      <c r="F3938">
        <v>1942.60998535156</v>
      </c>
      <c r="G3938">
        <f t="shared" si="124"/>
        <v>5.0377436898257244E-2</v>
      </c>
    </row>
    <row r="3939" spans="1:7" x14ac:dyDescent="0.25">
      <c r="A3939" s="1">
        <v>40305</v>
      </c>
      <c r="B3939">
        <v>0.23989599943161</v>
      </c>
      <c r="C3939">
        <f>C3940*(1+G3939*3)</f>
        <v>0.23973156938774459</v>
      </c>
      <c r="D3939">
        <f t="shared" si="123"/>
        <v>0.24031027195438548</v>
      </c>
      <c r="F3939">
        <v>1849.43994140625</v>
      </c>
      <c r="G3939">
        <f t="shared" si="124"/>
        <v>-2.3398050742574283E-2</v>
      </c>
    </row>
    <row r="3940" spans="1:7" x14ac:dyDescent="0.25">
      <c r="A3940" s="1">
        <v>40304</v>
      </c>
      <c r="B3940">
        <v>0.25872400403022699</v>
      </c>
      <c r="C3940">
        <f>C3941*(1+G3940*3)</f>
        <v>0.25782970709650593</v>
      </c>
      <c r="D3940">
        <f t="shared" si="123"/>
        <v>0.25844072482763047</v>
      </c>
      <c r="F3940">
        <v>1893.75</v>
      </c>
      <c r="G3940">
        <f t="shared" si="124"/>
        <v>-3.2942515010221274E-2</v>
      </c>
    </row>
    <row r="3941" spans="1:7" x14ac:dyDescent="0.25">
      <c r="A3941" s="1">
        <v>40303</v>
      </c>
      <c r="B3941">
        <v>0.28682300448417603</v>
      </c>
      <c r="C3941">
        <f>C3942*(1+G3941*3)</f>
        <v>0.28610473575258022</v>
      </c>
      <c r="D3941">
        <f t="shared" si="123"/>
        <v>0.28676974040589986</v>
      </c>
      <c r="F3941">
        <v>1958.26000976562</v>
      </c>
      <c r="G3941">
        <f t="shared" si="124"/>
        <v>-5.4393724113910302E-3</v>
      </c>
    </row>
    <row r="3942" spans="1:7" x14ac:dyDescent="0.25">
      <c r="A3942" s="1">
        <v>40302</v>
      </c>
      <c r="B3942">
        <v>0.291615009307861</v>
      </c>
      <c r="C3942">
        <f>C3943*(1+G3942*3)</f>
        <v>0.29085087441901142</v>
      </c>
      <c r="D3942">
        <f t="shared" si="123"/>
        <v>0.29151478483053417</v>
      </c>
      <c r="F3942">
        <v>1968.96997070312</v>
      </c>
      <c r="G3942">
        <f t="shared" si="124"/>
        <v>-3.0827921655564583E-2</v>
      </c>
    </row>
    <row r="3943" spans="1:7" x14ac:dyDescent="0.25">
      <c r="A3943" s="1">
        <v>40301</v>
      </c>
      <c r="B3943">
        <v>0.31989601254463101</v>
      </c>
      <c r="C3943">
        <f>C3944*(1+G3943*3)</f>
        <v>0.32049109778001611</v>
      </c>
      <c r="D3943">
        <f t="shared" si="123"/>
        <v>0.32120818404442453</v>
      </c>
      <c r="F3943">
        <v>2031.59997558593</v>
      </c>
      <c r="G3943">
        <f t="shared" si="124"/>
        <v>1.5480109079406779E-2</v>
      </c>
    </row>
    <row r="3944" spans="1:7" x14ac:dyDescent="0.25">
      <c r="A3944" s="1">
        <v>40298</v>
      </c>
      <c r="B3944">
        <v>0.307343989610672</v>
      </c>
      <c r="C3944">
        <f>C3945*(1+G3944*3)</f>
        <v>0.30626791555889349</v>
      </c>
      <c r="D3944">
        <f t="shared" si="123"/>
        <v>0.30694117616385802</v>
      </c>
      <c r="F3944">
        <v>2000.63000488281</v>
      </c>
      <c r="G3944">
        <f t="shared" si="124"/>
        <v>-2.0686385200670121E-2</v>
      </c>
    </row>
    <row r="3945" spans="1:7" x14ac:dyDescent="0.25">
      <c r="A3945" s="1">
        <v>40297</v>
      </c>
      <c r="B3945">
        <v>0.32658898830413802</v>
      </c>
      <c r="C3945">
        <f>C3946*(1+G3945*3)</f>
        <v>0.32653223003148912</v>
      </c>
      <c r="D3945">
        <f t="shared" si="123"/>
        <v>0.32723576159407086</v>
      </c>
      <c r="F3945">
        <v>2042.89001464843</v>
      </c>
      <c r="G3945">
        <f t="shared" si="124"/>
        <v>1.7583296105834201E-2</v>
      </c>
    </row>
    <row r="3946" spans="1:7" x14ac:dyDescent="0.25">
      <c r="A3946" s="1">
        <v>40296</v>
      </c>
      <c r="B3946">
        <v>0.31072899699211098</v>
      </c>
      <c r="C3946">
        <f>C3947*(1+G3946*3)</f>
        <v>0.31017075722833903</v>
      </c>
      <c r="D3946">
        <f t="shared" si="123"/>
        <v>0.31082695615823852</v>
      </c>
      <c r="F3946">
        <v>2007.58996582031</v>
      </c>
      <c r="G3946">
        <f t="shared" si="124"/>
        <v>6.678957359800286E-4</v>
      </c>
    </row>
    <row r="3947" spans="1:7" x14ac:dyDescent="0.25">
      <c r="A3947" s="1">
        <v>40295</v>
      </c>
      <c r="B3947">
        <v>0.31000000238418501</v>
      </c>
      <c r="C3947">
        <f>C3948*(1+G3947*3)</f>
        <v>0.30955051482157975</v>
      </c>
      <c r="D3947">
        <f t="shared" si="123"/>
        <v>0.31019273468200037</v>
      </c>
      <c r="F3947">
        <v>2006.25</v>
      </c>
      <c r="G3947">
        <f t="shared" si="124"/>
        <v>-2.0906883569341006E-2</v>
      </c>
    </row>
    <row r="3948" spans="1:7" x14ac:dyDescent="0.25">
      <c r="A3948" s="1">
        <v>40294</v>
      </c>
      <c r="B3948">
        <v>0.33039098978042603</v>
      </c>
      <c r="C3948">
        <f>C3949*(1+G3948*3)</f>
        <v>0.33026494721708627</v>
      </c>
      <c r="D3948">
        <f t="shared" si="123"/>
        <v>0.33093569586030475</v>
      </c>
      <c r="F3948">
        <v>2049.09008789062</v>
      </c>
      <c r="G3948">
        <f t="shared" si="124"/>
        <v>-3.0360039493376734E-3</v>
      </c>
    </row>
    <row r="3949" spans="1:7" x14ac:dyDescent="0.25">
      <c r="A3949" s="1">
        <v>40291</v>
      </c>
      <c r="B3949">
        <v>0.332864999771118</v>
      </c>
      <c r="C3949">
        <f>C3950*(1+G3949*3)</f>
        <v>0.33330065351828125</v>
      </c>
      <c r="D3949">
        <f t="shared" si="123"/>
        <v>0.33396377698832858</v>
      </c>
      <c r="F3949">
        <v>2055.330078125</v>
      </c>
      <c r="G3949">
        <f t="shared" si="124"/>
        <v>4.9727374754804377E-3</v>
      </c>
    </row>
    <row r="3950" spans="1:7" x14ac:dyDescent="0.25">
      <c r="A3950" s="1">
        <v>40290</v>
      </c>
      <c r="B3950">
        <v>0.32851600646972601</v>
      </c>
      <c r="C3950">
        <f>C3951*(1+G3950*3)</f>
        <v>0.32840149032446103</v>
      </c>
      <c r="D3950">
        <f t="shared" si="123"/>
        <v>0.32904160098052365</v>
      </c>
      <c r="F3950">
        <v>2045.16003417968</v>
      </c>
      <c r="G3950">
        <f t="shared" si="124"/>
        <v>5.2247962574845097E-3</v>
      </c>
    </row>
    <row r="3951" spans="1:7" x14ac:dyDescent="0.25">
      <c r="A3951" s="1">
        <v>40289</v>
      </c>
      <c r="B3951">
        <v>0.32372400164604098</v>
      </c>
      <c r="C3951">
        <f>C3952*(1+G3951*3)</f>
        <v>0.32333343634013245</v>
      </c>
      <c r="D3951">
        <f t="shared" si="123"/>
        <v>0.32395061785543022</v>
      </c>
      <c r="F3951">
        <v>2034.53002929687</v>
      </c>
      <c r="G3951">
        <f t="shared" si="124"/>
        <v>5.4012916795846966E-3</v>
      </c>
    </row>
    <row r="3952" spans="1:7" x14ac:dyDescent="0.25">
      <c r="A3952" s="1">
        <v>40288</v>
      </c>
      <c r="B3952">
        <v>0.318125009536743</v>
      </c>
      <c r="C3952">
        <f>C3953*(1+G3952*3)</f>
        <v>0.3181777242561703</v>
      </c>
      <c r="D3952">
        <f t="shared" si="123"/>
        <v>0.31877222917617659</v>
      </c>
      <c r="F3952">
        <v>2023.59997558593</v>
      </c>
      <c r="G3952">
        <f t="shared" si="124"/>
        <v>5.0011403567575829E-3</v>
      </c>
    </row>
    <row r="3953" spans="1:7" x14ac:dyDescent="0.25">
      <c r="A3953" s="1">
        <v>40287</v>
      </c>
      <c r="B3953">
        <v>0.31349000334739602</v>
      </c>
      <c r="C3953">
        <f>C3954*(1+G3953*3)</f>
        <v>0.31347453383030677</v>
      </c>
      <c r="D3953">
        <f t="shared" si="123"/>
        <v>0.31404759094095841</v>
      </c>
      <c r="F3953">
        <v>2013.53002929687</v>
      </c>
      <c r="G3953">
        <f t="shared" si="124"/>
        <v>3.4283077059171774E-4</v>
      </c>
    </row>
    <row r="3954" spans="1:7" x14ac:dyDescent="0.25">
      <c r="A3954" s="1">
        <v>40284</v>
      </c>
      <c r="B3954">
        <v>0.31398400664329501</v>
      </c>
      <c r="C3954">
        <f>C3955*(1+G3954*3)</f>
        <v>0.31315245893387977</v>
      </c>
      <c r="D3954">
        <f t="shared" si="123"/>
        <v>0.31371210418868906</v>
      </c>
      <c r="F3954">
        <v>2012.83996582031</v>
      </c>
      <c r="G3954">
        <f t="shared" si="124"/>
        <v>-1.2655519681128879E-2</v>
      </c>
    </row>
    <row r="3955" spans="1:7" x14ac:dyDescent="0.25">
      <c r="A3955" s="1">
        <v>40283</v>
      </c>
      <c r="B3955">
        <v>0.32557299733161899</v>
      </c>
      <c r="C3955">
        <f>C3956*(1+G3955*3)</f>
        <v>0.32551099120056742</v>
      </c>
      <c r="D3955">
        <f t="shared" si="123"/>
        <v>0.32607885397127656</v>
      </c>
      <c r="F3955">
        <v>2038.64001464843</v>
      </c>
      <c r="G3955">
        <f t="shared" si="124"/>
        <v>4.8402857914187081E-3</v>
      </c>
    </row>
    <row r="3956" spans="1:7" x14ac:dyDescent="0.25">
      <c r="A3956" s="1">
        <v>40282</v>
      </c>
      <c r="B3956">
        <v>0.32127600908279402</v>
      </c>
      <c r="C3956">
        <f>C3957*(1+G3956*3)</f>
        <v>0.32085194585653215</v>
      </c>
      <c r="D3956">
        <f t="shared" si="123"/>
        <v>0.32139871824260163</v>
      </c>
      <c r="F3956">
        <v>2028.81994628906</v>
      </c>
      <c r="G3956">
        <f t="shared" si="124"/>
        <v>1.2481166859129145E-2</v>
      </c>
    </row>
    <row r="3957" spans="1:7" x14ac:dyDescent="0.25">
      <c r="A3957" s="1">
        <v>40281</v>
      </c>
      <c r="B3957">
        <v>0.31033900380134499</v>
      </c>
      <c r="C3957">
        <f>C3958*(1+G3957*3)</f>
        <v>0.30927172966813377</v>
      </c>
      <c r="D3957">
        <f t="shared" si="123"/>
        <v>0.30978654974654735</v>
      </c>
      <c r="F3957">
        <v>2003.81005859375</v>
      </c>
      <c r="G3957">
        <f t="shared" si="124"/>
        <v>4.088910420095182E-3</v>
      </c>
    </row>
    <row r="3958" spans="1:7" x14ac:dyDescent="0.25">
      <c r="A3958" s="1">
        <v>40280</v>
      </c>
      <c r="B3958">
        <v>0.30572900176048201</v>
      </c>
      <c r="C3958">
        <f>C3959*(1+G3958*3)</f>
        <v>0.30552394948620543</v>
      </c>
      <c r="D3958">
        <f t="shared" si="123"/>
        <v>0.30602016113848501</v>
      </c>
      <c r="F3958">
        <v>1995.65002441406</v>
      </c>
      <c r="G3958">
        <f t="shared" si="124"/>
        <v>6.1168888869289617E-4</v>
      </c>
    </row>
    <row r="3959" spans="1:7" x14ac:dyDescent="0.25">
      <c r="A3959" s="1">
        <v>40277</v>
      </c>
      <c r="B3959">
        <v>0.30450499057769698</v>
      </c>
      <c r="C3959">
        <f>C3960*(1+G3959*3)</f>
        <v>0.30496431962891102</v>
      </c>
      <c r="D3959">
        <f t="shared" si="123"/>
        <v>0.30544714717551463</v>
      </c>
      <c r="F3959">
        <v>1994.43005371093</v>
      </c>
      <c r="G3959">
        <f t="shared" si="124"/>
        <v>6.916678889738348E-3</v>
      </c>
    </row>
    <row r="3960" spans="1:7" x14ac:dyDescent="0.25">
      <c r="A3960" s="1">
        <v>40276</v>
      </c>
      <c r="B3960">
        <v>0.29911500215530301</v>
      </c>
      <c r="C3960">
        <f>C3961*(1+G3960*3)</f>
        <v>0.29876493624632411</v>
      </c>
      <c r="D3960">
        <f t="shared" si="123"/>
        <v>0.29922595412477948</v>
      </c>
      <c r="F3960">
        <v>1980.72998046875</v>
      </c>
      <c r="G3960">
        <f t="shared" si="124"/>
        <v>1.7346541020231143E-3</v>
      </c>
    </row>
    <row r="3961" spans="1:7" x14ac:dyDescent="0.25">
      <c r="A3961" s="1">
        <v>40275</v>
      </c>
      <c r="B3961">
        <v>0.29804700613021801</v>
      </c>
      <c r="C3961">
        <f>C3962*(1+G3961*3)</f>
        <v>0.29721822381292479</v>
      </c>
      <c r="D3961">
        <f t="shared" si="123"/>
        <v>0.29766473839684676</v>
      </c>
      <c r="F3961">
        <v>1977.30004882812</v>
      </c>
      <c r="G3961">
        <f t="shared" si="124"/>
        <v>-2.3461250073447681E-3</v>
      </c>
    </row>
    <row r="3962" spans="1:7" x14ac:dyDescent="0.25">
      <c r="A3962" s="1">
        <v>40274</v>
      </c>
      <c r="B3962">
        <v>0.29973998665809598</v>
      </c>
      <c r="C3962">
        <f>C3963*(1+G3962*3)</f>
        <v>0.29932498531302276</v>
      </c>
      <c r="D3962">
        <f t="shared" si="123"/>
        <v>0.29976231249302177</v>
      </c>
      <c r="F3962">
        <v>1981.94995117187</v>
      </c>
      <c r="G3962">
        <f t="shared" si="124"/>
        <v>2.0830886419620498E-3</v>
      </c>
    </row>
    <row r="3963" spans="1:7" x14ac:dyDescent="0.25">
      <c r="A3963" s="1">
        <v>40273</v>
      </c>
      <c r="B3963">
        <v>0.29747399687767001</v>
      </c>
      <c r="C3963">
        <f>C3964*(1+G3963*3)</f>
        <v>0.29746604091939693</v>
      </c>
      <c r="D3963">
        <f t="shared" si="123"/>
        <v>0.29788853898980616</v>
      </c>
      <c r="F3963">
        <v>1977.82995605468</v>
      </c>
      <c r="G3963">
        <f t="shared" si="124"/>
        <v>9.3234690005068455E-3</v>
      </c>
    </row>
    <row r="3964" spans="1:7" x14ac:dyDescent="0.25">
      <c r="A3964" s="1">
        <v>40269</v>
      </c>
      <c r="B3964">
        <v>0.28911501169204701</v>
      </c>
      <c r="C3964">
        <f>C3965*(1+G3964*3)</f>
        <v>0.28937218318090835</v>
      </c>
      <c r="D3964">
        <f t="shared" si="123"/>
        <v>0.28977165128064775</v>
      </c>
      <c r="F3964">
        <v>1959.56005859375</v>
      </c>
      <c r="G3964">
        <f t="shared" si="124"/>
        <v>6.2302398701685746E-4</v>
      </c>
    </row>
    <row r="3965" spans="1:7" x14ac:dyDescent="0.25">
      <c r="A3965" s="1">
        <v>40268</v>
      </c>
      <c r="B3965">
        <v>0.28968799114227201</v>
      </c>
      <c r="C3965">
        <f>C3966*(1+G3965*3)</f>
        <v>0.28883233476255887</v>
      </c>
      <c r="D3965">
        <f t="shared" si="123"/>
        <v>0.28921924561570589</v>
      </c>
      <c r="F3965">
        <v>1958.33996582031</v>
      </c>
      <c r="G3965">
        <f t="shared" si="124"/>
        <v>-4.8883083538991956E-3</v>
      </c>
    </row>
    <row r="3966" spans="1:7" x14ac:dyDescent="0.25">
      <c r="A3966" s="1">
        <v>40267</v>
      </c>
      <c r="B3966">
        <v>0.29364600777625999</v>
      </c>
      <c r="C3966">
        <f>C3967*(1+G3966*3)</f>
        <v>0.29313108008526373</v>
      </c>
      <c r="D3966">
        <f t="shared" ref="D3966:D3996" si="125">D3967*(1+3*G3966--0.0000409173405459604)</f>
        <v>0.29351156094927533</v>
      </c>
      <c r="F3966">
        <v>1967.9599609375</v>
      </c>
      <c r="G3966">
        <f t="shared" si="124"/>
        <v>3.4366314513734064E-3</v>
      </c>
    </row>
    <row r="3967" spans="1:7" x14ac:dyDescent="0.25">
      <c r="A3967" s="1">
        <v>40266</v>
      </c>
      <c r="B3967">
        <v>0.29059898853302002</v>
      </c>
      <c r="C3967">
        <f>C3968*(1+G3967*3)</f>
        <v>0.29013976971160826</v>
      </c>
      <c r="D3967">
        <f t="shared" si="125"/>
        <v>0.29050460251223731</v>
      </c>
      <c r="F3967">
        <v>1961.21997070312</v>
      </c>
      <c r="G3967">
        <f t="shared" si="124"/>
        <v>4.3991774165252906E-3</v>
      </c>
    </row>
    <row r="3968" spans="1:7" x14ac:dyDescent="0.25">
      <c r="A3968" s="1">
        <v>40263</v>
      </c>
      <c r="B3968">
        <v>0.286666989326477</v>
      </c>
      <c r="C3968">
        <f>C3969*(1+G3968*3)</f>
        <v>0.28636051754628594</v>
      </c>
      <c r="D3968">
        <f t="shared" si="125"/>
        <v>0.28670901960910883</v>
      </c>
      <c r="F3968">
        <v>1952.63000488281</v>
      </c>
      <c r="G3968">
        <f t="shared" si="124"/>
        <v>1.785383590365841E-3</v>
      </c>
    </row>
    <row r="3969" spans="1:7" x14ac:dyDescent="0.25">
      <c r="A3969" s="1">
        <v>40262</v>
      </c>
      <c r="B3969">
        <v>0.28518199920654203</v>
      </c>
      <c r="C3969">
        <f>C3970*(1+G3969*3)</f>
        <v>0.28483489888299829</v>
      </c>
      <c r="D3969">
        <f t="shared" si="125"/>
        <v>0.28516993803016683</v>
      </c>
      <c r="F3969">
        <v>1949.15002441406</v>
      </c>
      <c r="G3969">
        <f t="shared" si="124"/>
        <v>-1.3781567410008355E-3</v>
      </c>
    </row>
    <row r="3970" spans="1:7" x14ac:dyDescent="0.25">
      <c r="A3970" s="1">
        <v>40261</v>
      </c>
      <c r="B3970">
        <v>0.286978989839553</v>
      </c>
      <c r="C3970">
        <f>C3971*(1+G3970*3)</f>
        <v>0.286017429428229</v>
      </c>
      <c r="D3970">
        <f t="shared" si="125"/>
        <v>0.28634209453662585</v>
      </c>
      <c r="F3970">
        <v>1951.83996582031</v>
      </c>
      <c r="G3970">
        <f t="shared" ref="G3970:G3996" si="126">F3970/F3971-1</f>
        <v>-5.7864637500520955E-3</v>
      </c>
    </row>
    <row r="3971" spans="1:7" x14ac:dyDescent="0.25">
      <c r="A3971" s="1">
        <v>40260</v>
      </c>
      <c r="B3971">
        <v>0.29111999273300099</v>
      </c>
      <c r="C3971">
        <f>C3972*(1+G3971*3)</f>
        <v>0.29107023145737104</v>
      </c>
      <c r="D3971">
        <f t="shared" si="125"/>
        <v>0.29138849864802213</v>
      </c>
      <c r="F3971">
        <v>1963.19995117187</v>
      </c>
      <c r="G3971">
        <f t="shared" si="126"/>
        <v>6.980947578807184E-3</v>
      </c>
    </row>
    <row r="3972" spans="1:7" x14ac:dyDescent="0.25">
      <c r="A3972" s="1">
        <v>40259</v>
      </c>
      <c r="B3972">
        <v>0.28515601158142001</v>
      </c>
      <c r="C3972">
        <f>C3973*(1+G3972*3)</f>
        <v>0.28509943874744131</v>
      </c>
      <c r="D3972">
        <f t="shared" si="125"/>
        <v>0.2853997389988413</v>
      </c>
      <c r="F3972">
        <v>1949.58996582031</v>
      </c>
      <c r="G3972">
        <f t="shared" si="126"/>
        <v>8.879965448905569E-3</v>
      </c>
    </row>
    <row r="3973" spans="1:7" x14ac:dyDescent="0.25">
      <c r="A3973" s="1">
        <v>40256</v>
      </c>
      <c r="B3973">
        <v>0.277655988931655</v>
      </c>
      <c r="C3973">
        <f>C3974*(1+G3973*3)</f>
        <v>0.2777014995832166</v>
      </c>
      <c r="D3973">
        <f t="shared" si="125"/>
        <v>0.27798292828113269</v>
      </c>
      <c r="F3973">
        <v>1932.43005371093</v>
      </c>
      <c r="G3973">
        <f t="shared" si="126"/>
        <v>-5.9209070456125446E-3</v>
      </c>
    </row>
    <row r="3974" spans="1:7" x14ac:dyDescent="0.25">
      <c r="A3974" s="1">
        <v>40255</v>
      </c>
      <c r="B3974">
        <v>0.28265601396560602</v>
      </c>
      <c r="C3974">
        <f>C3975*(1+G3974*3)</f>
        <v>0.28272343715627168</v>
      </c>
      <c r="D3974">
        <f t="shared" si="125"/>
        <v>0.28299816625827212</v>
      </c>
      <c r="F3974">
        <v>1943.93994140625</v>
      </c>
      <c r="G3974">
        <f t="shared" si="126"/>
        <v>3.9871351499005669E-3</v>
      </c>
    </row>
    <row r="3975" spans="1:7" x14ac:dyDescent="0.25">
      <c r="A3975" s="1">
        <v>40254</v>
      </c>
      <c r="B3975">
        <v>0.27981799840927102</v>
      </c>
      <c r="C3975">
        <f>C3976*(1+G3975*3)</f>
        <v>0.27938164008402405</v>
      </c>
      <c r="D3975">
        <f t="shared" si="125"/>
        <v>0.27964181492983353</v>
      </c>
      <c r="F3975">
        <v>1936.21997070312</v>
      </c>
      <c r="G3975">
        <f t="shared" si="126"/>
        <v>2.0597754362112752E-3</v>
      </c>
    </row>
    <row r="3976" spans="1:7" x14ac:dyDescent="0.25">
      <c r="A3976" s="1">
        <v>40253</v>
      </c>
      <c r="B3976">
        <v>0.27789101004600503</v>
      </c>
      <c r="C3976">
        <f>C3977*(1+G3976*3)</f>
        <v>0.27766585217864731</v>
      </c>
      <c r="D3976">
        <f t="shared" si="125"/>
        <v>0.27791312756308556</v>
      </c>
      <c r="F3976">
        <v>1932.23999023437</v>
      </c>
      <c r="G3976">
        <f t="shared" si="126"/>
        <v>6.3278412107472537E-3</v>
      </c>
    </row>
    <row r="3977" spans="1:7" x14ac:dyDescent="0.25">
      <c r="A3977" s="1">
        <v>40252</v>
      </c>
      <c r="B3977">
        <v>0.27273398637771601</v>
      </c>
      <c r="C3977">
        <f>C3978*(1+G3977*3)</f>
        <v>0.27249297534162964</v>
      </c>
      <c r="D3977">
        <f t="shared" si="125"/>
        <v>0.27272469274415273</v>
      </c>
      <c r="F3977">
        <v>1920.08996582031</v>
      </c>
      <c r="G3977">
        <f t="shared" si="126"/>
        <v>-2.255258840013874E-3</v>
      </c>
    </row>
    <row r="3978" spans="1:7" x14ac:dyDescent="0.25">
      <c r="A3978" s="1">
        <v>40249</v>
      </c>
      <c r="B3978">
        <v>0.27458301186561501</v>
      </c>
      <c r="C3978">
        <f>C3979*(1+G3978*3)</f>
        <v>0.27434916044969332</v>
      </c>
      <c r="D3978">
        <f t="shared" si="125"/>
        <v>0.27457114502922714</v>
      </c>
      <c r="F3978">
        <v>1924.43005371093</v>
      </c>
      <c r="G3978">
        <f t="shared" si="126"/>
        <v>3.2227460003686481E-4</v>
      </c>
    </row>
    <row r="3979" spans="1:7" x14ac:dyDescent="0.25">
      <c r="A3979" s="1">
        <v>40248</v>
      </c>
      <c r="B3979">
        <v>0.27395799756050099</v>
      </c>
      <c r="C3979">
        <f>C3980*(1+G3979*3)</f>
        <v>0.27408416935153074</v>
      </c>
      <c r="D3979">
        <f t="shared" si="125"/>
        <v>0.27429472694821627</v>
      </c>
      <c r="F3979">
        <v>1923.81005859375</v>
      </c>
      <c r="G3979">
        <f t="shared" si="126"/>
        <v>3.3692769134887612E-3</v>
      </c>
    </row>
    <row r="3980" spans="1:7" x14ac:dyDescent="0.25">
      <c r="A3980" s="1">
        <v>40247</v>
      </c>
      <c r="B3980">
        <v>0.271457999944686</v>
      </c>
      <c r="C3980">
        <f>C3981*(1+G3980*3)</f>
        <v>0.27134149544273062</v>
      </c>
      <c r="D3980">
        <f t="shared" si="125"/>
        <v>0.27153894658514022</v>
      </c>
      <c r="F3980">
        <v>1917.34997558593</v>
      </c>
      <c r="G3980">
        <f t="shared" si="126"/>
        <v>8.3991472836091319E-3</v>
      </c>
    </row>
    <row r="3981" spans="1:7" x14ac:dyDescent="0.25">
      <c r="A3981" s="1">
        <v>40246</v>
      </c>
      <c r="B3981">
        <v>0.26497399806976302</v>
      </c>
      <c r="C3981">
        <f>C3982*(1+G3981*3)</f>
        <v>0.26467242734518304</v>
      </c>
      <c r="D3981">
        <f t="shared" si="125"/>
        <v>0.2648544547233958</v>
      </c>
      <c r="F3981">
        <v>1901.38000488281</v>
      </c>
      <c r="G3981">
        <f t="shared" si="126"/>
        <v>5.5476469562563135E-3</v>
      </c>
    </row>
    <row r="3982" spans="1:7" x14ac:dyDescent="0.25">
      <c r="A3982" s="1">
        <v>40245</v>
      </c>
      <c r="B3982">
        <v>0.260365009307861</v>
      </c>
      <c r="C3982">
        <f>C3983*(1+G3982*3)</f>
        <v>0.26033961060016614</v>
      </c>
      <c r="D3982">
        <f t="shared" si="125"/>
        <v>0.26050817329772885</v>
      </c>
      <c r="F3982">
        <v>1890.89001464843</v>
      </c>
      <c r="G3982">
        <f t="shared" si="126"/>
        <v>1.2337209209087874E-3</v>
      </c>
    </row>
    <row r="3983" spans="1:7" x14ac:dyDescent="0.25">
      <c r="A3983" s="1">
        <v>40242</v>
      </c>
      <c r="B3983">
        <v>0.25898399949073703</v>
      </c>
      <c r="C3983">
        <f>C3984*(1+G3983*3)</f>
        <v>0.25937960446670327</v>
      </c>
      <c r="D3983">
        <f t="shared" si="125"/>
        <v>0.25953696518424918</v>
      </c>
      <c r="F3983">
        <v>1888.56005859375</v>
      </c>
      <c r="G3983">
        <f t="shared" si="126"/>
        <v>1.5507758342631739E-2</v>
      </c>
    </row>
    <row r="3984" spans="1:7" x14ac:dyDescent="0.25">
      <c r="A3984" s="1">
        <v>40241</v>
      </c>
      <c r="B3984">
        <v>0.24802100658416701</v>
      </c>
      <c r="C3984">
        <f>C3985*(1+G3984*3)</f>
        <v>0.24784886361919611</v>
      </c>
      <c r="D3984">
        <f t="shared" si="125"/>
        <v>0.24798953287031592</v>
      </c>
      <c r="F3984">
        <v>1859.71997070312</v>
      </c>
      <c r="G3984">
        <f t="shared" si="126"/>
        <v>4.4016832474487178E-3</v>
      </c>
    </row>
    <row r="3985" spans="1:7" x14ac:dyDescent="0.25">
      <c r="A3985" s="1">
        <v>40240</v>
      </c>
      <c r="B3985">
        <v>0.24531300365924799</v>
      </c>
      <c r="C3985">
        <f>C3986*(1+G3985*3)</f>
        <v>0.24461866201932478</v>
      </c>
      <c r="D3985">
        <f t="shared" si="125"/>
        <v>0.24474761403124168</v>
      </c>
      <c r="F3985">
        <v>1851.56994628906</v>
      </c>
      <c r="G3985">
        <f t="shared" si="126"/>
        <v>1.9445949360474835E-4</v>
      </c>
    </row>
    <row r="3986" spans="1:7" x14ac:dyDescent="0.25">
      <c r="A3986" s="1">
        <v>40239</v>
      </c>
      <c r="B3986">
        <v>0.24395799636840801</v>
      </c>
      <c r="C3986">
        <f>C3987*(1+G3986*3)</f>
        <v>0.24447603995853828</v>
      </c>
      <c r="D3986">
        <f t="shared" si="125"/>
        <v>0.24459491444822568</v>
      </c>
      <c r="F3986">
        <v>1851.2099609375</v>
      </c>
      <c r="G3986">
        <f t="shared" si="126"/>
        <v>2.6050349110922078E-3</v>
      </c>
    </row>
    <row r="3987" spans="1:7" x14ac:dyDescent="0.25">
      <c r="A3987" s="1">
        <v>40238</v>
      </c>
      <c r="B3987">
        <v>0.24250000715255701</v>
      </c>
      <c r="C3987">
        <f>C3988*(1+G3987*3)</f>
        <v>0.24258024989935045</v>
      </c>
      <c r="D3987">
        <f t="shared" si="125"/>
        <v>0.24268834941813722</v>
      </c>
      <c r="F3987">
        <v>1846.40002441406</v>
      </c>
      <c r="G3987">
        <f t="shared" si="126"/>
        <v>1.5241807181295419E-2</v>
      </c>
    </row>
    <row r="3988" spans="1:7" x14ac:dyDescent="0.25">
      <c r="A3988" s="1">
        <v>40235</v>
      </c>
      <c r="B3988">
        <v>0.232526004314422</v>
      </c>
      <c r="C3988">
        <f>C3989*(1+G3988*3)</f>
        <v>0.23197317852444502</v>
      </c>
      <c r="D3988">
        <f t="shared" si="125"/>
        <v>0.2320674709008364</v>
      </c>
      <c r="F3988">
        <v>1818.68005371093</v>
      </c>
      <c r="G3988">
        <f t="shared" si="126"/>
        <v>3.1827390341854223E-3</v>
      </c>
    </row>
    <row r="3989" spans="1:7" x14ac:dyDescent="0.25">
      <c r="A3989" s="1">
        <v>40234</v>
      </c>
      <c r="B3989">
        <v>0.22966100275516499</v>
      </c>
      <c r="C3989">
        <f>C3990*(1+G3989*3)</f>
        <v>0.22977919686710688</v>
      </c>
      <c r="D3989">
        <f t="shared" si="125"/>
        <v>0.22986328099583475</v>
      </c>
      <c r="F3989">
        <v>1812.91003417968</v>
      </c>
      <c r="G3989">
        <f t="shared" si="126"/>
        <v>2.2070190614376095E-4</v>
      </c>
    </row>
    <row r="3990" spans="1:7" x14ac:dyDescent="0.25">
      <c r="A3990" s="1">
        <v>40233</v>
      </c>
      <c r="B3990">
        <v>0.22979199886321999</v>
      </c>
      <c r="C3990">
        <f>C3991*(1+G3990*3)</f>
        <v>0.22962715941175321</v>
      </c>
      <c r="D3990">
        <f t="shared" si="125"/>
        <v>0.22970179533702434</v>
      </c>
      <c r="F3990">
        <v>1812.51000976562</v>
      </c>
      <c r="G3990">
        <f t="shared" si="126"/>
        <v>1.041914129409971E-2</v>
      </c>
    </row>
    <row r="3991" spans="1:7" x14ac:dyDescent="0.25">
      <c r="A3991" s="1">
        <v>40232</v>
      </c>
      <c r="B3991">
        <v>0.22304700314998599</v>
      </c>
      <c r="C3991">
        <f>C3992*(1+G3991*3)</f>
        <v>0.22266715767949841</v>
      </c>
      <c r="D3991">
        <f t="shared" si="125"/>
        <v>0.22273069407312263</v>
      </c>
      <c r="F3991">
        <v>1793.81994628906</v>
      </c>
      <c r="G3991">
        <f t="shared" si="126"/>
        <v>-1.3099507892028406E-2</v>
      </c>
    </row>
    <row r="3992" spans="1:7" x14ac:dyDescent="0.25">
      <c r="A3992" s="1">
        <v>40231</v>
      </c>
      <c r="B3992">
        <v>0.232108995318412</v>
      </c>
      <c r="C3992">
        <f>C3993*(1+G3992*3)</f>
        <v>0.23177559644388729</v>
      </c>
      <c r="D3992">
        <f t="shared" si="125"/>
        <v>0.23183185788604985</v>
      </c>
      <c r="F3992">
        <v>1817.63000488281</v>
      </c>
      <c r="G3992">
        <f t="shared" si="126"/>
        <v>-3.1206489117998615E-3</v>
      </c>
    </row>
    <row r="3993" spans="1:7" x14ac:dyDescent="0.25">
      <c r="A3993" s="1">
        <v>40228</v>
      </c>
      <c r="B3993">
        <v>0.233750000596046</v>
      </c>
      <c r="C3993">
        <f>C3994*(1+G3993*3)</f>
        <v>0.23396597342498793</v>
      </c>
      <c r="D3993">
        <f t="shared" si="125"/>
        <v>0.23401310087811561</v>
      </c>
      <c r="F3993">
        <v>1823.31994628906</v>
      </c>
      <c r="G3993">
        <f t="shared" si="126"/>
        <v>-3.8427521708017665E-5</v>
      </c>
    </row>
    <row r="3994" spans="1:7" x14ac:dyDescent="0.25">
      <c r="A3994" s="1">
        <v>40227</v>
      </c>
      <c r="B3994">
        <v>0.233750000596046</v>
      </c>
      <c r="C3994">
        <f>C3995*(1+G3994*3)</f>
        <v>0.23399294873233872</v>
      </c>
      <c r="D3994">
        <f t="shared" si="125"/>
        <v>0.23403050460914898</v>
      </c>
      <c r="F3994">
        <v>1823.39001464843</v>
      </c>
      <c r="G3994">
        <f t="shared" si="126"/>
        <v>6.9193805143568099E-3</v>
      </c>
    </row>
    <row r="3995" spans="1:7" x14ac:dyDescent="0.25">
      <c r="A3995" s="1">
        <v>40226</v>
      </c>
      <c r="B3995">
        <v>0.22940100729465401</v>
      </c>
      <c r="C3995">
        <f>C3996*(1+G3995*3)</f>
        <v>0.22923446721533253</v>
      </c>
      <c r="D3995">
        <f t="shared" si="125"/>
        <v>0.22926206932938731</v>
      </c>
      <c r="F3995">
        <v>1810.85998535156</v>
      </c>
      <c r="G3995">
        <f t="shared" si="126"/>
        <v>4.8832594207082192E-3</v>
      </c>
    </row>
    <row r="3996" spans="1:7" x14ac:dyDescent="0.25">
      <c r="A3996" s="1">
        <v>40225</v>
      </c>
      <c r="B3996">
        <v>0.22557300329208299</v>
      </c>
      <c r="C3996">
        <f>C3997*(1+G3996*3)</f>
        <v>0.2259247201610407</v>
      </c>
      <c r="D3996">
        <f t="shared" si="125"/>
        <v>0.22594281225099655</v>
      </c>
      <c r="F3996">
        <v>1802.06005859375</v>
      </c>
      <c r="G3996">
        <f t="shared" si="126"/>
        <v>1.289974955519968E-2</v>
      </c>
    </row>
    <row r="3997" spans="1:7" x14ac:dyDescent="0.25">
      <c r="A3997" s="1">
        <v>40221</v>
      </c>
      <c r="B3997">
        <v>0.217160999774932</v>
      </c>
      <c r="C3997">
        <f>C3998*(1+G3997*3)</f>
        <v>0.217507349168956</v>
      </c>
      <c r="D3997">
        <f>D3998*(1+3*G3997--0.0000409173405459604)</f>
        <v>0.21751619860790086</v>
      </c>
      <c r="E3997" s="3"/>
      <c r="F3997">
        <v>1779.10998535156</v>
      </c>
      <c r="G3997">
        <f>F3997/F3998-1</f>
        <v>1.8977976143597086E-3</v>
      </c>
    </row>
    <row r="3998" spans="1:7" x14ac:dyDescent="0.25">
      <c r="A3998" s="1">
        <v>40220</v>
      </c>
      <c r="B3998">
        <v>0.216276004910469</v>
      </c>
      <c r="C3998">
        <v>0.216276004910469</v>
      </c>
      <c r="D3998">
        <v>0.216276004910469</v>
      </c>
      <c r="E3998" s="2">
        <v>-4.0917340545960397E-5</v>
      </c>
      <c r="F3998">
        <v>1775.73999023437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tqqq_data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Minhui Roh</dc:creator>
  <cp:lastModifiedBy>Minhui Roh</cp:lastModifiedBy>
  <dcterms:created xsi:type="dcterms:W3CDTF">2026-05-30T15:59:00Z</dcterms:created>
  <dcterms:modified xsi:type="dcterms:W3CDTF">2026-05-31T23:28:34Z</dcterms:modified>
</cp:coreProperties>
</file>